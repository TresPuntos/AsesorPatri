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iaTrianoRedón\Downloads\"/>
    </mc:Choice>
  </mc:AlternateContent>
  <xr:revisionPtr revIDLastSave="0" documentId="13_ncr:1_{4F63E43E-6DD0-401A-A135-EBA1D859B0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rme BBVA" sheetId="1" r:id="rId1"/>
    <sheet name="TD" sheetId="3" r:id="rId2"/>
    <sheet name="COD." sheetId="2" r:id="rId3"/>
  </sheets>
  <definedNames>
    <definedName name="_xlnm._FilterDatabase" localSheetId="2" hidden="1">'COD.'!$A$1:$B$1</definedName>
    <definedName name="_xlnm._FilterDatabase" localSheetId="0" hidden="1">'Informe BBVA'!$A$1:$L$744</definedName>
  </definedNames>
  <calcPr calcId="191029"/>
  <pivotCaches>
    <pivotCache cacheId="7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2" i="1"/>
</calcChain>
</file>

<file path=xl/sharedStrings.xml><?xml version="1.0" encoding="utf-8"?>
<sst xmlns="http://schemas.openxmlformats.org/spreadsheetml/2006/main" count="6096" uniqueCount="1203">
  <si>
    <t>F.Valor</t>
  </si>
  <si>
    <t>Fecha</t>
  </si>
  <si>
    <t>Concepto</t>
  </si>
  <si>
    <t>Movimiento</t>
  </si>
  <si>
    <t>Importe</t>
  </si>
  <si>
    <t>Divisa</t>
  </si>
  <si>
    <t>Disponible</t>
  </si>
  <si>
    <t>Observaciones</t>
  </si>
  <si>
    <t>31/10/2025</t>
  </si>
  <si>
    <t>Acciona motosharing</t>
  </si>
  <si>
    <t>Pago con tarjeta</t>
  </si>
  <si>
    <t>EUR</t>
  </si>
  <si>
    <t>4940197133530195 ACCIONA MOTOSHARING      ALCOBENDAS   ES</t>
  </si>
  <si>
    <t>30/10/2025</t>
  </si>
  <si>
    <t>Netflix.com</t>
  </si>
  <si>
    <t>4940197133530195 Netflix.com</t>
  </si>
  <si>
    <t>Adeudo de endesa</t>
  </si>
  <si>
    <t>Adeudo nº 2025303002749399</t>
  </si>
  <si>
    <t>N 2025303002749399 ENERGIA XXI                          CPVR</t>
  </si>
  <si>
    <t>Cargo por amortizacion de prestamo/credito</t>
  </si>
  <si>
    <t/>
  </si>
  <si>
    <t>0182-3247-22-0830147409</t>
  </si>
  <si>
    <t>Frankingfurt</t>
  </si>
  <si>
    <t>4940197133530195 FRANKINGFURT             SANTA COLOMA ES</t>
  </si>
  <si>
    <t>Bar cafeteria</t>
  </si>
  <si>
    <t>4940197133530195 BAR CAFETERIA            SANTA COLOMA ES</t>
  </si>
  <si>
    <t>Adeudo de aguas de barcelona</t>
  </si>
  <si>
    <t>Adeudo nº 2025303002474367</t>
  </si>
  <si>
    <t>N 2025303002474367 AIGUES DE BARCELONA</t>
  </si>
  <si>
    <t>Abono de nómina</t>
  </si>
  <si>
    <t>Transferencia nomina</t>
  </si>
  <si>
    <t>28/10/2025</t>
  </si>
  <si>
    <t>Social working dogs sccl</t>
  </si>
  <si>
    <t>4940197133530195 SOCIAL WORKING DOGS SCCL LLIA D'AMUNTES</t>
  </si>
  <si>
    <t>23/10/2025</t>
  </si>
  <si>
    <t>27/10/2025</t>
  </si>
  <si>
    <t>Paypal *spotify*p3bbd12eb</t>
  </si>
  <si>
    <t>4940197133530195 PAYPAL *SPOTIFY*P3BBD12EB</t>
  </si>
  <si>
    <t>26/10/2025</t>
  </si>
  <si>
    <t>Farmacia jordi bomcompte</t>
  </si>
  <si>
    <t>4940197133530195 FARMACIA JORDI BOMCOMPTE PLA, PASSATGEES</t>
  </si>
  <si>
    <t>25/10/2025</t>
  </si>
  <si>
    <t>Kiwoko fabra</t>
  </si>
  <si>
    <t>4940197133530195 KIWOKO FABRA             BARCELONA    ES</t>
  </si>
  <si>
    <t>Bar-rest. bell more</t>
  </si>
  <si>
    <t>4940197133530195 Bar-Rest. Bell More      BARCELONA    ES</t>
  </si>
  <si>
    <t>24/10/2025</t>
  </si>
  <si>
    <t>Bar lido</t>
  </si>
  <si>
    <t>4940197133530195 BAR LIDO                 BARCELONA    ES</t>
  </si>
  <si>
    <t>Hyde park</t>
  </si>
  <si>
    <t>4940197133530195 HYDE PARK                BARCELONA    ES</t>
  </si>
  <si>
    <t>L estanc de la merce</t>
  </si>
  <si>
    <t>4940197133530195 L ESTANC DE LA MERCE     BARCELONA    ES</t>
  </si>
  <si>
    <t>Consum on line 0378 b alcsilla        es</t>
  </si>
  <si>
    <t>4940197133530195 CONSUM ON LINE 0378 B ALCSILLA        ES</t>
  </si>
  <si>
    <t>22/10/2025</t>
  </si>
  <si>
    <t>El asador colomense s.l.</t>
  </si>
  <si>
    <t>4940197133530195 EL ASADOR COLOMENSE S.L. STA. COLOMA DES</t>
  </si>
  <si>
    <t>20/10/2025</t>
  </si>
  <si>
    <t>4940197133530195 FRANKINGFURT</t>
  </si>
  <si>
    <t>Bizum</t>
  </si>
  <si>
    <t>Enviado: patri</t>
  </si>
  <si>
    <t>ENVIADO: Patri</t>
  </si>
  <si>
    <t>19/10/2025</t>
  </si>
  <si>
    <t>21/10/2025</t>
  </si>
  <si>
    <t>Just eat spain, s.l.</t>
  </si>
  <si>
    <t>4940197133530195 Just Eat Spain, S.L.</t>
  </si>
  <si>
    <t>Vetmont</t>
  </si>
  <si>
    <t>4940197133530195 VETMONT                  BARCELONA    ES</t>
  </si>
  <si>
    <t>Clarel</t>
  </si>
  <si>
    <t>4940197133530195 CLAREL                   SANTA COLOMA ES</t>
  </si>
  <si>
    <t>Spazio phone</t>
  </si>
  <si>
    <t>4940197133530195 SPAZIO PHONE             STA. COLOMA DES</t>
  </si>
  <si>
    <t>Bodega manelic</t>
  </si>
  <si>
    <t>4940197133530195 BODEGA MANELIC           SANTA COLOMA ES</t>
  </si>
  <si>
    <t>La estacion</t>
  </si>
  <si>
    <t>4940197133530195 LA ESTACION              MONTBLANC    ES</t>
  </si>
  <si>
    <t>Pampermut, s.l.</t>
  </si>
  <si>
    <t>4940197133530195 PAMPERMUT, S.L.          TERRASSA     ES</t>
  </si>
  <si>
    <t>Pandarelo 75</t>
  </si>
  <si>
    <t>4940197133530195 PANDARELO 75             BARCELONA    ES</t>
  </si>
  <si>
    <t>Vivari gran via</t>
  </si>
  <si>
    <t>4940197133530195 VIVARI GRAN VIA          BARCELONA    ES</t>
  </si>
  <si>
    <t>18/10/2025</t>
  </si>
  <si>
    <t>Xuan</t>
  </si>
  <si>
    <t>4940197133530195 XUAN                     BARCELONA    ES</t>
  </si>
  <si>
    <t>Gran basar</t>
  </si>
  <si>
    <t>4940197133530195 GRAN BASAR               BARCELONA    ES</t>
  </si>
  <si>
    <t>Turris torras i bages</t>
  </si>
  <si>
    <t>4940197133530195 TURRIS TORRAS I BAGES    BARCELONA    ES</t>
  </si>
  <si>
    <t>Cred trinidad</t>
  </si>
  <si>
    <t>4940197133530195 CRED TRINIDAD            BARCELONA    ES</t>
  </si>
  <si>
    <t>Condis supermercat</t>
  </si>
  <si>
    <t>4940197133530195 CONDIS SUPERMERCAT       STA. COLOMA DES</t>
  </si>
  <si>
    <t>17/10/2025</t>
  </si>
  <si>
    <t>14/10/2025</t>
  </si>
  <si>
    <t>Paypal *itunesappst apple</t>
  </si>
  <si>
    <t>4940197133530195 PAYPAL *ITUNESAPPST APPLE</t>
  </si>
  <si>
    <t>Cerveceria thor</t>
  </si>
  <si>
    <t>4940197133530195 cerveceria thor          PLA, PASSATGEES</t>
  </si>
  <si>
    <t>16/10/2025</t>
  </si>
  <si>
    <t>Farmacia reixach - de pab</t>
  </si>
  <si>
    <t>4940197133530195 FARMACIA REIXACH - DE PABBARCELONA    ES</t>
  </si>
  <si>
    <t>Consum b.gr.s.andreu</t>
  </si>
  <si>
    <t>4940197133530195 CONSUM B.GR.S.ANDREU     BARCELONA    ES</t>
  </si>
  <si>
    <t>11/10/2025</t>
  </si>
  <si>
    <t>Exitbcn.com</t>
  </si>
  <si>
    <t>4940197133530195 EXITBCN.COM</t>
  </si>
  <si>
    <t>Macxipa sant josep</t>
  </si>
  <si>
    <t>4940197133530195 MACXIPA SANT JOSEP       STA. COLOMA  ES</t>
  </si>
  <si>
    <t>13/10/2025</t>
  </si>
  <si>
    <t>4940197133530195 FARMACIA JORDI BOMCOMPTE SANTA COLOMA ES</t>
  </si>
  <si>
    <t>Copisteria copy's</t>
  </si>
  <si>
    <t>4940197133530195 COPISTERIA COPY'S        STA COLOMA GRES</t>
  </si>
  <si>
    <t>12/10/2025</t>
  </si>
  <si>
    <t>Enviado: hola</t>
  </si>
  <si>
    <t>ENVIADO: Hola</t>
  </si>
  <si>
    <t>Two market 03</t>
  </si>
  <si>
    <t>4940197133530195 TWO MARKET 03            BARCELONA    ES</t>
  </si>
  <si>
    <t>Cafeteria forn de pa dol</t>
  </si>
  <si>
    <t>4940197133530195 CAFETERIA FORN DE PA DOL SANTA COLOMA ES</t>
  </si>
  <si>
    <t>Ferreteria rabii hannou</t>
  </si>
  <si>
    <t>4940197133530195 FERRETERIA RABII HANNOU  SANTA COLOMA ES</t>
  </si>
  <si>
    <t>Hawai</t>
  </si>
  <si>
    <t>4940197133530195 HAWAI                    SANTA COLOMA ES</t>
  </si>
  <si>
    <t>Pastisseria glass</t>
  </si>
  <si>
    <t>4940197133530195 PASTISSERIA GLASS        SANTA COLOMA ES</t>
  </si>
  <si>
    <t>Vinoteca arribes del duer</t>
  </si>
  <si>
    <t>4940197133530195 VINOTECA ARRIBES DEL DUERSANTA COLOMA ES</t>
  </si>
  <si>
    <t>Expendiduria n.2</t>
  </si>
  <si>
    <t>4940197133530195 EXPENDIDURIA N.2         SANTA COLOMA ES</t>
  </si>
  <si>
    <t>10/10/2025</t>
  </si>
  <si>
    <t>Sanchez hipertextil</t>
  </si>
  <si>
    <t>4940197133530195 SANCHEZ HIPERTEXTIL      BARCELONA    ES</t>
  </si>
  <si>
    <t>La terrassa del mercadal</t>
  </si>
  <si>
    <t>4940197133530195 LA TERRASSA DEL MERCADAL BARCELONA    ES</t>
  </si>
  <si>
    <t>Plasiscomer hupa sl</t>
  </si>
  <si>
    <t>4940197133530195 PLASISCOMER HUPA SL      BARCELONA    ES</t>
  </si>
  <si>
    <t>08/10/2025</t>
  </si>
  <si>
    <t>Glovo 08oct bmrnzlwn</t>
  </si>
  <si>
    <t>4940197133530195 Glovo 08OCT BMRNZLWN</t>
  </si>
  <si>
    <t>Adeudo nº 2025282001174970</t>
  </si>
  <si>
    <t>N 2025282001174970 ENERGIA XXI                          CPVR</t>
  </si>
  <si>
    <t>05/10/2025</t>
  </si>
  <si>
    <t>09/10/2025</t>
  </si>
  <si>
    <t>Paypal *zooplus se</t>
  </si>
  <si>
    <t>4940197133530195 PAYPAL *ZOOPLUS SE</t>
  </si>
  <si>
    <t>Adeudo de vodafone</t>
  </si>
  <si>
    <t>Adeudo nº 2025280001600483</t>
  </si>
  <si>
    <t>N 2025280001600483 Vodafone Servicios, S.L.U.           CPVR</t>
  </si>
  <si>
    <t>07/10/2025</t>
  </si>
  <si>
    <t>Chocolat</t>
  </si>
  <si>
    <t>4940197133530195 CHOCOLAT                 BARCELONA    ES</t>
  </si>
  <si>
    <t>03/10/2025</t>
  </si>
  <si>
    <t>06/10/2025</t>
  </si>
  <si>
    <t>Loomisp*goofretti sant</t>
  </si>
  <si>
    <t>4940197133530195 LOOMISP*GOOFRETTI SANT</t>
  </si>
  <si>
    <t>02/10/2025</t>
  </si>
  <si>
    <t>Podimo aps</t>
  </si>
  <si>
    <t>4940197133530195 Podimo ApS</t>
  </si>
  <si>
    <t>Webel</t>
  </si>
  <si>
    <t>4940197133530195 WEBEL</t>
  </si>
  <si>
    <t>04/10/2025</t>
  </si>
  <si>
    <t>Bbva plan estarseguro</t>
  </si>
  <si>
    <t>Otros</t>
  </si>
  <si>
    <t>BBVA PLAN ESTARSEGURO</t>
  </si>
  <si>
    <t>Varios servicio c. loterias</t>
  </si>
  <si>
    <t>4940197133530195 TULOTERO                 MADRID       ES</t>
  </si>
  <si>
    <t>Rostisseria la katia</t>
  </si>
  <si>
    <t>4940197133530195 ROSTISSERIA LA KATIA     STA. COLOMA DES</t>
  </si>
  <si>
    <t>Amanecer restaurante</t>
  </si>
  <si>
    <t>4940197133530195 AMANECER RESTAURANTE     PLA, PASSATGEES</t>
  </si>
  <si>
    <t>Vivari</t>
  </si>
  <si>
    <t>4940197133530195 VIVARI                   SANTA COLOMA ES</t>
  </si>
  <si>
    <t>Macxipa avda. generalitat</t>
  </si>
  <si>
    <t>4940197133530195 MACXIPA AVDA. GENERALITATSTA. COLOMA  ES</t>
  </si>
  <si>
    <t>Transferencia recibida</t>
  </si>
  <si>
    <t>Yule</t>
  </si>
  <si>
    <t>YULE</t>
  </si>
  <si>
    <t>Cuota mensual de fraccionamiento de gastos</t>
  </si>
  <si>
    <t>Cuota préstamo</t>
  </si>
  <si>
    <t>8123450000175812</t>
  </si>
  <si>
    <t>30/09/2025</t>
  </si>
  <si>
    <t>Fundacion teaming</t>
  </si>
  <si>
    <t>4940197133530195 FUNDACION TEAMING        SANT CUGAT DEES</t>
  </si>
  <si>
    <t>01/10/2025</t>
  </si>
  <si>
    <t>L¨estanc</t>
  </si>
  <si>
    <t>4940197133530195 L¨ESTANC                 BARCELONA    ES</t>
  </si>
  <si>
    <t>27/09/2025</t>
  </si>
  <si>
    <t>Stradivarius.com</t>
  </si>
  <si>
    <t>4940197133530195 Stradivarius.com</t>
  </si>
  <si>
    <t>Transferencia realizada</t>
  </si>
  <si>
    <t>Patricia triano moto</t>
  </si>
  <si>
    <t>PATRICIA TRIANO MOTO</t>
  </si>
  <si>
    <t>Adeudo assessoria i finques fuster s.l.</t>
  </si>
  <si>
    <t>Adeudo nº 2025274000385272</t>
  </si>
  <si>
    <t>N 2025274000385272 ASSESSORIA I FINQUES FUSTER S.L.</t>
  </si>
  <si>
    <t>Adeudo pilates 10 maragall</t>
  </si>
  <si>
    <t>Adeudo nº 2025274000469326</t>
  </si>
  <si>
    <t>N 2025274000469326 PILATES 10 Maragall</t>
  </si>
  <si>
    <t>Druni sta coloma gramenet</t>
  </si>
  <si>
    <t>4940197133530195 DRUNI STA COLOMA GRAMENETSANTA COLOMA ES</t>
  </si>
  <si>
    <t>29/09/2025</t>
  </si>
  <si>
    <t>28/09/2025</t>
  </si>
  <si>
    <t>26/09/2025</t>
  </si>
  <si>
    <t>La santa</t>
  </si>
  <si>
    <t>4940197133530195 LA SANTA                 ESPLUGUES DE ES</t>
  </si>
  <si>
    <t>Terranova 55</t>
  </si>
  <si>
    <t>4940197133530195 TERRANOVA 55             SANTA COLOMA ES</t>
  </si>
  <si>
    <t>Forn padro</t>
  </si>
  <si>
    <t>4940197133530195 FORN PADRO               SANTA COLOMA ES</t>
  </si>
  <si>
    <t>25/09/2025</t>
  </si>
  <si>
    <t>La botiga mes que gossos</t>
  </si>
  <si>
    <t>4940197133530195 LA BOTIGA MES QUE GOSSOS SANTA COLOMA ES</t>
  </si>
  <si>
    <t>23/09/2025</t>
  </si>
  <si>
    <t>Paypal *spotify*p3ad09bc1</t>
  </si>
  <si>
    <t>4940197133530195 PAYPAL *SPOTIFY*P3AD09BC1</t>
  </si>
  <si>
    <t>24/09/2025</t>
  </si>
  <si>
    <t>Bolleria mari</t>
  </si>
  <si>
    <t>4940197133530195 BOLLERIA MARI            BADALONA     ES</t>
  </si>
  <si>
    <t>20/09/2025</t>
  </si>
  <si>
    <t>Sp yepoda.es</t>
  </si>
  <si>
    <t>4940197133530195 SP YEPODA.ES</t>
  </si>
  <si>
    <t>Lidl c escocia</t>
  </si>
  <si>
    <t>4940197133530195 LIDL C ESCOCIA           BARCELONA    ES</t>
  </si>
  <si>
    <t>Vivari sant joan 129 sl</t>
  </si>
  <si>
    <t>4940197133530195 VIVARI SANT JOAN 129 SL  BARCELONA    ES</t>
  </si>
  <si>
    <t>E.s. petrosos, s.c.c.l.</t>
  </si>
  <si>
    <t>4940197133530195 E.S. PETROSOS, S.C.C.L.  BARCELONA    ES</t>
  </si>
  <si>
    <t>22/09/2025</t>
  </si>
  <si>
    <t>Glovo 20sep bbfbztne</t>
  </si>
  <si>
    <t>4940197133530195 Glovo 20SEP BBFBZTNE</t>
  </si>
  <si>
    <t>21/09/2025</t>
  </si>
  <si>
    <t>Mac donals sta coloma</t>
  </si>
  <si>
    <t>4940197133530195 MAC DONALS STA COLOMA    STA. COLOMA DES</t>
  </si>
  <si>
    <t>Kiwoko sant andreu</t>
  </si>
  <si>
    <t>4940197133530195 KIWOKO SANT ANDREU       BARCELONA    ES</t>
  </si>
  <si>
    <t>17/09/2025</t>
  </si>
  <si>
    <t>19/09/2025</t>
  </si>
  <si>
    <t>Libermare</t>
  </si>
  <si>
    <t>4940197133530195 LIBERMARE</t>
  </si>
  <si>
    <t>18/09/2025</t>
  </si>
  <si>
    <t>Recibido: menorca</t>
  </si>
  <si>
    <t>RECIBIDO: menorca</t>
  </si>
  <si>
    <t>Cepsa 12504-2 e.s. mitjan</t>
  </si>
  <si>
    <t>4940197133530195 CEPSA 12504-2 E.S. MITJANALAIOR       ES</t>
  </si>
  <si>
    <t>Ca na fayas</t>
  </si>
  <si>
    <t>4940197133530195 CA NA FAYAS              CIUTADELLA DEES</t>
  </si>
  <si>
    <t>Enviado: ecotasa -patricia triano</t>
  </si>
  <si>
    <t>ENVIADO: Ecotasa -Patricia Triano</t>
  </si>
  <si>
    <t>Herbera bakery</t>
  </si>
  <si>
    <t>4940197133530195 Herbera Bakery           CIUTADELLA DEES</t>
  </si>
  <si>
    <t>14/09/2025</t>
  </si>
  <si>
    <t>16/09/2025</t>
  </si>
  <si>
    <t>Carla garcia</t>
  </si>
  <si>
    <t>4940197133530195 CARLA GARCIA             PINEDA DE MARES</t>
  </si>
  <si>
    <t>Helados torres salord</t>
  </si>
  <si>
    <t>4940197133530195 HELADOS TORRES SALORD    CIUTADELLA DEES</t>
  </si>
  <si>
    <t>Ca n'angela</t>
  </si>
  <si>
    <t>4940197133530195 CA N'ANGELA              CIUDADELA DE ES</t>
  </si>
  <si>
    <t>15/09/2025</t>
  </si>
  <si>
    <t>Souvenirs son bou 3</t>
  </si>
  <si>
    <t>4940197133530195 Souvenirs Son Bou 3      ALAIOR       ES</t>
  </si>
  <si>
    <t>Ses grulles</t>
  </si>
  <si>
    <t>4940197133530195 SES GRULLES              PLAYA SON BOUES</t>
  </si>
  <si>
    <t>La guitarra</t>
  </si>
  <si>
    <t>4940197133530195 LA GUITARRA              CIUTADELLA DEES</t>
  </si>
  <si>
    <t>Chiringuito acuario</t>
  </si>
  <si>
    <t>4940197133530195 CHIRINGUITO ACUARIO      CALA GALDANA ES</t>
  </si>
  <si>
    <t>Sa placa</t>
  </si>
  <si>
    <t>4940197133530195 SA PLACA                 ES MIGJORN GRES</t>
  </si>
  <si>
    <t>13/09/2025</t>
  </si>
  <si>
    <t>La tranquila</t>
  </si>
  <si>
    <t>4940197133530195 LA TRANQUILA             CIUTADELLA   ES</t>
  </si>
  <si>
    <t>Aventura menorca</t>
  </si>
  <si>
    <t>4940197133530195 AVENTURA MENORCA         CIUTADELLA DEES</t>
  </si>
  <si>
    <t>Farmacia jaime font lopez</t>
  </si>
  <si>
    <t>4940197133530195 FARMACIA JAIME FONT LOPEZCIUTADELLA DEES</t>
  </si>
  <si>
    <t>12/09/2025</t>
  </si>
  <si>
    <t>Jimmy hills i cocina</t>
  </si>
  <si>
    <t>4940197133530195 JIMMY HILLS I Cocina     CAP D'ARTRUTXES</t>
  </si>
  <si>
    <t>11/09/2025</t>
  </si>
  <si>
    <t>10/09/2025</t>
  </si>
  <si>
    <t>Adeudo nº 2025251001267990</t>
  </si>
  <si>
    <t>N 2025251001267990 Vodafone Servicios, S.L.U.           CPVR</t>
  </si>
  <si>
    <t>09/09/2025</t>
  </si>
  <si>
    <t>Clarel sant andreu</t>
  </si>
  <si>
    <t>4940197133530195 CLAREL SANT ANDREU       BARCELONA    ES</t>
  </si>
  <si>
    <t>Brina</t>
  </si>
  <si>
    <t>4940197133530195 BRINA                    BARCELONA    ES</t>
  </si>
  <si>
    <t>08/09/2025</t>
  </si>
  <si>
    <t>Euromaria</t>
  </si>
  <si>
    <t>4940197133530195 EUROMARIA                BARCELONA    ES</t>
  </si>
  <si>
    <t>Ecolider</t>
  </si>
  <si>
    <t>4940197133530195 ECOLIDER                 BARCELONA    ES</t>
  </si>
  <si>
    <t>L?estanc de la merce</t>
  </si>
  <si>
    <t>4940197133530195 L?ESTANC DE LA MERCE     BARCELONA    ES</t>
  </si>
  <si>
    <t>07/09/2025</t>
  </si>
  <si>
    <t>Enviado: gasolina   sudadera   loteria</t>
  </si>
  <si>
    <t>ENVIADO: Gasolina   sudadera   loteria</t>
  </si>
  <si>
    <t>Vallcan</t>
  </si>
  <si>
    <t>4940197133530195 VALLCAN                  BARCELONA    ES</t>
  </si>
  <si>
    <t>06/09/2025</t>
  </si>
  <si>
    <t>Enviado: rifa sopar</t>
  </si>
  <si>
    <t>ENVIADO: Rifa sopar</t>
  </si>
  <si>
    <t>Supermercat cmar</t>
  </si>
  <si>
    <t>4940197133530195 SUPERMERCAT CMAR         EMPURIABRAVA ES</t>
  </si>
  <si>
    <t>Confianimal</t>
  </si>
  <si>
    <t>4940197133530195 CONFIANIMAL              SANTA COLOMA ES</t>
  </si>
  <si>
    <t>Rte cmar</t>
  </si>
  <si>
    <t>4940197133530195 RTE CMAR                 EMPURIABRAVA ES</t>
  </si>
  <si>
    <t>Castell mar c2.0</t>
  </si>
  <si>
    <t>4940197133530195 CASTELL MAR C2.0         TORROELLA DE ES</t>
  </si>
  <si>
    <t>E.s. cedipsa emporda</t>
  </si>
  <si>
    <t>4940197133530195 E.S. CEDIPSA EMPORDA     ARENYS D'EMPOES</t>
  </si>
  <si>
    <t>05/09/2025</t>
  </si>
  <si>
    <t>Pizzicato go</t>
  </si>
  <si>
    <t>4940197133530195 PIZZICATO GO             SANTA COLOMA ES</t>
  </si>
  <si>
    <t>La cova</t>
  </si>
  <si>
    <t>4940197133530195 LA COVA                  STA. COLOMA  ES</t>
  </si>
  <si>
    <t>Ret. efectivo  a debito con tarj. en cajero. aut.</t>
  </si>
  <si>
    <t>4940197133530195 01820835 999</t>
  </si>
  <si>
    <t>Cafeteria tian</t>
  </si>
  <si>
    <t>4940197133530195 CAFETERIA TIAN           SANTA COLOMA ES</t>
  </si>
  <si>
    <t>02/09/2025</t>
  </si>
  <si>
    <t>04/09/2025</t>
  </si>
  <si>
    <t>03/09/2025</t>
  </si>
  <si>
    <t>Recibido: iphone mes de septembre finito</t>
  </si>
  <si>
    <t>RECIBIDO: iphone mes de septembre finito</t>
  </si>
  <si>
    <t>Adeudo ajuntament de barcelona</t>
  </si>
  <si>
    <t>Adeudo nº 2025216003236562</t>
  </si>
  <si>
    <t>N 2025216003236562 AJUNTAMENT DE BARCELONA</t>
  </si>
  <si>
    <t>Adeudo nº 2025245002938791</t>
  </si>
  <si>
    <t>N 2025245002938791 ENERGIA XXI                          CPVR</t>
  </si>
  <si>
    <t>Biopassio</t>
  </si>
  <si>
    <t>4940197133530195 BIOPASSIO                BARCELONA    ES</t>
  </si>
  <si>
    <t>4940197133530195 01821025 999</t>
  </si>
  <si>
    <t>01/09/2025</t>
  </si>
  <si>
    <t>Condis av.meridiana</t>
  </si>
  <si>
    <t>4940197133530195 CONDIS AV.MERIDIANA      TORRENT DE L'ES</t>
  </si>
  <si>
    <t>31/08/2025</t>
  </si>
  <si>
    <t>Cafe san telmo</t>
  </si>
  <si>
    <t>4940197133530195 CAFE SAN TELMO</t>
  </si>
  <si>
    <t>30/08/2025</t>
  </si>
  <si>
    <t>Adeudo nº 2025244000539502</t>
  </si>
  <si>
    <t>N 2025244000539502 ASSESSORIA I FINQUES FUSTER S.L.</t>
  </si>
  <si>
    <t>Adeudo nº 2025244000663930</t>
  </si>
  <si>
    <t>N 2025244000663930 PILATES 10 Maragall</t>
  </si>
  <si>
    <t>Owners cars</t>
  </si>
  <si>
    <t>4940197133530195 OWNERS CARS              MAO          ES</t>
  </si>
  <si>
    <t>Heladeria la jijonenca</t>
  </si>
  <si>
    <t>4940197133530195 HELADERIA LA JIJONENCA   SANTA COLOMA ES</t>
  </si>
  <si>
    <t>La rotonda masnou</t>
  </si>
  <si>
    <t>4940197133530195 LA ROTONDA MASNOU        EL MASNOU    ES</t>
  </si>
  <si>
    <t>29/08/2025</t>
  </si>
  <si>
    <t>Abono por fraccionamiento de gastos</t>
  </si>
  <si>
    <t>Abono capital préstamo</t>
  </si>
  <si>
    <t>8123450000175812 01827013 704</t>
  </si>
  <si>
    <t>28/08/2025</t>
  </si>
  <si>
    <t>0453-consum b. fabra y pu</t>
  </si>
  <si>
    <t>4940197133530195 0453-CONSUM B. FABRA Y PUBARCELONA    ES</t>
  </si>
  <si>
    <t>Cal pesca</t>
  </si>
  <si>
    <t>4940197133530195 CAL PESCA                BARCELONA    ES</t>
  </si>
  <si>
    <t>Estanco expendiduria 134</t>
  </si>
  <si>
    <t>4940197133530195 ESTANCO EXPENDIDURIA 134 BARCELONA    ES</t>
  </si>
  <si>
    <t>Adeudo nº 2025240002014457</t>
  </si>
  <si>
    <t>N 2025240002014457 AIGUES DE BARCELONA</t>
  </si>
  <si>
    <t>27/08/2025</t>
  </si>
  <si>
    <t>25/08/2025</t>
  </si>
  <si>
    <t>Amzn mktp es*r46rb6a34</t>
  </si>
  <si>
    <t>4940197133530195 AMZN Mktp ES*R46RB6A34</t>
  </si>
  <si>
    <t>23/08/2025</t>
  </si>
  <si>
    <t>Paypal *spotify*p39cf6729</t>
  </si>
  <si>
    <t>4940197133530195 PAYPAL *SPOTIFY*P39CF6729</t>
  </si>
  <si>
    <t>24/08/2025</t>
  </si>
  <si>
    <t>Tfl travel ch</t>
  </si>
  <si>
    <t>4940197133530195 TFL TRAVEL CH</t>
  </si>
  <si>
    <t>26/08/2025</t>
  </si>
  <si>
    <t>Natur love sant andreu</t>
  </si>
  <si>
    <t>4940197133530195 NATUR LOVE SANT ANDREU   BARCELONA    ES</t>
  </si>
  <si>
    <t>Bar torrente</t>
  </si>
  <si>
    <t>4940197133530195 BAR TORRENTE             BARCELONA    ES</t>
  </si>
  <si>
    <t>Farm.ort reixach de pablo</t>
  </si>
  <si>
    <t>4940197133530195 FARM.ORT REIXACH DE PABLOBARCELONA    ES</t>
  </si>
  <si>
    <t>Lulivo</t>
  </si>
  <si>
    <t>4940197133530195 LULIVO</t>
  </si>
  <si>
    <t>Sumup  *emilio santiago a</t>
  </si>
  <si>
    <t>4940197133530195 SUMUP  *EMILIO SANTIAGO A</t>
  </si>
  <si>
    <t>Costa lon liverpool st st</t>
  </si>
  <si>
    <t>4940197133530195 COSTA LON LIVERPOOL ST ST</t>
  </si>
  <si>
    <t>Wh smith stansted</t>
  </si>
  <si>
    <t>4940197133530195 WH Smith Stansted</t>
  </si>
  <si>
    <t>20/08/2025</t>
  </si>
  <si>
    <t>Paypal *stanstedexp</t>
  </si>
  <si>
    <t>4940197133530195 PAYPAL *STANSTEDEXP</t>
  </si>
  <si>
    <t>Paypal *etsyireland</t>
  </si>
  <si>
    <t>4940197133530195 PAYPAL *ETSYIRELAND</t>
  </si>
  <si>
    <t>22/08/2025</t>
  </si>
  <si>
    <t>Amazon medi* ru2ub56h4</t>
  </si>
  <si>
    <t>4940197133530195 AMAZON MEDI* RU2UB56H4</t>
  </si>
  <si>
    <t>Wembley stadium</t>
  </si>
  <si>
    <t>4940197133530195 WEMBLEY STADIUM</t>
  </si>
  <si>
    <t>Wembley grill</t>
  </si>
  <si>
    <t>4940197133530195 WEMBLEY GRILL</t>
  </si>
  <si>
    <t>Ryanair</t>
  </si>
  <si>
    <t>4940197133530195 RYANAIR</t>
  </si>
  <si>
    <t>0309 carlsberg bcn t2 air</t>
  </si>
  <si>
    <t>4940197133530195 0309 CARLSBERG BCN T2 AIRAEROPORT DEL ES</t>
  </si>
  <si>
    <t>La tropa sant andreu</t>
  </si>
  <si>
    <t>4940197133530195 LA TROPA SANT ANDREU     BARCELONA    ES</t>
  </si>
  <si>
    <t>T mobilitat. app</t>
  </si>
  <si>
    <t>4940197133530195 T MOBILITAT. APP         HOSPITALET DEES</t>
  </si>
  <si>
    <t>Amzn mktp es*ru28831e4</t>
  </si>
  <si>
    <t>4940197133530195 AMZN Mktp ES*RU28831E4</t>
  </si>
  <si>
    <t>19/08/2025</t>
  </si>
  <si>
    <t>El tio che</t>
  </si>
  <si>
    <t>4940197133530195 EL TIO CHE               VOLUNTARIS  PES</t>
  </si>
  <si>
    <t>17/08/2025</t>
  </si>
  <si>
    <t>Sumup  *my coco moon</t>
  </si>
  <si>
    <t>4940197133530195 SUMUP  *MY COCO MOON</t>
  </si>
  <si>
    <t>14/08/2025</t>
  </si>
  <si>
    <t>18/08/2025</t>
  </si>
  <si>
    <t>Glovo 14aug bu4lg1uz</t>
  </si>
  <si>
    <t>4940197133530195 Glovo 14AUG BU4LG1UZ</t>
  </si>
  <si>
    <t>Bar perros al agua</t>
  </si>
  <si>
    <t>4940197133530195 BAR PERROS AL AGUA       MATARO       ES</t>
  </si>
  <si>
    <t>Jomarcamps, s.l.</t>
  </si>
  <si>
    <t>4940197133530195 JOMARCAMPS, S.L.         STA. COLOMA DES</t>
  </si>
  <si>
    <t>16/08/2025</t>
  </si>
  <si>
    <t>13/08/2025</t>
  </si>
  <si>
    <t>Booking.com hotel</t>
  </si>
  <si>
    <t>4940197133530195 Booking.com Hotel</t>
  </si>
  <si>
    <t>Recibido: bizum</t>
  </si>
  <si>
    <t>RECIBIDO: Bizum</t>
  </si>
  <si>
    <t>Tropical moldova</t>
  </si>
  <si>
    <t>4940197133530195 TROPICAL MOLDOVA         BALAGUER     ES</t>
  </si>
  <si>
    <t>11/08/2025</t>
  </si>
  <si>
    <t>Amazon* rf10o9i44</t>
  </si>
  <si>
    <t>4940197133530195 AMAZON* RF10O9I44</t>
  </si>
  <si>
    <t>El aroma</t>
  </si>
  <si>
    <t>4940197133530195 EL AROMA                 SANTA COLOMA ES</t>
  </si>
  <si>
    <t>Ingreso en efectivo</t>
  </si>
  <si>
    <t>Bbva oficina nº 0835</t>
  </si>
  <si>
    <t>Farmacia</t>
  </si>
  <si>
    <t>4940197133530195 FARMACIA                 BARCELONA    ES</t>
  </si>
  <si>
    <t>12/08/2025</t>
  </si>
  <si>
    <t>Enviado: kiwoko</t>
  </si>
  <si>
    <t>ENVIADO: Kiwoko</t>
  </si>
  <si>
    <t>10/08/2025</t>
  </si>
  <si>
    <t>Www.amazon.* rf4qo5824</t>
  </si>
  <si>
    <t>4940197133530195 WWW.AMAZON.* RF4QO5824</t>
  </si>
  <si>
    <t>09/08/2025</t>
  </si>
  <si>
    <t>Casa ametller take away</t>
  </si>
  <si>
    <t>4940197133530195 CASA AMETLLER TAKE AWAY</t>
  </si>
  <si>
    <t>Enviado: bandana   jordi e. l</t>
  </si>
  <si>
    <t>ENVIADO: Bandana   Jordi E. L</t>
  </si>
  <si>
    <t>08/08/2025</t>
  </si>
  <si>
    <t>Sq *centris events sl.</t>
  </si>
  <si>
    <t>4940197133530195 SQ *CENTRIS EVENTS SL.</t>
  </si>
  <si>
    <t>Bar maria</t>
  </si>
  <si>
    <t>4940197133530195 BAR MARIA                BADALONA     ES</t>
  </si>
  <si>
    <t>Santa coloma gramenet</t>
  </si>
  <si>
    <t>4940197133530195 SANTA COLOMA GRAMENET    BARCELONA    ES</t>
  </si>
  <si>
    <t>Ftruck taco bell food tru</t>
  </si>
  <si>
    <t>4940197133530195 FTRUCK TACO BELL FOOD TRUPOZUELO DE ALES</t>
  </si>
  <si>
    <t>Adeudo nº 2025218001558836</t>
  </si>
  <si>
    <t>N 2025218001558836 Vodafone Servicios, S.L.U.           CPVR</t>
  </si>
  <si>
    <t>07/08/2025</t>
  </si>
  <si>
    <t>Recibido: iphone mes de agost</t>
  </si>
  <si>
    <t>RECIBIDO: Iphone mes de agost</t>
  </si>
  <si>
    <t>06/08/2025</t>
  </si>
  <si>
    <t>05/08/2025</t>
  </si>
  <si>
    <t>03/08/2025</t>
  </si>
  <si>
    <t>Vans</t>
  </si>
  <si>
    <t>4940197133530195 VANS</t>
  </si>
  <si>
    <t>K tuin sistemas informati</t>
  </si>
  <si>
    <t>4940197133530195 K TUIN SISTEMAS INFORMATIZARAGOZA     ES</t>
  </si>
  <si>
    <t>04/08/2025</t>
  </si>
  <si>
    <t>31/07/2025</t>
  </si>
  <si>
    <t>Mgp*wallapop s l</t>
  </si>
  <si>
    <t>4940197133530195 MGP*Wallapop S L</t>
  </si>
  <si>
    <t>02/08/2025</t>
  </si>
  <si>
    <t>Portal del angel</t>
  </si>
  <si>
    <t>4940197133530195 PORTAL DEL ANGEL         BARCELONA    ES</t>
  </si>
  <si>
    <t>Mialcampo mallorca 212</t>
  </si>
  <si>
    <t>4940197133530195 MIALCAMPO MALLORCA 212   BARCELONA    ES</t>
  </si>
  <si>
    <t>Miscota santa coloma de g</t>
  </si>
  <si>
    <t>4940197133530195 MISCOTA SANTA COLOMA DE GSTA. COLOMA DES</t>
  </si>
  <si>
    <t>El molino - sabor de mi c</t>
  </si>
  <si>
    <t>4940197133530195 EL MOLINO - SABOR DE MI CSANTA COLOMA ES</t>
  </si>
  <si>
    <t>Tcb 2025 gira 3</t>
  </si>
  <si>
    <t>4940197133530195 TCB 2025 GIRA 3          VALENCIA AL MES</t>
  </si>
  <si>
    <t>01/08/2025</t>
  </si>
  <si>
    <t>Recibido: yule</t>
  </si>
  <si>
    <t>RECIBIDO: yule</t>
  </si>
  <si>
    <t>Adeudo nº 2025213000088510</t>
  </si>
  <si>
    <t>N 2025213000088510 ASSESSORIA I FINQUES FUSTER S.L.</t>
  </si>
  <si>
    <t>Adeudo nº 2025213000681523</t>
  </si>
  <si>
    <t>N 2025213000681523 PILATES 10 Maragall</t>
  </si>
  <si>
    <t>30/07/2025</t>
  </si>
  <si>
    <t>29/07/2025</t>
  </si>
  <si>
    <t>Onlinetravelpr united</t>
  </si>
  <si>
    <t>4940197133530195 onlinetravelpr UNITED</t>
  </si>
  <si>
    <t>Bar noray</t>
  </si>
  <si>
    <t>4940197133530195 BAR NORAY                BARCELONA    ES</t>
  </si>
  <si>
    <t>Enviado: brunch</t>
  </si>
  <si>
    <t>ENVIADO: Brunch</t>
  </si>
  <si>
    <t>Casa arana</t>
  </si>
  <si>
    <t>4940197133530195 CASA ARANA               BARCELONA    ES</t>
  </si>
  <si>
    <t>28/07/2025</t>
  </si>
  <si>
    <t>Juana dog sant andreu pc1</t>
  </si>
  <si>
    <t>4940197133530195 JUANA DOG SANT ANDREU PC1BARCELONA    ES</t>
  </si>
  <si>
    <t>Air house park barcelona</t>
  </si>
  <si>
    <t>4940197133530195 AIR HOUSE PARK BARCELONA BADALONA     ES</t>
  </si>
  <si>
    <t>Adeudo nº 2025209001644442</t>
  </si>
  <si>
    <t>N 2025209001644442 ENERGIA XXI                          CPVR</t>
  </si>
  <si>
    <t>27/07/2025</t>
  </si>
  <si>
    <t>J.c. celler vermuteria</t>
  </si>
  <si>
    <t>4940197133530195 J.C. CELLER VERMUTERIA   SANTA COLOMA ES</t>
  </si>
  <si>
    <t>26/07/2025</t>
  </si>
  <si>
    <t>Micande</t>
  </si>
  <si>
    <t>4940197133530195 MICANDE                  BADALONA     ES</t>
  </si>
  <si>
    <t>Ferretti badalona</t>
  </si>
  <si>
    <t>4940197133530195 FERRETTI BADALONA        BADALONA     ES</t>
  </si>
  <si>
    <t>23/07/2025</t>
  </si>
  <si>
    <t>25/07/2025</t>
  </si>
  <si>
    <t>Paypal *spotify*p38d690ef</t>
  </si>
  <si>
    <t>4940197133530195 PAYPAL *SPOTIFY*P38D690EF</t>
  </si>
  <si>
    <t>24/07/2025</t>
  </si>
  <si>
    <t>22/07/2025</t>
  </si>
  <si>
    <t>Hpy*privalia.es</t>
  </si>
  <si>
    <t>4940197133530195 HPY*PRIVALIA.ES</t>
  </si>
  <si>
    <t>21/07/2025</t>
  </si>
  <si>
    <t>Dyson</t>
  </si>
  <si>
    <t>4940197133530195 Dyson</t>
  </si>
  <si>
    <t>19/07/2025</t>
  </si>
  <si>
    <t>Amazon prime*ry2tm9694</t>
  </si>
  <si>
    <t>4940197133530195 Amazon Prime*RY2TM9694</t>
  </si>
  <si>
    <t>Eva</t>
  </si>
  <si>
    <t>4940197133530195 EVA                      STA COLOMA GRES</t>
  </si>
  <si>
    <t>L'estanc del passeig</t>
  </si>
  <si>
    <t>4940197133530195 L'ESTANC DEL PASSEIG     MALGRAT DE MAES</t>
  </si>
  <si>
    <t>4940197133530195 LA SANTA                 SANTA COLOMA ES</t>
  </si>
  <si>
    <t>18/07/2025</t>
  </si>
  <si>
    <t>Fruteria izquierdo</t>
  </si>
  <si>
    <t>4940197133530195 FRUTERIA IZQUIERDO       SANTA COLOMA ES</t>
  </si>
  <si>
    <t>14/07/2025</t>
  </si>
  <si>
    <t>17/07/2025</t>
  </si>
  <si>
    <t>10/07/2025</t>
  </si>
  <si>
    <t>Vueling airlwlkw3q</t>
  </si>
  <si>
    <t>4940197133530195 Vueling AirlWLKW3Q</t>
  </si>
  <si>
    <t>16/07/2025</t>
  </si>
  <si>
    <t>Glovo 14jul bnn6k4cl</t>
  </si>
  <si>
    <t>4940197133530195 Glovo 14JUL BNN6K4CL</t>
  </si>
  <si>
    <t>15/07/2025</t>
  </si>
  <si>
    <t>Perfumeries san remo sl (</t>
  </si>
  <si>
    <t>4940197133530195 PERFUMERIES SAN REMO SL (BARCELONA    ES</t>
  </si>
  <si>
    <t>Santa gloria provenza 378</t>
  </si>
  <si>
    <t>4940197133530195 SANTA GLORIA PROVENZA 378BARCELONA    ES</t>
  </si>
  <si>
    <t>13/07/2025</t>
  </si>
  <si>
    <t>12/07/2025</t>
  </si>
  <si>
    <t>4940197133530195 CERVECERIA THOR          PLA, PASSATGEES</t>
  </si>
  <si>
    <t>Grupo pfa espaãa</t>
  </si>
  <si>
    <t>4940197133530195 GRUPO PFA ESPAAA         BARCELONA    ES</t>
  </si>
  <si>
    <t>11/07/2025</t>
  </si>
  <si>
    <t>Vueling airlines         el prat de lles</t>
  </si>
  <si>
    <t>Compra: vueling airlines         el prat de lles</t>
  </si>
  <si>
    <t>COMPRA: VUELING AIRLINES         EL PRAT DE LLES</t>
  </si>
  <si>
    <t>09/07/2025</t>
  </si>
  <si>
    <t>07/07/2025</t>
  </si>
  <si>
    <t>Zara.com</t>
  </si>
  <si>
    <t>4940197133530195 Zara.com</t>
  </si>
  <si>
    <t>Adeudo nº 2025189001446603</t>
  </si>
  <si>
    <t>N 2025189001446603 Vodafone Servicios, S.L.U.           CPVR</t>
  </si>
  <si>
    <t>08/07/2025</t>
  </si>
  <si>
    <t>06/07/2025</t>
  </si>
  <si>
    <t>Deporvillage</t>
  </si>
  <si>
    <t>4940197133530195 Deporvillage</t>
  </si>
  <si>
    <t>Unipreus sl</t>
  </si>
  <si>
    <t>4940197133530195 Unipreus SL</t>
  </si>
  <si>
    <t>05/07/2025</t>
  </si>
  <si>
    <t>4940197133530195 LA BOTIGA MES QUE GOSSOS</t>
  </si>
  <si>
    <t>4940197133530195 CERVECERIA THOR          SANTA COLOMA ES</t>
  </si>
  <si>
    <t>04/07/2025</t>
  </si>
  <si>
    <t>Bar gavilan</t>
  </si>
  <si>
    <t>4940197133530195 BAR GAVILAN              SANTA COLOMA ES</t>
  </si>
  <si>
    <t>02/07/2025</t>
  </si>
  <si>
    <t>03/07/2025</t>
  </si>
  <si>
    <t>Adeudo nº 2025171000490986</t>
  </si>
  <si>
    <t>N 2025171000490986 AJUNTAMENT DE BARCELONA</t>
  </si>
  <si>
    <t>Recibido: iphone mes de juliol</t>
  </si>
  <si>
    <t>RECIBIDO: iphone mes de juliol</t>
  </si>
  <si>
    <t>01/07/2025</t>
  </si>
  <si>
    <t>30/06/2025</t>
  </si>
  <si>
    <t>Adeudo nº 2025182000843548</t>
  </si>
  <si>
    <t>N 2025182000843548 ASSESSORIA I FINQUES FUSTER S.L.</t>
  </si>
  <si>
    <t>Adeudo nº 2025182000350644</t>
  </si>
  <si>
    <t>N 2025182000350644 PILATES 10 Maragall</t>
  </si>
  <si>
    <t>27/06/2025</t>
  </si>
  <si>
    <t>Casa del gusto</t>
  </si>
  <si>
    <t>4940197133530195 CASA DEL GUSTO</t>
  </si>
  <si>
    <t>28/06/2025</t>
  </si>
  <si>
    <t>Glovo 28jun b9mtnpn8</t>
  </si>
  <si>
    <t>4940197133530195 Glovo 28JUN B9MTNPN8</t>
  </si>
  <si>
    <t>Adeudo nº 2025181003092033</t>
  </si>
  <si>
    <t>N 2025181003092033 AIGUES DE BARCELONA</t>
  </si>
  <si>
    <t>Cv sant andreu</t>
  </si>
  <si>
    <t>4940197133530195 CV SANT ANDREU           BARCELONA    ES</t>
  </si>
  <si>
    <t>Adeudo nº 2025178003440953</t>
  </si>
  <si>
    <t>N 2025178003440953 ENERGIA XXI                          CPVR</t>
  </si>
  <si>
    <t>29/06/2025</t>
  </si>
  <si>
    <t>Expendeduria n. 8</t>
  </si>
  <si>
    <t>4940197133530195 EXPENDEDURIA N. 8        STA COLOMA GRES</t>
  </si>
  <si>
    <t>Delicatessen argentina</t>
  </si>
  <si>
    <t>4940197133530195 DELICATESSEN ARGENTINA   BARCELONA    ES</t>
  </si>
  <si>
    <t>Suca'l sant andreu</t>
  </si>
  <si>
    <t>4940197133530195 SUCA'L SANT ANDREU       BARCELONA    ES</t>
  </si>
  <si>
    <t>Gasch xarcuters sl</t>
  </si>
  <si>
    <t>4940197133530195 GASCH XARCUTERS SL       BARCELONA    ES</t>
  </si>
  <si>
    <t>24/06/2025</t>
  </si>
  <si>
    <t>Amazon* yw5xq8z45</t>
  </si>
  <si>
    <t>4940197133530195 AMAZON* YW5XQ8Z45</t>
  </si>
  <si>
    <t>El raco del cafe</t>
  </si>
  <si>
    <t>4940197133530195 EL RACO DEL CAFE         SANTA COLOMA ES</t>
  </si>
  <si>
    <t>26/06/2025</t>
  </si>
  <si>
    <t>Swing</t>
  </si>
  <si>
    <t>4940197133530195 SWING                    SANTA COLOMA ES</t>
  </si>
  <si>
    <t>La font</t>
  </si>
  <si>
    <t>4940197133530195 LA FONT                  BARCELONA    ES</t>
  </si>
  <si>
    <t>Estanc 160</t>
  </si>
  <si>
    <t>4940197133530195 ESTANC 160               BARCELONA    ES</t>
  </si>
  <si>
    <t>25/06/2025</t>
  </si>
  <si>
    <t>4940197133530195 01822392 999</t>
  </si>
  <si>
    <t>23/06/2025</t>
  </si>
  <si>
    <t>Pp*spotify*p37ed1a58b</t>
  </si>
  <si>
    <t>4940197133530195 PP*SPOTIFY*P37ED1A58B</t>
  </si>
  <si>
    <t>Brillant santa coloma s.l</t>
  </si>
  <si>
    <t>4940197133530195 BRILLANT SANTA COLOMA S.LSANTA COLOMA ES</t>
  </si>
  <si>
    <t>19/06/2025</t>
  </si>
  <si>
    <t>Amazon* 3z36h67r5</t>
  </si>
  <si>
    <t>4940197133530195 AMAZON* 3Z36H67R5</t>
  </si>
  <si>
    <t>22/06/2025</t>
  </si>
  <si>
    <t>J. sirvent</t>
  </si>
  <si>
    <t>4940197133530195 J. SIRVENT               SANTA COLOMA ES</t>
  </si>
  <si>
    <t>Petslovers</t>
  </si>
  <si>
    <t>4940197133530195 PETSLOVERS               RUBI         ES</t>
  </si>
  <si>
    <t>21/06/2025</t>
  </si>
  <si>
    <t>Port de mataro</t>
  </si>
  <si>
    <t>4940197133530195 PORT DE MATARO           MATARO       ES</t>
  </si>
  <si>
    <t>Chiringuito neptuno</t>
  </si>
  <si>
    <t>4940197133530195 CHIRINGUITO NEPTUNO      MATARO       ES</t>
  </si>
  <si>
    <t>Bellmore</t>
  </si>
  <si>
    <t>4940197133530195 BELLMORE                 BARCELONA    ES</t>
  </si>
  <si>
    <t>20/06/2025</t>
  </si>
  <si>
    <t>Lidl bcn-gran de st an</t>
  </si>
  <si>
    <t>4940197133530195 LIDL BCN-GRAN DE ST AN   BARCELONA    ES</t>
  </si>
  <si>
    <t>Pastisseria aveda</t>
  </si>
  <si>
    <t>4940197133530195 PASTISSERIA AVEDA        BARCELONA    ES</t>
  </si>
  <si>
    <t>18/06/2025</t>
  </si>
  <si>
    <t>17/06/2025</t>
  </si>
  <si>
    <t>14/06/2025</t>
  </si>
  <si>
    <t>15/06/2025</t>
  </si>
  <si>
    <t>16/06/2025</t>
  </si>
  <si>
    <t>Enviado: regal veli</t>
  </si>
  <si>
    <t>ENVIADO: Regal Veli</t>
  </si>
  <si>
    <t>11/06/2025</t>
  </si>
  <si>
    <t>13/06/2025</t>
  </si>
  <si>
    <t>Privalia</t>
  </si>
  <si>
    <t>4940197133530195 PRIVALIA</t>
  </si>
  <si>
    <t>8123450000175812 01827013 908</t>
  </si>
  <si>
    <t>12/06/2025</t>
  </si>
  <si>
    <t>Festival sonar dia</t>
  </si>
  <si>
    <t>4940197133530195 FESTIVAL SONAR DIA       BARCELONA    ES</t>
  </si>
  <si>
    <t>Enviado: sonar</t>
  </si>
  <si>
    <t>ENVIADO: Sonar</t>
  </si>
  <si>
    <t>10/06/2025</t>
  </si>
  <si>
    <t>Adeudo nº 2025157001531593</t>
  </si>
  <si>
    <t>N 2025157001531593 Vodafone                             CPVR</t>
  </si>
  <si>
    <t>08/06/2025</t>
  </si>
  <si>
    <t>09/06/2025</t>
  </si>
  <si>
    <t>El trebol</t>
  </si>
  <si>
    <t>4940197133530195 EL TREBOL                SANTA COLOMA ES</t>
  </si>
  <si>
    <t>07/06/2025</t>
  </si>
  <si>
    <t>Bar bitacora</t>
  </si>
  <si>
    <t>4940197133530195 BAR BITACORA             BARCELONA    ES</t>
  </si>
  <si>
    <t>Smyrna</t>
  </si>
  <si>
    <t>4940197133530195 SMYRNA                   BARCELONA    ES</t>
  </si>
  <si>
    <t>06/06/2025</t>
  </si>
  <si>
    <t>Carobels</t>
  </si>
  <si>
    <t>4940197133530195 CAROBELS                 SANTA COLOMA ES</t>
  </si>
  <si>
    <t>03/06/2025</t>
  </si>
  <si>
    <t>05/06/2025</t>
  </si>
  <si>
    <t>Adeudo nº 2025156000902931</t>
  </si>
  <si>
    <t>N 2025156000902931 ASSESSORIA I FINQUES FUSTER S.L.</t>
  </si>
  <si>
    <t>Adeudo nº 2025155002037956</t>
  </si>
  <si>
    <t>N 2025155002037956 ENERGIA XXI                          CPVR</t>
  </si>
  <si>
    <t>04/06/2025</t>
  </si>
  <si>
    <t>El molino sabor de mi col</t>
  </si>
  <si>
    <t>4940197133530195 EL MOLINO SABOR DE MI COLSANTA COLOMA ES</t>
  </si>
  <si>
    <t>L estanc de la rambla</t>
  </si>
  <si>
    <t>4940197133530195 L ESTANC DE LA RAMBLA    STA. COLOMA DES</t>
  </si>
  <si>
    <t>Marta masi               madrid       es</t>
  </si>
  <si>
    <t>Compra: marta masi</t>
  </si>
  <si>
    <t>COMPRA: MARTA MASI</t>
  </si>
  <si>
    <t>02/06/2025</t>
  </si>
  <si>
    <t>Adeudo nº 2025125002795019</t>
  </si>
  <si>
    <t>N 2025125002795019 AJUNTAMENT DE BARCELONA</t>
  </si>
  <si>
    <t>30/05/2025</t>
  </si>
  <si>
    <t>Recibido: iphone mes de juny</t>
  </si>
  <si>
    <t>RECIBIDO: iphone mes de Juny</t>
  </si>
  <si>
    <t>Adeudo nº 2025153000178413</t>
  </si>
  <si>
    <t>N 2025153000178413 PILATES 10 Maragall</t>
  </si>
  <si>
    <t>01/06/2025</t>
  </si>
  <si>
    <t>31/05/2025</t>
  </si>
  <si>
    <t>Enviado: patri copa</t>
  </si>
  <si>
    <t>ENVIADO: Patri copa</t>
  </si>
  <si>
    <t>Enviado: jordi</t>
  </si>
  <si>
    <t>ENVIADO: Jordi</t>
  </si>
  <si>
    <t>Supermercats sandicar</t>
  </si>
  <si>
    <t>4940197133530195 SUPERMERCATS SANDICAR    BARCELONA    ES</t>
  </si>
  <si>
    <t>Lady nail</t>
  </si>
  <si>
    <t>4940197133530195 LADY NAIL                BARCELONA    ES</t>
  </si>
  <si>
    <t>13/05/2025</t>
  </si>
  <si>
    <t>Temu.com</t>
  </si>
  <si>
    <t>4940197133530195 TEMU.COM</t>
  </si>
  <si>
    <t>Rua taverna gastronomica</t>
  </si>
  <si>
    <t>4940197133530195 RUA TAVERNA GASTRONOMICA BARCELONA    ES</t>
  </si>
  <si>
    <t>29/05/2025</t>
  </si>
  <si>
    <t>Lidia sanchez</t>
  </si>
  <si>
    <t>4940197133530195 LIDIA SANCHEZ            BADALONA     ES</t>
  </si>
  <si>
    <t>Enviado: yuleini</t>
  </si>
  <si>
    <t>ENVIADO: Yuleini</t>
  </si>
  <si>
    <t>28/05/2025</t>
  </si>
  <si>
    <t>23/05/2025</t>
  </si>
  <si>
    <t>26/05/2025</t>
  </si>
  <si>
    <t>Pp*p370b0e141</t>
  </si>
  <si>
    <t>4940197133530195 PP*P370B0E141</t>
  </si>
  <si>
    <t>24/05/2025</t>
  </si>
  <si>
    <t>Don martin</t>
  </si>
  <si>
    <t>4940197133530195 DON MARTIN               SANTA COLOMA ES</t>
  </si>
  <si>
    <t>4940197133530195 FRANKINGFURT             STA. COLOMA DES</t>
  </si>
  <si>
    <t>La cantonada d'olesa</t>
  </si>
  <si>
    <t>4940197133530195 LA CANTONADA D'OLESA     BARCELONA    ES</t>
  </si>
  <si>
    <t>Gran de sant andreu</t>
  </si>
  <si>
    <t>4940197133530195 GRAN DE SANT ANDREU      BARCELONA    ES</t>
  </si>
  <si>
    <t>22/05/2025</t>
  </si>
  <si>
    <t>Razzmatazz</t>
  </si>
  <si>
    <t>4940197133530195 RAZZMATAZZ               BARCELONA    ES</t>
  </si>
  <si>
    <t>21/05/2025</t>
  </si>
  <si>
    <t>Estanc st andreu</t>
  </si>
  <si>
    <t>4940197133530195 ESTANC ST ANDREU         BARCELONA    ES</t>
  </si>
  <si>
    <t>19/05/2025</t>
  </si>
  <si>
    <t>Sp ecoalf</t>
  </si>
  <si>
    <t>4940197133530195 SP ECOALF</t>
  </si>
  <si>
    <t>20/05/2025</t>
  </si>
  <si>
    <t>Enviado: patri - regalo bb carmen</t>
  </si>
  <si>
    <t>ENVIADO: Patri - Regalo bb Carmen</t>
  </si>
  <si>
    <t>17/05/2025</t>
  </si>
  <si>
    <t>Sumup  *associacio ame</t>
  </si>
  <si>
    <t>4940197133530195 SumUp  *Associacio AME</t>
  </si>
  <si>
    <t>15/05/2025</t>
  </si>
  <si>
    <t>Glovo 15may bkfxatbn</t>
  </si>
  <si>
    <t>4940197133530195 Glovo 15MAY BKFXATBN</t>
  </si>
  <si>
    <t>Levis online shop</t>
  </si>
  <si>
    <t>4940197133530195 Levis Online Shop</t>
  </si>
  <si>
    <t>Aeat            apl:declaracion i.r.p.f            24mod:100inf:expediente agencia tributaria       exp:2024dev10052810593p           aeat</t>
  </si>
  <si>
    <t>DECLARACION I.R.P.F</t>
  </si>
  <si>
    <t>14/05/2025</t>
  </si>
  <si>
    <t>16/05/2025</t>
  </si>
  <si>
    <t>Paypal *itunesappst ap</t>
  </si>
  <si>
    <t>4940197133530195 PAYPAL *ITUNESAPPST AP</t>
  </si>
  <si>
    <t>Fenomenail</t>
  </si>
  <si>
    <t>4940197133530195 FENOMENAIL               BARCELONA    ES</t>
  </si>
  <si>
    <t>11/05/2025</t>
  </si>
  <si>
    <t>Sp thedooglife</t>
  </si>
  <si>
    <t>4940197133530195 SP THEDOOGLIFE</t>
  </si>
  <si>
    <t>08/05/2025</t>
  </si>
  <si>
    <t>12/05/2025</t>
  </si>
  <si>
    <t>Amazon* rh0144xj4</t>
  </si>
  <si>
    <t>4940197133530195 AMAZON* RH0144XJ4</t>
  </si>
  <si>
    <t>El forn del barri</t>
  </si>
  <si>
    <t>4940197133530195 EL FORN DEL BARRI        SANTA COLOMA ES</t>
  </si>
  <si>
    <t>Virutas dinaf</t>
  </si>
  <si>
    <t>4940197133530195 VIRUTAS DINAF            L'HOSPITALET ES</t>
  </si>
  <si>
    <t>10/05/2025</t>
  </si>
  <si>
    <t>Fruiteria bona</t>
  </si>
  <si>
    <t>4940197133530195 FRUITERIA BONA           SANTA COLOMA ES</t>
  </si>
  <si>
    <t>Bombay</t>
  </si>
  <si>
    <t>4940197133530195 BOMBAY                   SANTA COLOMA ES</t>
  </si>
  <si>
    <t>09/05/2025</t>
  </si>
  <si>
    <t>Recibido: birra amaia</t>
  </si>
  <si>
    <t>RECIBIDO: birra amaia</t>
  </si>
  <si>
    <t>Adeudo nº 2025126002603547</t>
  </si>
  <si>
    <t>N 2025126002603547 Vodafone                             CPVR</t>
  </si>
  <si>
    <t>07/05/2025</t>
  </si>
  <si>
    <t>Traspaso desde cuenta</t>
  </si>
  <si>
    <t>06/05/2025</t>
  </si>
  <si>
    <t>04/05/2025</t>
  </si>
  <si>
    <t>Arbitrade ae barcelona</t>
  </si>
  <si>
    <t>4940197133530195 ARBITRADE AE BARCELONA</t>
  </si>
  <si>
    <t>05/05/2025</t>
  </si>
  <si>
    <t>Recibido: iphone mes de maig</t>
  </si>
  <si>
    <t>RECIBIDO: Iphone mes de Maig</t>
  </si>
  <si>
    <t>03/05/2025</t>
  </si>
  <si>
    <t>Vueling airlamuqrx</t>
  </si>
  <si>
    <t>4940197133530195 Vueling AirlAMUQRX</t>
  </si>
  <si>
    <t>01/05/2025</t>
  </si>
  <si>
    <t>Caffe dei barbareschi</t>
  </si>
  <si>
    <t>4940197133530195 CAFFE DEI BARBARESCHI</t>
  </si>
  <si>
    <t>02/05/2025</t>
  </si>
  <si>
    <t>I grande parrucchieri di</t>
  </si>
  <si>
    <t>4940197133530195 I GRANDE PARRUCCHIERI DI</t>
  </si>
  <si>
    <t>Revolut**4215*</t>
  </si>
  <si>
    <t>4940197133530195 Revolut**4215*</t>
  </si>
  <si>
    <t>30/04/2025</t>
  </si>
  <si>
    <t>Suisse pompei</t>
  </si>
  <si>
    <t>4940197133530195 SUISSE POMPEI</t>
  </si>
  <si>
    <t>Adeudo nº 2025122000080625</t>
  </si>
  <si>
    <t>N 2025122000080625 ASSESSORIA I FINQUES FUSTER S.L.</t>
  </si>
  <si>
    <t>Adeudo nº 2025122000144509</t>
  </si>
  <si>
    <t>N 2025122000144509 PILATES 10 Maragall</t>
  </si>
  <si>
    <t>28/04/2025</t>
  </si>
  <si>
    <t>Adeudo nº 2025120002944823</t>
  </si>
  <si>
    <t>N 2025120002944823 AIGUES DE BARCELONA</t>
  </si>
  <si>
    <t>29/04/2025</t>
  </si>
  <si>
    <t>T1006 enrique tomas</t>
  </si>
  <si>
    <t>4940197133530195 T1006 ENRIQUE TOMAS      EL PRAT DE LLES</t>
  </si>
  <si>
    <t>Adeudo nº 2025119003019518</t>
  </si>
  <si>
    <t>N 2025119003019518 ENERGIA XXI                          CPVR</t>
  </si>
  <si>
    <t>27/04/2025</t>
  </si>
  <si>
    <t>Enviado: regalo amaia</t>
  </si>
  <si>
    <t>ENVIADO: Regalo Amaia</t>
  </si>
  <si>
    <t>26/04/2025</t>
  </si>
  <si>
    <t>Magic</t>
  </si>
  <si>
    <t>4940197133530195 MAGIC                    BARCELONA    ES</t>
  </si>
  <si>
    <t>La bodegueta st andreu</t>
  </si>
  <si>
    <t>4940197133530195 LA BODEGUETA ST ANDREU   BARCELONA    ES</t>
  </si>
  <si>
    <t>25/04/2025</t>
  </si>
  <si>
    <t>23/04/2025</t>
  </si>
  <si>
    <t>Pp*p361d5ffb9</t>
  </si>
  <si>
    <t>4940197133530195 PP*P361D5FFB9</t>
  </si>
  <si>
    <t>Blo nail salon</t>
  </si>
  <si>
    <t>4940197133530195 BLO NAIL SALON           BARCELONA    ES</t>
  </si>
  <si>
    <t>24/04/2025</t>
  </si>
  <si>
    <t>Dgere</t>
  </si>
  <si>
    <t>4940197133530195 DGERE                    SANTA COLOMA ES</t>
  </si>
  <si>
    <t>22/04/2025</t>
  </si>
  <si>
    <t>Amzn mktp es*ra7uw3q54</t>
  </si>
  <si>
    <t>4940197133530195 AMZN Mktp ES*RA7UW3Q54</t>
  </si>
  <si>
    <t>Norarealfood sl</t>
  </si>
  <si>
    <t>4940197133530195 NORAREALFOOD SL          BARCELONA    ES</t>
  </si>
  <si>
    <t>16/04/2025</t>
  </si>
  <si>
    <t>21/04/2025</t>
  </si>
  <si>
    <t>Paypal *tradeinnret</t>
  </si>
  <si>
    <t>4940197133530195 PAYPAL *TRADEINNRET</t>
  </si>
  <si>
    <t>20/04/2025</t>
  </si>
  <si>
    <t>19/04/2025</t>
  </si>
  <si>
    <t>15/04/2025</t>
  </si>
  <si>
    <t>17/04/2025</t>
  </si>
  <si>
    <t>La casa del gusto</t>
  </si>
  <si>
    <t>4940197133530195 LA CASA DEL GUSTO</t>
  </si>
  <si>
    <t>14/04/2025</t>
  </si>
  <si>
    <t>Cooltra</t>
  </si>
  <si>
    <t>4940197133530195 COOLTRA</t>
  </si>
  <si>
    <t>Solicitud recibida: napoles</t>
  </si>
  <si>
    <t>SOLICITUD RECIBIDA: Napoles</t>
  </si>
  <si>
    <t>Enviado: napoles</t>
  </si>
  <si>
    <t>ENVIADO: Napoles</t>
  </si>
  <si>
    <t>Enviado: papa patri</t>
  </si>
  <si>
    <t>ENVIADO: Papa patri</t>
  </si>
  <si>
    <t>13/04/2025</t>
  </si>
  <si>
    <t>12/04/2025</t>
  </si>
  <si>
    <t>Jj marino</t>
  </si>
  <si>
    <t>4940197133530195 JJ MARINO                STA. COLOMA  ES</t>
  </si>
  <si>
    <t>11/04/2025</t>
  </si>
  <si>
    <t>Casa donoso gourmet</t>
  </si>
  <si>
    <t>4940197133530195 CASA DONOSO GOURMET      BARCELONA    ES</t>
  </si>
  <si>
    <t>10/04/2025</t>
  </si>
  <si>
    <t>09/04/2025</t>
  </si>
  <si>
    <t>Adeudo nº 2025097002267076</t>
  </si>
  <si>
    <t>N 2025097002267076 Vodafone                             CPVR</t>
  </si>
  <si>
    <t>08/04/2025</t>
  </si>
  <si>
    <t>07/04/2025</t>
  </si>
  <si>
    <t>Estanco santa coloma</t>
  </si>
  <si>
    <t>4940197133530195 ESTANCO SANTA COLOMA     SANTA COLOMA ES</t>
  </si>
  <si>
    <t>06/04/2025</t>
  </si>
  <si>
    <t>05/04/2025</t>
  </si>
  <si>
    <t>Slow barcelona</t>
  </si>
  <si>
    <t>4940197133530195 SLOW BARCELONA           BARCELONA    ES</t>
  </si>
  <si>
    <t>Enviado: farmacia</t>
  </si>
  <si>
    <t>ENVIADO: Farmacia</t>
  </si>
  <si>
    <t>Ruta n2</t>
  </si>
  <si>
    <t>4940197133530195 RUTA N2                  BADALONA     ES</t>
  </si>
  <si>
    <t>04/04/2025</t>
  </si>
  <si>
    <t>4 latas poblenou</t>
  </si>
  <si>
    <t>4940197133530195 4 LATAS POBLENOU         BARCELONA    ES</t>
  </si>
  <si>
    <t>Recibido: iphone mes de abril</t>
  </si>
  <si>
    <t>RECIBIDO: iphone mes de abril</t>
  </si>
  <si>
    <t>03/04/2025</t>
  </si>
  <si>
    <t>El mes natural</t>
  </si>
  <si>
    <t>4940197133530195 EL MES NATURAL           BARCELONA    ES</t>
  </si>
  <si>
    <t>01/04/2025</t>
  </si>
  <si>
    <t>02/04/2025</t>
  </si>
  <si>
    <t>Adeudo nº 2025091000550116</t>
  </si>
  <si>
    <t>N 2025091000550116 ASSESSORIA I FINQUES FUSTER S.L.</t>
  </si>
  <si>
    <t>Adeudo nº 2025091000251719</t>
  </si>
  <si>
    <t>N 2025091000251719 PILATES 10 Maragall</t>
  </si>
  <si>
    <t>29/03/2025</t>
  </si>
  <si>
    <t>31/03/2025</t>
  </si>
  <si>
    <t>4940197133530195 NETFLIX.COM</t>
  </si>
  <si>
    <t>28/03/2025</t>
  </si>
  <si>
    <t>Adeudo nº 2025087002696222</t>
  </si>
  <si>
    <t>N 2025087002696222 ENERGIA XXI                          CPVR</t>
  </si>
  <si>
    <t>Turris panem sl</t>
  </si>
  <si>
    <t>4940197133530195 TURRIS PANEM SL          BADALONA     ES</t>
  </si>
  <si>
    <t>27/03/2025</t>
  </si>
  <si>
    <t>Enviado: robo pompeia</t>
  </si>
  <si>
    <t>ENVIADO: Robo pompeia</t>
  </si>
  <si>
    <t>26/03/2025</t>
  </si>
  <si>
    <t>25/03/2025</t>
  </si>
  <si>
    <t>Granier</t>
  </si>
  <si>
    <t>4940197133530195 GRANIER                  BARCELONA    ES</t>
  </si>
  <si>
    <t>23/03/2025</t>
  </si>
  <si>
    <t>Justeat</t>
  </si>
  <si>
    <t>4940197133530195 JustEat</t>
  </si>
  <si>
    <t>Paypal *p352f77290</t>
  </si>
  <si>
    <t>4940197133530195 PAYPAL *P352F77290</t>
  </si>
  <si>
    <t>Enviado: patri - regalo thais</t>
  </si>
  <si>
    <t>ENVIADO: Patri - Regalo Thais</t>
  </si>
  <si>
    <t>24/03/2025</t>
  </si>
  <si>
    <t>20/03/2025</t>
  </si>
  <si>
    <t>Santa coloma de gramane</t>
  </si>
  <si>
    <t>4940197133530195 SANTA COLOMA DE GRAMANE</t>
  </si>
  <si>
    <t>Enviado: anazon</t>
  </si>
  <si>
    <t>ENVIADO: Anazon</t>
  </si>
  <si>
    <t>22/03/2025</t>
  </si>
  <si>
    <t>21/03/2025</t>
  </si>
  <si>
    <t>Itv la maquinista caracas</t>
  </si>
  <si>
    <t>4940197133530195 ITV LA MAQUINISTA CARACASBARCELONA    ES</t>
  </si>
  <si>
    <t>19/03/2025</t>
  </si>
  <si>
    <t>Expendiduria 11-santa col</t>
  </si>
  <si>
    <t>4940197133530195 EXPENDIDURIA 11-SANTA COLSTA. COLOMA DES</t>
  </si>
  <si>
    <t>18/03/2025</t>
  </si>
  <si>
    <t>De patri triano regalo boda ryj</t>
  </si>
  <si>
    <t>DE PATRI TRIANO REGALO BODA RYJ</t>
  </si>
  <si>
    <t>15/03/2025</t>
  </si>
  <si>
    <t>17/03/2025</t>
  </si>
  <si>
    <t>Amzn mktp es*ri9qs20v4</t>
  </si>
  <si>
    <t>4940197133530195 AMZN Mktp ES*RI9QS20V4</t>
  </si>
  <si>
    <t>14/03/2025</t>
  </si>
  <si>
    <t>Macxipa torras i bages</t>
  </si>
  <si>
    <t>4940197133530195 MACXIPA TORRAS I BAGES   BARCELONA    ES</t>
  </si>
  <si>
    <t>16/03/2025</t>
  </si>
  <si>
    <t>Meridiana forn del passei</t>
  </si>
  <si>
    <t>4940197133530195 MERIDIANA FORN DEL PASSEIBARCELONA    ES</t>
  </si>
  <si>
    <t>11/03/2025</t>
  </si>
  <si>
    <t>13/03/2025</t>
  </si>
  <si>
    <t>Amzn mktp es*rb0wg6sq4</t>
  </si>
  <si>
    <t>4940197133530195 AMZN Mktp ES*RB0WG6SQ4</t>
  </si>
  <si>
    <t>12/03/2025</t>
  </si>
  <si>
    <t>RECIBIDO: YULE</t>
  </si>
  <si>
    <t>10/03/2025</t>
  </si>
  <si>
    <t>Adeudo nº 2025065001538559</t>
  </si>
  <si>
    <t>N 2025065001538559 Vodafone                             CPVR</t>
  </si>
  <si>
    <t>09/03/2025</t>
  </si>
  <si>
    <t>L'arrosseria xativa</t>
  </si>
  <si>
    <t>4940197133530195 L'ARROSSERIA XATIVA      BARCELONA    ES</t>
  </si>
  <si>
    <t>The vegan corner</t>
  </si>
  <si>
    <t>4940197133530195 THE VEGAN CORNER         BARCELONA    ES</t>
  </si>
  <si>
    <t>08/03/2025</t>
  </si>
  <si>
    <t>Macxipa santa anna</t>
  </si>
  <si>
    <t>4940197133530195 MACXIPA SANTA ANNA       STA. COLOMA  ES</t>
  </si>
  <si>
    <t>06/03/2025</t>
  </si>
  <si>
    <t>05/03/2025</t>
  </si>
  <si>
    <t>Recibido: iphone mes de marc</t>
  </si>
  <si>
    <t>RECIBIDO: iphone mes de marc</t>
  </si>
  <si>
    <t>Adeudo nº 2025063002577256</t>
  </si>
  <si>
    <t>N 2025063002577256 ENERGIA XXI                          CPVR</t>
  </si>
  <si>
    <t>04/03/2025</t>
  </si>
  <si>
    <t>28/02/2025</t>
  </si>
  <si>
    <t>03/03/2025</t>
  </si>
  <si>
    <t>Paypal *thedooglife</t>
  </si>
  <si>
    <t>4940197133530195 PAYPAL *THEDOOGLIFE</t>
  </si>
  <si>
    <t>Adeudo nº 2025062001427075</t>
  </si>
  <si>
    <t>N 2025062001427075 ASSESSORIA I FINQUES FUSTER S.L.</t>
  </si>
  <si>
    <t>Adeudo nº 2025062000528823</t>
  </si>
  <si>
    <t>N 2025062000528823 PILATES 10 Maragall</t>
  </si>
  <si>
    <t>Adeudo nº 2025038000839357</t>
  </si>
  <si>
    <t>N 2025038000839357 AJUNTAMENT DE BARCELONA</t>
  </si>
  <si>
    <t>01/03/2025</t>
  </si>
  <si>
    <t>Pastadei</t>
  </si>
  <si>
    <t>4940197133530195 PASTADEI                 BARCELONA    ES</t>
  </si>
  <si>
    <t>Adeudo nº 2025059002878453</t>
  </si>
  <si>
    <t>N 2025059002878453 AIGUES DE BARCELONA</t>
  </si>
  <si>
    <t>27/02/2025</t>
  </si>
  <si>
    <t>26/02/2025</t>
  </si>
  <si>
    <t>Agricola marcilla sl</t>
  </si>
  <si>
    <t>4940197133530195 AGRICOLA MARCILLA SL     BARCELONA    ES</t>
  </si>
  <si>
    <t>25/02/2025</t>
  </si>
  <si>
    <t>23/02/2025</t>
  </si>
  <si>
    <t>Paypal *p344b045cd</t>
  </si>
  <si>
    <t>4940197133530195 PAYPAL *P344B045CD</t>
  </si>
  <si>
    <t>24/02/2025</t>
  </si>
  <si>
    <t>22/02/2025</t>
  </si>
  <si>
    <t>Condis</t>
  </si>
  <si>
    <t>4940197133530195 CONDIS                   STA. COLOMA DES</t>
  </si>
  <si>
    <t>Enviado: cooper</t>
  </si>
  <si>
    <t>ENVIADO: Cooper</t>
  </si>
  <si>
    <t>15/02/2025</t>
  </si>
  <si>
    <t>19/02/2025</t>
  </si>
  <si>
    <t>16/02/2025</t>
  </si>
  <si>
    <t>18/02/2025</t>
  </si>
  <si>
    <t>Amzn mktp es*rt57i9i14</t>
  </si>
  <si>
    <t>4940197133530195 AMZN Mktp ES*RT57I9I14</t>
  </si>
  <si>
    <t>Consum on line 0378 b alc</t>
  </si>
  <si>
    <t>17/02/2025</t>
  </si>
  <si>
    <t>La botiga de la pepi</t>
  </si>
  <si>
    <t>4940197133530195 LA BOTIGA DE LA PEPI     BARCELONA    ES</t>
  </si>
  <si>
    <t>Amazon* rt4rj1se4</t>
  </si>
  <si>
    <t>4940197133530195 AMAZON* RT4RJ1SE4</t>
  </si>
  <si>
    <t>14/02/2025</t>
  </si>
  <si>
    <t>Tutti frutti</t>
  </si>
  <si>
    <t>4940197133530195 TUTTI FRUTTI             SANTA COLOMA ES</t>
  </si>
  <si>
    <t>13/02/2025</t>
  </si>
  <si>
    <t>12/02/2025</t>
  </si>
  <si>
    <t>Macxipa gran sant andreu</t>
  </si>
  <si>
    <t>4940197133530195 MACXIPA GRAN SANT ANDREU BARCELONA    ES</t>
  </si>
  <si>
    <t>11/02/2025</t>
  </si>
  <si>
    <t>10/02/2025</t>
  </si>
  <si>
    <t>Adeudo nº 2025037001554894</t>
  </si>
  <si>
    <t>N 2025037001554894 Vodafone                             CPVR</t>
  </si>
  <si>
    <t>08/02/2025</t>
  </si>
  <si>
    <t>07/02/2025</t>
  </si>
  <si>
    <t>Adeudo nº 2025037001412147</t>
  </si>
  <si>
    <t>N 2025037001412147 ENERGIA XXI                          CPVR</t>
  </si>
  <si>
    <t>06/02/2025</t>
  </si>
  <si>
    <t>05/02/2025</t>
  </si>
  <si>
    <t>04/02/2025</t>
  </si>
  <si>
    <t>Recibido: iphone mes de gener</t>
  </si>
  <si>
    <t>RECIBIDO: iphone mes de gener</t>
  </si>
  <si>
    <t>03/02/2025</t>
  </si>
  <si>
    <t>Mascotas 1000</t>
  </si>
  <si>
    <t>4940197133530195 MASCOTAS 1000            BARCELONA    ES</t>
  </si>
  <si>
    <t>Beths sant andreu</t>
  </si>
  <si>
    <t>4940197133530195 BETHS SANT ANDREU        BARCELONA    ES</t>
  </si>
  <si>
    <t>Adeudo nº 2025034000414789</t>
  </si>
  <si>
    <t>N 2025034000414789 ASSESSORIA I FINQUES FUSTER S.L.</t>
  </si>
  <si>
    <t>Adeudo nº 2025034000192447</t>
  </si>
  <si>
    <t>N 2025034000192447 PILATES 10 Maragall</t>
  </si>
  <si>
    <t>02/02/2025</t>
  </si>
  <si>
    <t>Enviado: comida</t>
  </si>
  <si>
    <t>ENVIADO: Comida</t>
  </si>
  <si>
    <t>Recibido: reste juleini</t>
  </si>
  <si>
    <t>RECIBIDO: reste Juleini</t>
  </si>
  <si>
    <t>01/02/2025</t>
  </si>
  <si>
    <t>31/01/2025</t>
  </si>
  <si>
    <t>29/01/2025</t>
  </si>
  <si>
    <t>24/01/2025</t>
  </si>
  <si>
    <t>Sa *sub astrolinetoday</t>
  </si>
  <si>
    <t>4940197133530195 SA *sub astrolinetoday</t>
  </si>
  <si>
    <t>28/01/2025</t>
  </si>
  <si>
    <t>30/01/2025</t>
  </si>
  <si>
    <t>Lovi premium start</t>
  </si>
  <si>
    <t>4940197133530195 LOVI PREMIUM START</t>
  </si>
  <si>
    <t>Lovi_ai_scanner</t>
  </si>
  <si>
    <t>4940197133530195 LOVI_AI_SCANNER</t>
  </si>
  <si>
    <t>26/01/2025</t>
  </si>
  <si>
    <t>27/01/2025</t>
  </si>
  <si>
    <t>23/01/2025</t>
  </si>
  <si>
    <t>Pp*p3373e718b</t>
  </si>
  <si>
    <t>4940197133530195 PP*P3373E718B</t>
  </si>
  <si>
    <t>25/01/2025</t>
  </si>
  <si>
    <t>L'andreuenc</t>
  </si>
  <si>
    <t>4940197133530195 L'ANDREUENC              BARCELONA    ES</t>
  </si>
  <si>
    <t>La sirena sta coloma de g</t>
  </si>
  <si>
    <t>4940197133530195 LA SIRENA STA COLOMA DE GSANTA COLOMA ES</t>
  </si>
  <si>
    <t>Recibido: cumple iaia</t>
  </si>
  <si>
    <t>RECIBIDO: cumple iaia</t>
  </si>
  <si>
    <t>21/01/2025</t>
  </si>
  <si>
    <t>Sa *v sub astrolinetod</t>
  </si>
  <si>
    <t>4940197133530195 SA *V sub astrolinetod</t>
  </si>
  <si>
    <t>Recibido: cumple patri</t>
  </si>
  <si>
    <t>RECIBIDO: Cumple Patri</t>
  </si>
  <si>
    <t>Regaliz</t>
  </si>
  <si>
    <t>4940197133530195 REGALIZ                  BARCELONA    ES</t>
  </si>
  <si>
    <t>19/01/2025</t>
  </si>
  <si>
    <t>20/01/2025</t>
  </si>
  <si>
    <t>Bar punt de trobada braca</t>
  </si>
  <si>
    <t>4940197133530195 BAR PUNT DE TROBADA BRACABARCELONA    ES</t>
  </si>
  <si>
    <t>18/01/2025</t>
  </si>
  <si>
    <t>Alam frutas verdures</t>
  </si>
  <si>
    <t>4940197133530195 ALAM FRUTAS VERDURES     BARCELONA    ES</t>
  </si>
  <si>
    <t>Caprabo 7724</t>
  </si>
  <si>
    <t>4940197133530195 CAPRABO 7724             STA. COLOMA DES</t>
  </si>
  <si>
    <t>17/01/2025</t>
  </si>
  <si>
    <t>14/01/2025</t>
  </si>
  <si>
    <t>16/01/2025</t>
  </si>
  <si>
    <t>15/01/2025</t>
  </si>
  <si>
    <t>12/01/2025</t>
  </si>
  <si>
    <t>13/01/2025</t>
  </si>
  <si>
    <t>Okfarma.es</t>
  </si>
  <si>
    <t>4940197133530195 OKFARMA.ES               CIUDAD REAL  ES</t>
  </si>
  <si>
    <t>Super pegaso</t>
  </si>
  <si>
    <t>4940197133530195 SUPER PEGASO             BARCELONA    ES</t>
  </si>
  <si>
    <t>Pacifico</t>
  </si>
  <si>
    <t>4940197133530195 PACIFICO                 BARCELONA    ES</t>
  </si>
  <si>
    <t>11/01/2025</t>
  </si>
  <si>
    <t>Cofac sant andreu</t>
  </si>
  <si>
    <t>4940197133530195 COFAC SANT ANDREU        BARCELONA    ES</t>
  </si>
  <si>
    <t>10/01/2025</t>
  </si>
  <si>
    <t>Com. por emisión y mant.de una tarjeta de debito</t>
  </si>
  <si>
    <t>Comisiones,gastos e inter. pagados</t>
  </si>
  <si>
    <t>4940197133530195   CUOTA</t>
  </si>
  <si>
    <t>Adeudo nº 2025008001925341</t>
  </si>
  <si>
    <t>N 2025008001925341 Vodafone                             CPVR</t>
  </si>
  <si>
    <t>09/01/2025</t>
  </si>
  <si>
    <t>07/01/2025</t>
  </si>
  <si>
    <t>02/01/2025</t>
  </si>
  <si>
    <t>Amazon.es*qn6jp0gb5</t>
  </si>
  <si>
    <t>4940197133530195 Amazon.es*QN6JP0GB5</t>
  </si>
  <si>
    <t>Amazon.es*zu9402vr5</t>
  </si>
  <si>
    <t>4940197133530195 Amazon.es*ZU9402VR5</t>
  </si>
  <si>
    <t>04/01/2025</t>
  </si>
  <si>
    <t>Fever* tarjeta regalo</t>
  </si>
  <si>
    <t>4940197133530195 FEVER* TARJETA REGALO</t>
  </si>
  <si>
    <t>Adeudo nº 2025006001962288</t>
  </si>
  <si>
    <t>N 2025006001962288 ENERGIA XXI                          CPVR</t>
  </si>
  <si>
    <t>Papeleria lamas</t>
  </si>
  <si>
    <t>4940197133530195 PAPELERIA LAMAS          BARCELONA    ES</t>
  </si>
  <si>
    <t>La bodegueta 2</t>
  </si>
  <si>
    <t>4940197133530195 LA BODEGUETA 2           BARCELONA    ES</t>
  </si>
  <si>
    <t>01/01/2025</t>
  </si>
  <si>
    <t>03/01/2025</t>
  </si>
  <si>
    <t>Bit2me</t>
  </si>
  <si>
    <t>4940197133530195 BIT2ME</t>
  </si>
  <si>
    <t>05/01/2025</t>
  </si>
  <si>
    <t>Recibido: iphone mes de desembre</t>
  </si>
  <si>
    <t>RECIBIDO: iphone mes de desembre</t>
  </si>
  <si>
    <t>Adeudo nº 2025002000805422</t>
  </si>
  <si>
    <t>N 2025002000805422 ASSESSORIA I FINQUES FUSTER S.L.</t>
  </si>
  <si>
    <t>Taxi lic. 3162</t>
  </si>
  <si>
    <t>4940197133530195 TAXI LIC. 3162           BARCELONA    ES</t>
  </si>
  <si>
    <t>Enviado: sin concepto</t>
  </si>
  <si>
    <t>ENVIADO: Sin concepto</t>
  </si>
  <si>
    <t>Nomina</t>
  </si>
  <si>
    <t>Bar/Restaurante</t>
  </si>
  <si>
    <t>Mascotas</t>
  </si>
  <si>
    <t>Tabaco</t>
  </si>
  <si>
    <t>Supermercado</t>
  </si>
  <si>
    <t>Compras</t>
  </si>
  <si>
    <t>Apple cloud</t>
  </si>
  <si>
    <t>Efectivo</t>
  </si>
  <si>
    <t>Vodafone</t>
  </si>
  <si>
    <t>Tributos</t>
  </si>
  <si>
    <t>Fincas</t>
  </si>
  <si>
    <t>Gimnasio</t>
  </si>
  <si>
    <t>Gasolina</t>
  </si>
  <si>
    <t>Ocio</t>
  </si>
  <si>
    <t>Casa</t>
  </si>
  <si>
    <t>Limpieza casa</t>
  </si>
  <si>
    <t>BBVA Seguro</t>
  </si>
  <si>
    <t>compras</t>
  </si>
  <si>
    <t>Uñas</t>
  </si>
  <si>
    <t>Transporte</t>
  </si>
  <si>
    <t>ITV</t>
  </si>
  <si>
    <t>Donacion</t>
  </si>
  <si>
    <t>Loteria</t>
  </si>
  <si>
    <t>Renta 2024</t>
  </si>
  <si>
    <t>Parking</t>
  </si>
  <si>
    <t>Viajes</t>
  </si>
  <si>
    <t>Hipoteca</t>
  </si>
  <si>
    <t>Comision</t>
  </si>
  <si>
    <t>Peluqueria</t>
  </si>
  <si>
    <t>Spotify</t>
  </si>
  <si>
    <t>Total general</t>
  </si>
  <si>
    <t>Suma de Importe</t>
  </si>
  <si>
    <t>Prime</t>
  </si>
  <si>
    <t>Podimo</t>
  </si>
  <si>
    <t>Netfix</t>
  </si>
  <si>
    <t>Subcatergoria</t>
  </si>
  <si>
    <t>Categoria</t>
  </si>
  <si>
    <t xml:space="preserve">Ocio y Entretenimiento </t>
  </si>
  <si>
    <t xml:space="preserve">Transferencias y Efectivo </t>
  </si>
  <si>
    <t xml:space="preserve">Suministros </t>
  </si>
  <si>
    <t xml:space="preserve">Supermercado </t>
  </si>
  <si>
    <t xml:space="preserve">Vivienda y Préstamos </t>
  </si>
  <si>
    <t xml:space="preserve">Otros Gastos Generales </t>
  </si>
  <si>
    <t xml:space="preserve">Salud y Cuidado </t>
  </si>
  <si>
    <t>Luz</t>
  </si>
  <si>
    <t>Agua</t>
  </si>
  <si>
    <t>Periodo</t>
  </si>
  <si>
    <t>Divisa2</t>
  </si>
  <si>
    <t xml:space="preserve">Total Otros Gastos Generales </t>
  </si>
  <si>
    <t xml:space="preserve">Total Ocio y Entretenimiento </t>
  </si>
  <si>
    <t xml:space="preserve">Total Suministros </t>
  </si>
  <si>
    <t xml:space="preserve">Total Vivienda y Préstamos </t>
  </si>
  <si>
    <t xml:space="preserve">Total Transferencias y Efectivo </t>
  </si>
  <si>
    <t xml:space="preserve">Total Supermercado </t>
  </si>
  <si>
    <t xml:space="preserve">Total Salud y Cuidado </t>
  </si>
  <si>
    <t>BBVA</t>
  </si>
  <si>
    <t>Moto</t>
  </si>
  <si>
    <t>Total BBVA</t>
  </si>
  <si>
    <t>Total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</si>
</sst>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669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</fills>
  <borders count="59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84">
    <xf numFmtId="0" fontId="0" fillId="0" borderId="0" xfId="0"/>
    <xf numFmtId="0" fontId="2" fillId="0" borderId="0" xfId="0" applyFont="1" applyBorder="1"/>
    <xf numFmtId="0" fontId="2" fillId="0" borderId="0" xfId="0" applyFont="1"/>
    <xf numFmtId="4" fontId="2" fillId="0" borderId="0" xfId="0" applyNumberFormat="1" applyFont="1"/>
    <xf numFmtId="0" fontId="3" fillId="12" borderId="1" xfId="0" applyFont="1" applyFill="1" applyBorder="1" applyAlignment="1">
      <alignment vertical="center"/>
    </xf>
    <xf numFmtId="0" fontId="3" fillId="14" borderId="3" xfId="0" applyFont="1" applyFill="1" applyBorder="1" applyAlignment="1">
      <alignment vertical="center"/>
    </xf>
    <xf numFmtId="4" fontId="3" fillId="15" borderId="4" xfId="0" applyNumberFormat="1" applyFont="1" applyFill="1" applyBorder="1" applyAlignment="1">
      <alignment vertical="center"/>
    </xf>
    <xf numFmtId="4" fontId="3" fillId="16" borderId="5" xfId="0" applyNumberFormat="1" applyFont="1" applyFill="1" applyBorder="1" applyAlignment="1">
      <alignment vertical="center"/>
    </xf>
    <xf numFmtId="4" fontId="3" fillId="17" borderId="6" xfId="0" applyNumberFormat="1" applyFont="1" applyFill="1" applyBorder="1" applyAlignment="1">
      <alignment vertical="center"/>
    </xf>
    <xf numFmtId="0" fontId="3" fillId="18" borderId="7" xfId="0" applyFont="1" applyFill="1" applyBorder="1" applyAlignment="1">
      <alignment vertical="center"/>
    </xf>
    <xf numFmtId="0" fontId="3" fillId="19" borderId="8" xfId="0" applyFont="1" applyFill="1" applyBorder="1" applyAlignment="1">
      <alignment vertical="center"/>
    </xf>
    <xf numFmtId="0" fontId="3" fillId="21" borderId="9" xfId="0" applyFont="1" applyFill="1" applyBorder="1" applyAlignment="1">
      <alignment vertical="center"/>
    </xf>
    <xf numFmtId="0" fontId="3" fillId="22" borderId="10" xfId="0" applyFont="1" applyFill="1" applyBorder="1" applyAlignment="1">
      <alignment vertical="center"/>
    </xf>
    <xf numFmtId="0" fontId="3" fillId="23" borderId="11" xfId="0" applyFont="1" applyFill="1" applyBorder="1" applyAlignment="1">
      <alignment vertical="center"/>
    </xf>
    <xf numFmtId="4" fontId="3" fillId="24" borderId="12" xfId="0" applyNumberFormat="1" applyFont="1" applyFill="1" applyBorder="1" applyAlignment="1">
      <alignment vertical="center"/>
    </xf>
    <xf numFmtId="4" fontId="3" fillId="25" borderId="13" xfId="0" applyNumberFormat="1" applyFont="1" applyFill="1" applyBorder="1" applyAlignment="1">
      <alignment vertical="center"/>
    </xf>
    <xf numFmtId="4" fontId="3" fillId="26" borderId="14" xfId="0" applyNumberFormat="1" applyFont="1" applyFill="1" applyBorder="1" applyAlignment="1">
      <alignment vertical="center"/>
    </xf>
    <xf numFmtId="0" fontId="3" fillId="27" borderId="15" xfId="0" applyFont="1" applyFill="1" applyBorder="1" applyAlignment="1">
      <alignment vertical="center"/>
    </xf>
    <xf numFmtId="0" fontId="3" fillId="28" borderId="16" xfId="0" applyFont="1" applyFill="1" applyBorder="1" applyAlignment="1">
      <alignment vertical="center"/>
    </xf>
    <xf numFmtId="0" fontId="3" fillId="30" borderId="17" xfId="0" applyFont="1" applyFill="1" applyBorder="1" applyAlignment="1">
      <alignment vertical="center"/>
    </xf>
    <xf numFmtId="0" fontId="3" fillId="31" borderId="18" xfId="0" applyFont="1" applyFill="1" applyBorder="1" applyAlignment="1">
      <alignment vertical="center"/>
    </xf>
    <xf numFmtId="0" fontId="3" fillId="32" borderId="19" xfId="0" applyFont="1" applyFill="1" applyBorder="1" applyAlignment="1">
      <alignment vertical="center"/>
    </xf>
    <xf numFmtId="4" fontId="3" fillId="33" borderId="20" xfId="0" applyNumberFormat="1" applyFont="1" applyFill="1" applyBorder="1" applyAlignment="1">
      <alignment vertical="center"/>
    </xf>
    <xf numFmtId="4" fontId="3" fillId="34" borderId="21" xfId="0" applyNumberFormat="1" applyFont="1" applyFill="1" applyBorder="1" applyAlignment="1">
      <alignment vertical="center"/>
    </xf>
    <xf numFmtId="4" fontId="3" fillId="35" borderId="22" xfId="0" applyNumberFormat="1" applyFont="1" applyFill="1" applyBorder="1" applyAlignment="1">
      <alignment vertical="center"/>
    </xf>
    <xf numFmtId="0" fontId="3" fillId="36" borderId="23" xfId="0" applyFont="1" applyFill="1" applyBorder="1" applyAlignment="1">
      <alignment vertical="center"/>
    </xf>
    <xf numFmtId="0" fontId="3" fillId="37" borderId="24" xfId="0" applyFont="1" applyFill="1" applyBorder="1" applyAlignment="1">
      <alignment vertical="center"/>
    </xf>
    <xf numFmtId="0" fontId="3" fillId="39" borderId="25" xfId="0" applyFont="1" applyFill="1" applyBorder="1" applyAlignment="1">
      <alignment vertical="center"/>
    </xf>
    <xf numFmtId="0" fontId="3" fillId="40" borderId="26" xfId="0" applyFont="1" applyFill="1" applyBorder="1" applyAlignment="1">
      <alignment vertical="center"/>
    </xf>
    <xf numFmtId="0" fontId="3" fillId="41" borderId="27" xfId="0" applyFont="1" applyFill="1" applyBorder="1" applyAlignment="1">
      <alignment vertical="center"/>
    </xf>
    <xf numFmtId="4" fontId="3" fillId="42" borderId="28" xfId="0" applyNumberFormat="1" applyFont="1" applyFill="1" applyBorder="1" applyAlignment="1">
      <alignment vertical="center"/>
    </xf>
    <xf numFmtId="4" fontId="3" fillId="43" borderId="29" xfId="0" applyNumberFormat="1" applyFont="1" applyFill="1" applyBorder="1" applyAlignment="1">
      <alignment vertical="center"/>
    </xf>
    <xf numFmtId="4" fontId="3" fillId="44" borderId="30" xfId="0" applyNumberFormat="1" applyFont="1" applyFill="1" applyBorder="1" applyAlignment="1">
      <alignment vertical="center"/>
    </xf>
    <xf numFmtId="0" fontId="3" fillId="45" borderId="31" xfId="0" applyFont="1" applyFill="1" applyBorder="1" applyAlignment="1">
      <alignment vertical="center"/>
    </xf>
    <xf numFmtId="0" fontId="3" fillId="46" borderId="32" xfId="0" applyFont="1" applyFill="1" applyBorder="1" applyAlignment="1">
      <alignment vertical="center"/>
    </xf>
    <xf numFmtId="0" fontId="3" fillId="48" borderId="33" xfId="0" applyFont="1" applyFill="1" applyBorder="1" applyAlignment="1">
      <alignment vertical="center"/>
    </xf>
    <xf numFmtId="0" fontId="3" fillId="49" borderId="34" xfId="0" applyFont="1" applyFill="1" applyBorder="1" applyAlignment="1">
      <alignment vertical="center"/>
    </xf>
    <xf numFmtId="0" fontId="3" fillId="50" borderId="35" xfId="0" applyFont="1" applyFill="1" applyBorder="1" applyAlignment="1">
      <alignment vertical="center"/>
    </xf>
    <xf numFmtId="4" fontId="3" fillId="51" borderId="36" xfId="0" applyNumberFormat="1" applyFont="1" applyFill="1" applyBorder="1" applyAlignment="1">
      <alignment vertical="center"/>
    </xf>
    <xf numFmtId="4" fontId="3" fillId="52" borderId="37" xfId="0" applyNumberFormat="1" applyFont="1" applyFill="1" applyBorder="1" applyAlignment="1">
      <alignment vertical="center"/>
    </xf>
    <xf numFmtId="4" fontId="3" fillId="53" borderId="38" xfId="0" applyNumberFormat="1" applyFont="1" applyFill="1" applyBorder="1" applyAlignment="1">
      <alignment vertical="center"/>
    </xf>
    <xf numFmtId="0" fontId="3" fillId="54" borderId="39" xfId="0" applyFont="1" applyFill="1" applyBorder="1" applyAlignment="1">
      <alignment vertical="center"/>
    </xf>
    <xf numFmtId="0" fontId="3" fillId="55" borderId="40" xfId="0" applyFont="1" applyFill="1" applyBorder="1" applyAlignment="1">
      <alignment vertical="center"/>
    </xf>
    <xf numFmtId="0" fontId="3" fillId="57" borderId="41" xfId="0" applyFont="1" applyFill="1" applyBorder="1" applyAlignment="1">
      <alignment vertical="center"/>
    </xf>
    <xf numFmtId="0" fontId="3" fillId="58" borderId="42" xfId="0" applyFont="1" applyFill="1" applyBorder="1" applyAlignment="1">
      <alignment vertical="center"/>
    </xf>
    <xf numFmtId="0" fontId="3" fillId="59" borderId="43" xfId="0" applyFont="1" applyFill="1" applyBorder="1" applyAlignment="1">
      <alignment vertical="center"/>
    </xf>
    <xf numFmtId="4" fontId="3" fillId="60" borderId="44" xfId="0" applyNumberFormat="1" applyFont="1" applyFill="1" applyBorder="1" applyAlignment="1">
      <alignment vertical="center"/>
    </xf>
    <xf numFmtId="4" fontId="3" fillId="61" borderId="45" xfId="0" applyNumberFormat="1" applyFont="1" applyFill="1" applyBorder="1" applyAlignment="1">
      <alignment vertical="center"/>
    </xf>
    <xf numFmtId="4" fontId="3" fillId="62" borderId="46" xfId="0" applyNumberFormat="1" applyFont="1" applyFill="1" applyBorder="1" applyAlignment="1">
      <alignment vertical="center"/>
    </xf>
    <xf numFmtId="0" fontId="3" fillId="63" borderId="47" xfId="0" applyFont="1" applyFill="1" applyBorder="1" applyAlignment="1">
      <alignment vertical="center"/>
    </xf>
    <xf numFmtId="0" fontId="3" fillId="64" borderId="48" xfId="0" applyFont="1" applyFill="1" applyBorder="1" applyAlignment="1">
      <alignment vertical="center"/>
    </xf>
    <xf numFmtId="0" fontId="3" fillId="66" borderId="49" xfId="0" applyFont="1" applyFill="1" applyBorder="1" applyAlignment="1">
      <alignment vertical="center"/>
    </xf>
    <xf numFmtId="0" fontId="3" fillId="67" borderId="50" xfId="0" applyFont="1" applyFill="1" applyBorder="1" applyAlignment="1">
      <alignment vertical="center"/>
    </xf>
    <xf numFmtId="0" fontId="3" fillId="68" borderId="51" xfId="0" applyFont="1" applyFill="1" applyBorder="1" applyAlignment="1">
      <alignment vertical="center"/>
    </xf>
    <xf numFmtId="4" fontId="3" fillId="69" borderId="52" xfId="0" applyNumberFormat="1" applyFont="1" applyFill="1" applyBorder="1" applyAlignment="1">
      <alignment vertical="center"/>
    </xf>
    <xf numFmtId="4" fontId="3" fillId="70" borderId="53" xfId="0" applyNumberFormat="1" applyFont="1" applyFill="1" applyBorder="1" applyAlignment="1">
      <alignment vertical="center"/>
    </xf>
    <xf numFmtId="4" fontId="3" fillId="71" borderId="54" xfId="0" applyNumberFormat="1" applyFont="1" applyFill="1" applyBorder="1" applyAlignment="1">
      <alignment vertical="center"/>
    </xf>
    <xf numFmtId="0" fontId="3" fillId="72" borderId="55" xfId="0" applyFont="1" applyFill="1" applyBorder="1" applyAlignment="1">
      <alignment vertical="center"/>
    </xf>
    <xf numFmtId="0" fontId="3" fillId="73" borderId="56" xfId="0" applyFont="1" applyFill="1" applyBorder="1" applyAlignment="1">
      <alignment vertical="center"/>
    </xf>
    <xf numFmtId="0" fontId="3" fillId="75" borderId="57" xfId="0" applyFont="1" applyFill="1" applyBorder="1" applyAlignment="1">
      <alignment vertical="center"/>
    </xf>
    <xf numFmtId="0" fontId="3" fillId="76" borderId="58" xfId="0" applyFont="1" applyFill="1" applyBorder="1" applyAlignment="1">
      <alignment vertical="center"/>
    </xf>
    <xf numFmtId="0" fontId="3" fillId="77" borderId="59" xfId="0" applyFont="1" applyFill="1" applyBorder="1" applyAlignment="1">
      <alignment vertical="center"/>
    </xf>
    <xf numFmtId="4" fontId="3" fillId="78" borderId="60" xfId="0" applyNumberFormat="1" applyFont="1" applyFill="1" applyBorder="1" applyAlignment="1">
      <alignment vertical="center"/>
    </xf>
    <xf numFmtId="4" fontId="3" fillId="79" borderId="61" xfId="0" applyNumberFormat="1" applyFont="1" applyFill="1" applyBorder="1" applyAlignment="1">
      <alignment vertical="center"/>
    </xf>
    <xf numFmtId="4" fontId="3" fillId="80" borderId="62" xfId="0" applyNumberFormat="1" applyFont="1" applyFill="1" applyBorder="1" applyAlignment="1">
      <alignment vertical="center"/>
    </xf>
    <xf numFmtId="0" fontId="3" fillId="81" borderId="63" xfId="0" applyFont="1" applyFill="1" applyBorder="1" applyAlignment="1">
      <alignment vertical="center"/>
    </xf>
    <xf numFmtId="0" fontId="3" fillId="82" borderId="64" xfId="0" applyFont="1" applyFill="1" applyBorder="1" applyAlignment="1">
      <alignment vertical="center"/>
    </xf>
    <xf numFmtId="0" fontId="3" fillId="84" borderId="65" xfId="0" applyFont="1" applyFill="1" applyBorder="1" applyAlignment="1">
      <alignment vertical="center"/>
    </xf>
    <xf numFmtId="0" fontId="3" fillId="85" borderId="66" xfId="0" applyFont="1" applyFill="1" applyBorder="1" applyAlignment="1">
      <alignment vertical="center"/>
    </xf>
    <xf numFmtId="0" fontId="3" fillId="86" borderId="67" xfId="0" applyFont="1" applyFill="1" applyBorder="1" applyAlignment="1">
      <alignment vertical="center"/>
    </xf>
    <xf numFmtId="4" fontId="3" fillId="87" borderId="68" xfId="0" applyNumberFormat="1" applyFont="1" applyFill="1" applyBorder="1" applyAlignment="1">
      <alignment vertical="center"/>
    </xf>
    <xf numFmtId="4" fontId="3" fillId="88" borderId="69" xfId="0" applyNumberFormat="1" applyFont="1" applyFill="1" applyBorder="1" applyAlignment="1">
      <alignment vertical="center"/>
    </xf>
    <xf numFmtId="4" fontId="3" fillId="89" borderId="70" xfId="0" applyNumberFormat="1" applyFont="1" applyFill="1" applyBorder="1" applyAlignment="1">
      <alignment vertical="center"/>
    </xf>
    <xf numFmtId="0" fontId="3" fillId="90" borderId="71" xfId="0" applyFont="1" applyFill="1" applyBorder="1" applyAlignment="1">
      <alignment vertical="center"/>
    </xf>
    <xf numFmtId="0" fontId="3" fillId="91" borderId="72" xfId="0" applyFont="1" applyFill="1" applyBorder="1" applyAlignment="1">
      <alignment vertical="center"/>
    </xf>
    <xf numFmtId="0" fontId="3" fillId="93" borderId="73" xfId="0" applyFont="1" applyFill="1" applyBorder="1" applyAlignment="1">
      <alignment vertical="center"/>
    </xf>
    <xf numFmtId="0" fontId="3" fillId="94" borderId="74" xfId="0" applyFont="1" applyFill="1" applyBorder="1" applyAlignment="1">
      <alignment vertical="center"/>
    </xf>
    <xf numFmtId="0" fontId="3" fillId="95" borderId="75" xfId="0" applyFont="1" applyFill="1" applyBorder="1" applyAlignment="1">
      <alignment vertical="center"/>
    </xf>
    <xf numFmtId="4" fontId="3" fillId="96" borderId="76" xfId="0" applyNumberFormat="1" applyFont="1" applyFill="1" applyBorder="1" applyAlignment="1">
      <alignment vertical="center"/>
    </xf>
    <xf numFmtId="4" fontId="3" fillId="97" borderId="77" xfId="0" applyNumberFormat="1" applyFont="1" applyFill="1" applyBorder="1" applyAlignment="1">
      <alignment vertical="center"/>
    </xf>
    <xf numFmtId="4" fontId="3" fillId="98" borderId="78" xfId="0" applyNumberFormat="1" applyFont="1" applyFill="1" applyBorder="1" applyAlignment="1">
      <alignment vertical="center"/>
    </xf>
    <xf numFmtId="0" fontId="3" fillId="99" borderId="79" xfId="0" applyFont="1" applyFill="1" applyBorder="1" applyAlignment="1">
      <alignment vertical="center"/>
    </xf>
    <xf numFmtId="0" fontId="3" fillId="100" borderId="80" xfId="0" applyFont="1" applyFill="1" applyBorder="1" applyAlignment="1">
      <alignment vertical="center"/>
    </xf>
    <xf numFmtId="0" fontId="3" fillId="102" borderId="81" xfId="0" applyFont="1" applyFill="1" applyBorder="1" applyAlignment="1">
      <alignment vertical="center"/>
    </xf>
    <xf numFmtId="0" fontId="3" fillId="103" borderId="82" xfId="0" applyFont="1" applyFill="1" applyBorder="1" applyAlignment="1">
      <alignment vertical="center"/>
    </xf>
    <xf numFmtId="0" fontId="3" fillId="104" borderId="83" xfId="0" applyFont="1" applyFill="1" applyBorder="1" applyAlignment="1">
      <alignment vertical="center"/>
    </xf>
    <xf numFmtId="4" fontId="3" fillId="105" borderId="84" xfId="0" applyNumberFormat="1" applyFont="1" applyFill="1" applyBorder="1" applyAlignment="1">
      <alignment vertical="center"/>
    </xf>
    <xf numFmtId="4" fontId="3" fillId="106" borderId="85" xfId="0" applyNumberFormat="1" applyFont="1" applyFill="1" applyBorder="1" applyAlignment="1">
      <alignment vertical="center"/>
    </xf>
    <xf numFmtId="4" fontId="3" fillId="107" borderId="86" xfId="0" applyNumberFormat="1" applyFont="1" applyFill="1" applyBorder="1" applyAlignment="1">
      <alignment vertical="center"/>
    </xf>
    <xf numFmtId="0" fontId="3" fillId="108" borderId="87" xfId="0" applyFont="1" applyFill="1" applyBorder="1" applyAlignment="1">
      <alignment vertical="center"/>
    </xf>
    <xf numFmtId="0" fontId="3" fillId="109" borderId="88" xfId="0" applyFont="1" applyFill="1" applyBorder="1" applyAlignment="1">
      <alignment vertical="center"/>
    </xf>
    <xf numFmtId="0" fontId="3" fillId="111" borderId="89" xfId="0" applyFont="1" applyFill="1" applyBorder="1" applyAlignment="1">
      <alignment vertical="center"/>
    </xf>
    <xf numFmtId="0" fontId="3" fillId="112" borderId="90" xfId="0" applyFont="1" applyFill="1" applyBorder="1" applyAlignment="1">
      <alignment vertical="center"/>
    </xf>
    <xf numFmtId="0" fontId="3" fillId="113" borderId="91" xfId="0" applyFont="1" applyFill="1" applyBorder="1" applyAlignment="1">
      <alignment vertical="center"/>
    </xf>
    <xf numFmtId="4" fontId="3" fillId="114" borderId="92" xfId="0" applyNumberFormat="1" applyFont="1" applyFill="1" applyBorder="1" applyAlignment="1">
      <alignment vertical="center"/>
    </xf>
    <xf numFmtId="4" fontId="3" fillId="115" borderId="93" xfId="0" applyNumberFormat="1" applyFont="1" applyFill="1" applyBorder="1" applyAlignment="1">
      <alignment vertical="center"/>
    </xf>
    <xf numFmtId="4" fontId="3" fillId="116" borderId="94" xfId="0" applyNumberFormat="1" applyFont="1" applyFill="1" applyBorder="1" applyAlignment="1">
      <alignment vertical="center"/>
    </xf>
    <xf numFmtId="0" fontId="3" fillId="117" borderId="95" xfId="0" applyFont="1" applyFill="1" applyBorder="1" applyAlignment="1">
      <alignment vertical="center"/>
    </xf>
    <xf numFmtId="0" fontId="3" fillId="118" borderId="96" xfId="0" applyFont="1" applyFill="1" applyBorder="1" applyAlignment="1">
      <alignment vertical="center"/>
    </xf>
    <xf numFmtId="0" fontId="3" fillId="120" borderId="97" xfId="0" applyFont="1" applyFill="1" applyBorder="1" applyAlignment="1">
      <alignment vertical="center"/>
    </xf>
    <xf numFmtId="0" fontId="3" fillId="121" borderId="98" xfId="0" applyFont="1" applyFill="1" applyBorder="1" applyAlignment="1">
      <alignment vertical="center"/>
    </xf>
    <xf numFmtId="0" fontId="3" fillId="122" borderId="99" xfId="0" applyFont="1" applyFill="1" applyBorder="1" applyAlignment="1">
      <alignment vertical="center"/>
    </xf>
    <xf numFmtId="4" fontId="3" fillId="123" borderId="100" xfId="0" applyNumberFormat="1" applyFont="1" applyFill="1" applyBorder="1" applyAlignment="1">
      <alignment vertical="center"/>
    </xf>
    <xf numFmtId="4" fontId="3" fillId="124" borderId="101" xfId="0" applyNumberFormat="1" applyFont="1" applyFill="1" applyBorder="1" applyAlignment="1">
      <alignment vertical="center"/>
    </xf>
    <xf numFmtId="4" fontId="3" fillId="125" borderId="102" xfId="0" applyNumberFormat="1" applyFont="1" applyFill="1" applyBorder="1" applyAlignment="1">
      <alignment vertical="center"/>
    </xf>
    <xf numFmtId="0" fontId="3" fillId="126" borderId="103" xfId="0" applyFont="1" applyFill="1" applyBorder="1" applyAlignment="1">
      <alignment vertical="center"/>
    </xf>
    <xf numFmtId="0" fontId="3" fillId="127" borderId="104" xfId="0" applyFont="1" applyFill="1" applyBorder="1" applyAlignment="1">
      <alignment vertical="center"/>
    </xf>
    <xf numFmtId="0" fontId="3" fillId="129" borderId="105" xfId="0" applyFont="1" applyFill="1" applyBorder="1" applyAlignment="1">
      <alignment vertical="center"/>
    </xf>
    <xf numFmtId="0" fontId="3" fillId="130" borderId="106" xfId="0" applyFont="1" applyFill="1" applyBorder="1" applyAlignment="1">
      <alignment vertical="center"/>
    </xf>
    <xf numFmtId="0" fontId="3" fillId="131" borderId="107" xfId="0" applyFont="1" applyFill="1" applyBorder="1" applyAlignment="1">
      <alignment vertical="center"/>
    </xf>
    <xf numFmtId="4" fontId="3" fillId="132" borderId="108" xfId="0" applyNumberFormat="1" applyFont="1" applyFill="1" applyBorder="1" applyAlignment="1">
      <alignment vertical="center"/>
    </xf>
    <xf numFmtId="4" fontId="3" fillId="133" borderId="109" xfId="0" applyNumberFormat="1" applyFont="1" applyFill="1" applyBorder="1" applyAlignment="1">
      <alignment vertical="center"/>
    </xf>
    <xf numFmtId="4" fontId="3" fillId="134" borderId="110" xfId="0" applyNumberFormat="1" applyFont="1" applyFill="1" applyBorder="1" applyAlignment="1">
      <alignment vertical="center"/>
    </xf>
    <xf numFmtId="0" fontId="3" fillId="135" borderId="111" xfId="0" applyFont="1" applyFill="1" applyBorder="1" applyAlignment="1">
      <alignment vertical="center"/>
    </xf>
    <xf numFmtId="0" fontId="3" fillId="136" borderId="112" xfId="0" applyFont="1" applyFill="1" applyBorder="1" applyAlignment="1">
      <alignment vertical="center"/>
    </xf>
    <xf numFmtId="0" fontId="3" fillId="138" borderId="113" xfId="0" applyFont="1" applyFill="1" applyBorder="1" applyAlignment="1">
      <alignment vertical="center"/>
    </xf>
    <xf numFmtId="0" fontId="3" fillId="139" borderId="114" xfId="0" applyFont="1" applyFill="1" applyBorder="1" applyAlignment="1">
      <alignment vertical="center"/>
    </xf>
    <xf numFmtId="0" fontId="3" fillId="140" borderId="115" xfId="0" applyFont="1" applyFill="1" applyBorder="1" applyAlignment="1">
      <alignment vertical="center"/>
    </xf>
    <xf numFmtId="4" fontId="3" fillId="141" borderId="116" xfId="0" applyNumberFormat="1" applyFont="1" applyFill="1" applyBorder="1" applyAlignment="1">
      <alignment vertical="center"/>
    </xf>
    <xf numFmtId="4" fontId="3" fillId="142" borderId="117" xfId="0" applyNumberFormat="1" applyFont="1" applyFill="1" applyBorder="1" applyAlignment="1">
      <alignment vertical="center"/>
    </xf>
    <xf numFmtId="4" fontId="3" fillId="143" borderId="118" xfId="0" applyNumberFormat="1" applyFont="1" applyFill="1" applyBorder="1" applyAlignment="1">
      <alignment vertical="center"/>
    </xf>
    <xf numFmtId="0" fontId="3" fillId="144" borderId="119" xfId="0" applyFont="1" applyFill="1" applyBorder="1" applyAlignment="1">
      <alignment vertical="center"/>
    </xf>
    <xf numFmtId="0" fontId="3" fillId="145" borderId="120" xfId="0" applyFont="1" applyFill="1" applyBorder="1" applyAlignment="1">
      <alignment vertical="center"/>
    </xf>
    <xf numFmtId="0" fontId="3" fillId="147" borderId="121" xfId="0" applyFont="1" applyFill="1" applyBorder="1" applyAlignment="1">
      <alignment vertical="center"/>
    </xf>
    <xf numFmtId="0" fontId="3" fillId="148" borderId="122" xfId="0" applyFont="1" applyFill="1" applyBorder="1" applyAlignment="1">
      <alignment vertical="center"/>
    </xf>
    <xf numFmtId="0" fontId="3" fillId="149" borderId="123" xfId="0" applyFont="1" applyFill="1" applyBorder="1" applyAlignment="1">
      <alignment vertical="center"/>
    </xf>
    <xf numFmtId="4" fontId="3" fillId="150" borderId="124" xfId="0" applyNumberFormat="1" applyFont="1" applyFill="1" applyBorder="1" applyAlignment="1">
      <alignment vertical="center"/>
    </xf>
    <xf numFmtId="4" fontId="3" fillId="151" borderId="125" xfId="0" applyNumberFormat="1" applyFont="1" applyFill="1" applyBorder="1" applyAlignment="1">
      <alignment vertical="center"/>
    </xf>
    <xf numFmtId="4" fontId="3" fillId="152" borderId="126" xfId="0" applyNumberFormat="1" applyFont="1" applyFill="1" applyBorder="1" applyAlignment="1">
      <alignment vertical="center"/>
    </xf>
    <xf numFmtId="0" fontId="3" fillId="153" borderId="127" xfId="0" applyFont="1" applyFill="1" applyBorder="1" applyAlignment="1">
      <alignment vertical="center"/>
    </xf>
    <xf numFmtId="0" fontId="3" fillId="154" borderId="128" xfId="0" applyFont="1" applyFill="1" applyBorder="1" applyAlignment="1">
      <alignment vertical="center"/>
    </xf>
    <xf numFmtId="0" fontId="3" fillId="156" borderId="129" xfId="0" applyFont="1" applyFill="1" applyBorder="1" applyAlignment="1">
      <alignment vertical="center"/>
    </xf>
    <xf numFmtId="0" fontId="3" fillId="157" borderId="130" xfId="0" applyFont="1" applyFill="1" applyBorder="1" applyAlignment="1">
      <alignment vertical="center"/>
    </xf>
    <xf numFmtId="0" fontId="3" fillId="158" borderId="131" xfId="0" applyFont="1" applyFill="1" applyBorder="1" applyAlignment="1">
      <alignment vertical="center"/>
    </xf>
    <xf numFmtId="4" fontId="3" fillId="159" borderId="132" xfId="0" applyNumberFormat="1" applyFont="1" applyFill="1" applyBorder="1" applyAlignment="1">
      <alignment vertical="center"/>
    </xf>
    <xf numFmtId="4" fontId="3" fillId="160" borderId="133" xfId="0" applyNumberFormat="1" applyFont="1" applyFill="1" applyBorder="1" applyAlignment="1">
      <alignment vertical="center"/>
    </xf>
    <xf numFmtId="4" fontId="3" fillId="161" borderId="134" xfId="0" applyNumberFormat="1" applyFont="1" applyFill="1" applyBorder="1" applyAlignment="1">
      <alignment vertical="center"/>
    </xf>
    <xf numFmtId="0" fontId="3" fillId="162" borderId="135" xfId="0" applyFont="1" applyFill="1" applyBorder="1" applyAlignment="1">
      <alignment vertical="center"/>
    </xf>
    <xf numFmtId="0" fontId="3" fillId="163" borderId="136" xfId="0" applyFont="1" applyFill="1" applyBorder="1" applyAlignment="1">
      <alignment vertical="center"/>
    </xf>
    <xf numFmtId="0" fontId="3" fillId="165" borderId="137" xfId="0" applyFont="1" applyFill="1" applyBorder="1" applyAlignment="1">
      <alignment vertical="center"/>
    </xf>
    <xf numFmtId="0" fontId="3" fillId="166" borderId="138" xfId="0" applyFont="1" applyFill="1" applyBorder="1" applyAlignment="1">
      <alignment vertical="center"/>
    </xf>
    <xf numFmtId="0" fontId="3" fillId="167" borderId="139" xfId="0" applyFont="1" applyFill="1" applyBorder="1" applyAlignment="1">
      <alignment vertical="center"/>
    </xf>
    <xf numFmtId="4" fontId="3" fillId="168" borderId="140" xfId="0" applyNumberFormat="1" applyFont="1" applyFill="1" applyBorder="1" applyAlignment="1">
      <alignment vertical="center"/>
    </xf>
    <xf numFmtId="4" fontId="3" fillId="169" borderId="141" xfId="0" applyNumberFormat="1" applyFont="1" applyFill="1" applyBorder="1" applyAlignment="1">
      <alignment vertical="center"/>
    </xf>
    <xf numFmtId="4" fontId="3" fillId="170" borderId="142" xfId="0" applyNumberFormat="1" applyFont="1" applyFill="1" applyBorder="1" applyAlignment="1">
      <alignment vertical="center"/>
    </xf>
    <xf numFmtId="0" fontId="3" fillId="171" borderId="143" xfId="0" applyFont="1" applyFill="1" applyBorder="1" applyAlignment="1">
      <alignment vertical="center"/>
    </xf>
    <xf numFmtId="0" fontId="3" fillId="172" borderId="144" xfId="0" applyFont="1" applyFill="1" applyBorder="1" applyAlignment="1">
      <alignment vertical="center"/>
    </xf>
    <xf numFmtId="0" fontId="3" fillId="174" borderId="145" xfId="0" applyFont="1" applyFill="1" applyBorder="1" applyAlignment="1">
      <alignment vertical="center"/>
    </xf>
    <xf numFmtId="0" fontId="3" fillId="175" borderId="146" xfId="0" applyFont="1" applyFill="1" applyBorder="1" applyAlignment="1">
      <alignment vertical="center"/>
    </xf>
    <xf numFmtId="0" fontId="3" fillId="176" borderId="147" xfId="0" applyFont="1" applyFill="1" applyBorder="1" applyAlignment="1">
      <alignment vertical="center"/>
    </xf>
    <xf numFmtId="4" fontId="3" fillId="177" borderId="148" xfId="0" applyNumberFormat="1" applyFont="1" applyFill="1" applyBorder="1" applyAlignment="1">
      <alignment vertical="center"/>
    </xf>
    <xf numFmtId="4" fontId="3" fillId="178" borderId="149" xfId="0" applyNumberFormat="1" applyFont="1" applyFill="1" applyBorder="1" applyAlignment="1">
      <alignment vertical="center"/>
    </xf>
    <xf numFmtId="4" fontId="3" fillId="179" borderId="150" xfId="0" applyNumberFormat="1" applyFont="1" applyFill="1" applyBorder="1" applyAlignment="1">
      <alignment vertical="center"/>
    </xf>
    <xf numFmtId="0" fontId="3" fillId="180" borderId="151" xfId="0" applyFont="1" applyFill="1" applyBorder="1" applyAlignment="1">
      <alignment vertical="center"/>
    </xf>
    <xf numFmtId="0" fontId="3" fillId="181" borderId="152" xfId="0" applyFont="1" applyFill="1" applyBorder="1" applyAlignment="1">
      <alignment vertical="center"/>
    </xf>
    <xf numFmtId="0" fontId="3" fillId="183" borderId="153" xfId="0" applyFont="1" applyFill="1" applyBorder="1" applyAlignment="1">
      <alignment vertical="center"/>
    </xf>
    <xf numFmtId="0" fontId="3" fillId="184" borderId="154" xfId="0" applyFont="1" applyFill="1" applyBorder="1" applyAlignment="1">
      <alignment vertical="center"/>
    </xf>
    <xf numFmtId="0" fontId="3" fillId="185" borderId="155" xfId="0" applyFont="1" applyFill="1" applyBorder="1" applyAlignment="1">
      <alignment vertical="center"/>
    </xf>
    <xf numFmtId="4" fontId="3" fillId="186" borderId="156" xfId="0" applyNumberFormat="1" applyFont="1" applyFill="1" applyBorder="1" applyAlignment="1">
      <alignment vertical="center"/>
    </xf>
    <xf numFmtId="4" fontId="3" fillId="187" borderId="157" xfId="0" applyNumberFormat="1" applyFont="1" applyFill="1" applyBorder="1" applyAlignment="1">
      <alignment vertical="center"/>
    </xf>
    <xf numFmtId="4" fontId="3" fillId="188" borderId="158" xfId="0" applyNumberFormat="1" applyFont="1" applyFill="1" applyBorder="1" applyAlignment="1">
      <alignment vertical="center"/>
    </xf>
    <xf numFmtId="0" fontId="3" fillId="189" borderId="159" xfId="0" applyFont="1" applyFill="1" applyBorder="1" applyAlignment="1">
      <alignment vertical="center"/>
    </xf>
    <xf numFmtId="0" fontId="3" fillId="190" borderId="160" xfId="0" applyFont="1" applyFill="1" applyBorder="1" applyAlignment="1">
      <alignment vertical="center"/>
    </xf>
    <xf numFmtId="0" fontId="3" fillId="192" borderId="161" xfId="0" applyFont="1" applyFill="1" applyBorder="1" applyAlignment="1">
      <alignment vertical="center"/>
    </xf>
    <xf numFmtId="0" fontId="3" fillId="193" borderId="162" xfId="0" applyFont="1" applyFill="1" applyBorder="1" applyAlignment="1">
      <alignment vertical="center"/>
    </xf>
    <xf numFmtId="0" fontId="3" fillId="194" borderId="163" xfId="0" applyFont="1" applyFill="1" applyBorder="1" applyAlignment="1">
      <alignment vertical="center"/>
    </xf>
    <xf numFmtId="4" fontId="3" fillId="195" borderId="164" xfId="0" applyNumberFormat="1" applyFont="1" applyFill="1" applyBorder="1" applyAlignment="1">
      <alignment vertical="center"/>
    </xf>
    <xf numFmtId="4" fontId="3" fillId="196" borderId="165" xfId="0" applyNumberFormat="1" applyFont="1" applyFill="1" applyBorder="1" applyAlignment="1">
      <alignment vertical="center"/>
    </xf>
    <xf numFmtId="4" fontId="3" fillId="197" borderId="166" xfId="0" applyNumberFormat="1" applyFont="1" applyFill="1" applyBorder="1" applyAlignment="1">
      <alignment vertical="center"/>
    </xf>
    <xf numFmtId="0" fontId="3" fillId="198" borderId="167" xfId="0" applyFont="1" applyFill="1" applyBorder="1" applyAlignment="1">
      <alignment vertical="center"/>
    </xf>
    <xf numFmtId="0" fontId="3" fillId="199" borderId="168" xfId="0" applyFont="1" applyFill="1" applyBorder="1" applyAlignment="1">
      <alignment vertical="center"/>
    </xf>
    <xf numFmtId="0" fontId="3" fillId="201" borderId="169" xfId="0" applyFont="1" applyFill="1" applyBorder="1" applyAlignment="1">
      <alignment vertical="center"/>
    </xf>
    <xf numFmtId="0" fontId="3" fillId="202" borderId="170" xfId="0" applyFont="1" applyFill="1" applyBorder="1" applyAlignment="1">
      <alignment vertical="center"/>
    </xf>
    <xf numFmtId="0" fontId="3" fillId="203" borderId="171" xfId="0" applyFont="1" applyFill="1" applyBorder="1" applyAlignment="1">
      <alignment vertical="center"/>
    </xf>
    <xf numFmtId="4" fontId="3" fillId="204" borderId="172" xfId="0" applyNumberFormat="1" applyFont="1" applyFill="1" applyBorder="1" applyAlignment="1">
      <alignment vertical="center"/>
    </xf>
    <xf numFmtId="4" fontId="3" fillId="205" borderId="173" xfId="0" applyNumberFormat="1" applyFont="1" applyFill="1" applyBorder="1" applyAlignment="1">
      <alignment vertical="center"/>
    </xf>
    <xf numFmtId="4" fontId="3" fillId="206" borderId="174" xfId="0" applyNumberFormat="1" applyFont="1" applyFill="1" applyBorder="1" applyAlignment="1">
      <alignment vertical="center"/>
    </xf>
    <xf numFmtId="0" fontId="3" fillId="207" borderId="175" xfId="0" applyFont="1" applyFill="1" applyBorder="1" applyAlignment="1">
      <alignment vertical="center"/>
    </xf>
    <xf numFmtId="0" fontId="3" fillId="208" borderId="176" xfId="0" applyFont="1" applyFill="1" applyBorder="1" applyAlignment="1">
      <alignment vertical="center"/>
    </xf>
    <xf numFmtId="0" fontId="3" fillId="210" borderId="177" xfId="0" applyFont="1" applyFill="1" applyBorder="1" applyAlignment="1">
      <alignment vertical="center"/>
    </xf>
    <xf numFmtId="0" fontId="3" fillId="211" borderId="178" xfId="0" applyFont="1" applyFill="1" applyBorder="1" applyAlignment="1">
      <alignment vertical="center"/>
    </xf>
    <xf numFmtId="0" fontId="3" fillId="212" borderId="179" xfId="0" applyFont="1" applyFill="1" applyBorder="1" applyAlignment="1">
      <alignment vertical="center"/>
    </xf>
    <xf numFmtId="4" fontId="3" fillId="213" borderId="180" xfId="0" applyNumberFormat="1" applyFont="1" applyFill="1" applyBorder="1" applyAlignment="1">
      <alignment vertical="center"/>
    </xf>
    <xf numFmtId="4" fontId="3" fillId="214" borderId="181" xfId="0" applyNumberFormat="1" applyFont="1" applyFill="1" applyBorder="1" applyAlignment="1">
      <alignment vertical="center"/>
    </xf>
    <xf numFmtId="4" fontId="3" fillId="215" borderId="182" xfId="0" applyNumberFormat="1" applyFont="1" applyFill="1" applyBorder="1" applyAlignment="1">
      <alignment vertical="center"/>
    </xf>
    <xf numFmtId="0" fontId="3" fillId="216" borderId="183" xfId="0" applyFont="1" applyFill="1" applyBorder="1" applyAlignment="1">
      <alignment vertical="center"/>
    </xf>
    <xf numFmtId="0" fontId="3" fillId="217" borderId="184" xfId="0" applyFont="1" applyFill="1" applyBorder="1" applyAlignment="1">
      <alignment vertical="center"/>
    </xf>
    <xf numFmtId="0" fontId="3" fillId="219" borderId="185" xfId="0" applyFont="1" applyFill="1" applyBorder="1" applyAlignment="1">
      <alignment vertical="center"/>
    </xf>
    <xf numFmtId="0" fontId="3" fillId="220" borderId="186" xfId="0" applyFont="1" applyFill="1" applyBorder="1" applyAlignment="1">
      <alignment vertical="center"/>
    </xf>
    <xf numFmtId="0" fontId="3" fillId="221" borderId="187" xfId="0" applyFont="1" applyFill="1" applyBorder="1" applyAlignment="1">
      <alignment vertical="center"/>
    </xf>
    <xf numFmtId="4" fontId="3" fillId="222" borderId="188" xfId="0" applyNumberFormat="1" applyFont="1" applyFill="1" applyBorder="1" applyAlignment="1">
      <alignment vertical="center"/>
    </xf>
    <xf numFmtId="4" fontId="3" fillId="223" borderId="189" xfId="0" applyNumberFormat="1" applyFont="1" applyFill="1" applyBorder="1" applyAlignment="1">
      <alignment vertical="center"/>
    </xf>
    <xf numFmtId="4" fontId="3" fillId="224" borderId="190" xfId="0" applyNumberFormat="1" applyFont="1" applyFill="1" applyBorder="1" applyAlignment="1">
      <alignment vertical="center"/>
    </xf>
    <xf numFmtId="0" fontId="3" fillId="225" borderId="191" xfId="0" applyFont="1" applyFill="1" applyBorder="1" applyAlignment="1">
      <alignment vertical="center"/>
    </xf>
    <xf numFmtId="0" fontId="3" fillId="226" borderId="192" xfId="0" applyFont="1" applyFill="1" applyBorder="1" applyAlignment="1">
      <alignment vertical="center"/>
    </xf>
    <xf numFmtId="0" fontId="3" fillId="228" borderId="193" xfId="0" applyFont="1" applyFill="1" applyBorder="1" applyAlignment="1">
      <alignment vertical="center"/>
    </xf>
    <xf numFmtId="0" fontId="3" fillId="229" borderId="194" xfId="0" applyFont="1" applyFill="1" applyBorder="1" applyAlignment="1">
      <alignment vertical="center"/>
    </xf>
    <xf numFmtId="0" fontId="3" fillId="230" borderId="195" xfId="0" applyFont="1" applyFill="1" applyBorder="1" applyAlignment="1">
      <alignment vertical="center"/>
    </xf>
    <xf numFmtId="4" fontId="3" fillId="231" borderId="196" xfId="0" applyNumberFormat="1" applyFont="1" applyFill="1" applyBorder="1" applyAlignment="1">
      <alignment vertical="center"/>
    </xf>
    <xf numFmtId="4" fontId="3" fillId="232" borderId="197" xfId="0" applyNumberFormat="1" applyFont="1" applyFill="1" applyBorder="1" applyAlignment="1">
      <alignment vertical="center"/>
    </xf>
    <xf numFmtId="4" fontId="3" fillId="233" borderId="198" xfId="0" applyNumberFormat="1" applyFont="1" applyFill="1" applyBorder="1" applyAlignment="1">
      <alignment vertical="center"/>
    </xf>
    <xf numFmtId="0" fontId="3" fillId="234" borderId="199" xfId="0" applyFont="1" applyFill="1" applyBorder="1" applyAlignment="1">
      <alignment vertical="center"/>
    </xf>
    <xf numFmtId="0" fontId="3" fillId="235" borderId="200" xfId="0" applyFont="1" applyFill="1" applyBorder="1" applyAlignment="1">
      <alignment vertical="center"/>
    </xf>
    <xf numFmtId="0" fontId="3" fillId="237" borderId="201" xfId="0" applyFont="1" applyFill="1" applyBorder="1" applyAlignment="1">
      <alignment vertical="center"/>
    </xf>
    <xf numFmtId="0" fontId="3" fillId="238" borderId="202" xfId="0" applyFont="1" applyFill="1" applyBorder="1" applyAlignment="1">
      <alignment vertical="center"/>
    </xf>
    <xf numFmtId="0" fontId="3" fillId="239" borderId="203" xfId="0" applyFont="1" applyFill="1" applyBorder="1" applyAlignment="1">
      <alignment vertical="center"/>
    </xf>
    <xf numFmtId="4" fontId="3" fillId="240" borderId="204" xfId="0" applyNumberFormat="1" applyFont="1" applyFill="1" applyBorder="1" applyAlignment="1">
      <alignment vertical="center"/>
    </xf>
    <xf numFmtId="4" fontId="3" fillId="241" borderId="205" xfId="0" applyNumberFormat="1" applyFont="1" applyFill="1" applyBorder="1" applyAlignment="1">
      <alignment vertical="center"/>
    </xf>
    <xf numFmtId="4" fontId="3" fillId="242" borderId="206" xfId="0" applyNumberFormat="1" applyFont="1" applyFill="1" applyBorder="1" applyAlignment="1">
      <alignment vertical="center"/>
    </xf>
    <xf numFmtId="0" fontId="3" fillId="243" borderId="207" xfId="0" applyFont="1" applyFill="1" applyBorder="1" applyAlignment="1">
      <alignment vertical="center"/>
    </xf>
    <xf numFmtId="0" fontId="3" fillId="244" borderId="208" xfId="0" applyFont="1" applyFill="1" applyBorder="1" applyAlignment="1">
      <alignment vertical="center"/>
    </xf>
    <xf numFmtId="0" fontId="3" fillId="246" borderId="209" xfId="0" applyFont="1" applyFill="1" applyBorder="1" applyAlignment="1">
      <alignment vertical="center"/>
    </xf>
    <xf numFmtId="0" fontId="3" fillId="247" borderId="210" xfId="0" applyFont="1" applyFill="1" applyBorder="1" applyAlignment="1">
      <alignment vertical="center"/>
    </xf>
    <xf numFmtId="0" fontId="3" fillId="248" borderId="211" xfId="0" applyFont="1" applyFill="1" applyBorder="1" applyAlignment="1">
      <alignment vertical="center"/>
    </xf>
    <xf numFmtId="4" fontId="3" fillId="249" borderId="212" xfId="0" applyNumberFormat="1" applyFont="1" applyFill="1" applyBorder="1" applyAlignment="1">
      <alignment vertical="center"/>
    </xf>
    <xf numFmtId="4" fontId="3" fillId="250" borderId="213" xfId="0" applyNumberFormat="1" applyFont="1" applyFill="1" applyBorder="1" applyAlignment="1">
      <alignment vertical="center"/>
    </xf>
    <xf numFmtId="4" fontId="3" fillId="251" borderId="214" xfId="0" applyNumberFormat="1" applyFont="1" applyFill="1" applyBorder="1" applyAlignment="1">
      <alignment vertical="center"/>
    </xf>
    <xf numFmtId="0" fontId="3" fillId="252" borderId="215" xfId="0" applyFont="1" applyFill="1" applyBorder="1" applyAlignment="1">
      <alignment vertical="center"/>
    </xf>
    <xf numFmtId="0" fontId="3" fillId="253" borderId="216" xfId="0" applyFont="1" applyFill="1" applyBorder="1" applyAlignment="1">
      <alignment vertical="center"/>
    </xf>
    <xf numFmtId="0" fontId="3" fillId="255" borderId="217" xfId="0" applyFont="1" applyFill="1" applyBorder="1" applyAlignment="1">
      <alignment vertical="center"/>
    </xf>
    <xf numFmtId="0" fontId="3" fillId="256" borderId="218" xfId="0" applyFont="1" applyFill="1" applyBorder="1" applyAlignment="1">
      <alignment vertical="center"/>
    </xf>
    <xf numFmtId="0" fontId="3" fillId="257" borderId="219" xfId="0" applyFont="1" applyFill="1" applyBorder="1" applyAlignment="1">
      <alignment vertical="center"/>
    </xf>
    <xf numFmtId="4" fontId="3" fillId="258" borderId="220" xfId="0" applyNumberFormat="1" applyFont="1" applyFill="1" applyBorder="1" applyAlignment="1">
      <alignment vertical="center"/>
    </xf>
    <xf numFmtId="4" fontId="3" fillId="259" borderId="221" xfId="0" applyNumberFormat="1" applyFont="1" applyFill="1" applyBorder="1" applyAlignment="1">
      <alignment vertical="center"/>
    </xf>
    <xf numFmtId="4" fontId="3" fillId="260" borderId="222" xfId="0" applyNumberFormat="1" applyFont="1" applyFill="1" applyBorder="1" applyAlignment="1">
      <alignment vertical="center"/>
    </xf>
    <xf numFmtId="0" fontId="3" fillId="261" borderId="223" xfId="0" applyFont="1" applyFill="1" applyBorder="1" applyAlignment="1">
      <alignment vertical="center"/>
    </xf>
    <xf numFmtId="0" fontId="3" fillId="262" borderId="224" xfId="0" applyFont="1" applyFill="1" applyBorder="1" applyAlignment="1">
      <alignment vertical="center"/>
    </xf>
    <xf numFmtId="0" fontId="3" fillId="264" borderId="225" xfId="0" applyFont="1" applyFill="1" applyBorder="1" applyAlignment="1">
      <alignment vertical="center"/>
    </xf>
    <xf numFmtId="0" fontId="3" fillId="265" borderId="226" xfId="0" applyFont="1" applyFill="1" applyBorder="1" applyAlignment="1">
      <alignment vertical="center"/>
    </xf>
    <xf numFmtId="0" fontId="3" fillId="266" borderId="227" xfId="0" applyFont="1" applyFill="1" applyBorder="1" applyAlignment="1">
      <alignment vertical="center"/>
    </xf>
    <xf numFmtId="4" fontId="3" fillId="267" borderId="228" xfId="0" applyNumberFormat="1" applyFont="1" applyFill="1" applyBorder="1" applyAlignment="1">
      <alignment vertical="center"/>
    </xf>
    <xf numFmtId="4" fontId="3" fillId="268" borderId="229" xfId="0" applyNumberFormat="1" applyFont="1" applyFill="1" applyBorder="1" applyAlignment="1">
      <alignment vertical="center"/>
    </xf>
    <xf numFmtId="4" fontId="3" fillId="269" borderId="230" xfId="0" applyNumberFormat="1" applyFont="1" applyFill="1" applyBorder="1" applyAlignment="1">
      <alignment vertical="center"/>
    </xf>
    <xf numFmtId="0" fontId="3" fillId="270" borderId="231" xfId="0" applyFont="1" applyFill="1" applyBorder="1" applyAlignment="1">
      <alignment vertical="center"/>
    </xf>
    <xf numFmtId="0" fontId="3" fillId="271" borderId="232" xfId="0" applyFont="1" applyFill="1" applyBorder="1" applyAlignment="1">
      <alignment vertical="center"/>
    </xf>
    <xf numFmtId="0" fontId="3" fillId="273" borderId="233" xfId="0" applyFont="1" applyFill="1" applyBorder="1" applyAlignment="1">
      <alignment vertical="center"/>
    </xf>
    <xf numFmtId="0" fontId="3" fillId="274" borderId="234" xfId="0" applyFont="1" applyFill="1" applyBorder="1" applyAlignment="1">
      <alignment vertical="center"/>
    </xf>
    <xf numFmtId="0" fontId="3" fillId="275" borderId="235" xfId="0" applyFont="1" applyFill="1" applyBorder="1" applyAlignment="1">
      <alignment vertical="center"/>
    </xf>
    <xf numFmtId="4" fontId="3" fillId="276" borderId="236" xfId="0" applyNumberFormat="1" applyFont="1" applyFill="1" applyBorder="1" applyAlignment="1">
      <alignment vertical="center"/>
    </xf>
    <xf numFmtId="4" fontId="3" fillId="277" borderId="237" xfId="0" applyNumberFormat="1" applyFont="1" applyFill="1" applyBorder="1" applyAlignment="1">
      <alignment vertical="center"/>
    </xf>
    <xf numFmtId="4" fontId="3" fillId="278" borderId="238" xfId="0" applyNumberFormat="1" applyFont="1" applyFill="1" applyBorder="1" applyAlignment="1">
      <alignment vertical="center"/>
    </xf>
    <xf numFmtId="0" fontId="3" fillId="279" borderId="239" xfId="0" applyFont="1" applyFill="1" applyBorder="1" applyAlignment="1">
      <alignment vertical="center"/>
    </xf>
    <xf numFmtId="0" fontId="3" fillId="280" borderId="240" xfId="0" applyFont="1" applyFill="1" applyBorder="1" applyAlignment="1">
      <alignment vertical="center"/>
    </xf>
    <xf numFmtId="0" fontId="3" fillId="282" borderId="241" xfId="0" applyFont="1" applyFill="1" applyBorder="1" applyAlignment="1">
      <alignment vertical="center"/>
    </xf>
    <xf numFmtId="0" fontId="3" fillId="283" borderId="242" xfId="0" applyFont="1" applyFill="1" applyBorder="1" applyAlignment="1">
      <alignment vertical="center"/>
    </xf>
    <xf numFmtId="0" fontId="3" fillId="284" borderId="243" xfId="0" applyFont="1" applyFill="1" applyBorder="1" applyAlignment="1">
      <alignment vertical="center"/>
    </xf>
    <xf numFmtId="4" fontId="3" fillId="285" borderId="244" xfId="0" applyNumberFormat="1" applyFont="1" applyFill="1" applyBorder="1" applyAlignment="1">
      <alignment vertical="center"/>
    </xf>
    <xf numFmtId="4" fontId="3" fillId="286" borderId="245" xfId="0" applyNumberFormat="1" applyFont="1" applyFill="1" applyBorder="1" applyAlignment="1">
      <alignment vertical="center"/>
    </xf>
    <xf numFmtId="4" fontId="3" fillId="287" borderId="246" xfId="0" applyNumberFormat="1" applyFont="1" applyFill="1" applyBorder="1" applyAlignment="1">
      <alignment vertical="center"/>
    </xf>
    <xf numFmtId="0" fontId="3" fillId="288" borderId="247" xfId="0" applyFont="1" applyFill="1" applyBorder="1" applyAlignment="1">
      <alignment vertical="center"/>
    </xf>
    <xf numFmtId="0" fontId="3" fillId="289" borderId="248" xfId="0" applyFont="1" applyFill="1" applyBorder="1" applyAlignment="1">
      <alignment vertical="center"/>
    </xf>
    <xf numFmtId="0" fontId="3" fillId="291" borderId="249" xfId="0" applyFont="1" applyFill="1" applyBorder="1" applyAlignment="1">
      <alignment vertical="center"/>
    </xf>
    <xf numFmtId="0" fontId="3" fillId="292" borderId="250" xfId="0" applyFont="1" applyFill="1" applyBorder="1" applyAlignment="1">
      <alignment vertical="center"/>
    </xf>
    <xf numFmtId="0" fontId="3" fillId="293" borderId="251" xfId="0" applyFont="1" applyFill="1" applyBorder="1" applyAlignment="1">
      <alignment vertical="center"/>
    </xf>
    <xf numFmtId="4" fontId="3" fillId="294" borderId="252" xfId="0" applyNumberFormat="1" applyFont="1" applyFill="1" applyBorder="1" applyAlignment="1">
      <alignment vertical="center"/>
    </xf>
    <xf numFmtId="4" fontId="3" fillId="295" borderId="253" xfId="0" applyNumberFormat="1" applyFont="1" applyFill="1" applyBorder="1" applyAlignment="1">
      <alignment vertical="center"/>
    </xf>
    <xf numFmtId="4" fontId="3" fillId="296" borderId="254" xfId="0" applyNumberFormat="1" applyFont="1" applyFill="1" applyBorder="1" applyAlignment="1">
      <alignment vertical="center"/>
    </xf>
    <xf numFmtId="0" fontId="3" fillId="297" borderId="255" xfId="0" applyFont="1" applyFill="1" applyBorder="1" applyAlignment="1">
      <alignment vertical="center"/>
    </xf>
    <xf numFmtId="0" fontId="3" fillId="298" borderId="256" xfId="0" applyFont="1" applyFill="1" applyBorder="1" applyAlignment="1">
      <alignment vertical="center"/>
    </xf>
    <xf numFmtId="0" fontId="3" fillId="300" borderId="257" xfId="0" applyFont="1" applyFill="1" applyBorder="1" applyAlignment="1">
      <alignment vertical="center"/>
    </xf>
    <xf numFmtId="0" fontId="3" fillId="301" borderId="258" xfId="0" applyFont="1" applyFill="1" applyBorder="1" applyAlignment="1">
      <alignment vertical="center"/>
    </xf>
    <xf numFmtId="0" fontId="3" fillId="302" borderId="259" xfId="0" applyFont="1" applyFill="1" applyBorder="1" applyAlignment="1">
      <alignment vertical="center"/>
    </xf>
    <xf numFmtId="4" fontId="3" fillId="303" borderId="260" xfId="0" applyNumberFormat="1" applyFont="1" applyFill="1" applyBorder="1" applyAlignment="1">
      <alignment vertical="center"/>
    </xf>
    <xf numFmtId="4" fontId="3" fillId="304" borderId="261" xfId="0" applyNumberFormat="1" applyFont="1" applyFill="1" applyBorder="1" applyAlignment="1">
      <alignment vertical="center"/>
    </xf>
    <xf numFmtId="4" fontId="3" fillId="305" borderId="262" xfId="0" applyNumberFormat="1" applyFont="1" applyFill="1" applyBorder="1" applyAlignment="1">
      <alignment vertical="center"/>
    </xf>
    <xf numFmtId="0" fontId="3" fillId="306" borderId="263" xfId="0" applyFont="1" applyFill="1" applyBorder="1" applyAlignment="1">
      <alignment vertical="center"/>
    </xf>
    <xf numFmtId="0" fontId="3" fillId="307" borderId="264" xfId="0" applyFont="1" applyFill="1" applyBorder="1" applyAlignment="1">
      <alignment vertical="center"/>
    </xf>
    <xf numFmtId="0" fontId="3" fillId="309" borderId="265" xfId="0" applyFont="1" applyFill="1" applyBorder="1" applyAlignment="1">
      <alignment vertical="center"/>
    </xf>
    <xf numFmtId="0" fontId="3" fillId="310" borderId="266" xfId="0" applyFont="1" applyFill="1" applyBorder="1" applyAlignment="1">
      <alignment vertical="center"/>
    </xf>
    <xf numFmtId="0" fontId="3" fillId="311" borderId="267" xfId="0" applyFont="1" applyFill="1" applyBorder="1" applyAlignment="1">
      <alignment vertical="center"/>
    </xf>
    <xf numFmtId="4" fontId="3" fillId="312" borderId="268" xfId="0" applyNumberFormat="1" applyFont="1" applyFill="1" applyBorder="1" applyAlignment="1">
      <alignment vertical="center"/>
    </xf>
    <xf numFmtId="4" fontId="3" fillId="313" borderId="269" xfId="0" applyNumberFormat="1" applyFont="1" applyFill="1" applyBorder="1" applyAlignment="1">
      <alignment vertical="center"/>
    </xf>
    <xf numFmtId="4" fontId="3" fillId="314" borderId="270" xfId="0" applyNumberFormat="1" applyFont="1" applyFill="1" applyBorder="1" applyAlignment="1">
      <alignment vertical="center"/>
    </xf>
    <xf numFmtId="0" fontId="3" fillId="315" borderId="271" xfId="0" applyFont="1" applyFill="1" applyBorder="1" applyAlignment="1">
      <alignment vertical="center"/>
    </xf>
    <xf numFmtId="0" fontId="3" fillId="316" borderId="272" xfId="0" applyFont="1" applyFill="1" applyBorder="1" applyAlignment="1">
      <alignment vertical="center"/>
    </xf>
    <xf numFmtId="0" fontId="3" fillId="318" borderId="273" xfId="0" applyFont="1" applyFill="1" applyBorder="1" applyAlignment="1">
      <alignment vertical="center"/>
    </xf>
    <xf numFmtId="0" fontId="3" fillId="319" borderId="274" xfId="0" applyFont="1" applyFill="1" applyBorder="1" applyAlignment="1">
      <alignment vertical="center"/>
    </xf>
    <xf numFmtId="0" fontId="3" fillId="320" borderId="275" xfId="0" applyFont="1" applyFill="1" applyBorder="1" applyAlignment="1">
      <alignment vertical="center"/>
    </xf>
    <xf numFmtId="4" fontId="3" fillId="321" borderId="276" xfId="0" applyNumberFormat="1" applyFont="1" applyFill="1" applyBorder="1" applyAlignment="1">
      <alignment vertical="center"/>
    </xf>
    <xf numFmtId="4" fontId="3" fillId="322" borderId="277" xfId="0" applyNumberFormat="1" applyFont="1" applyFill="1" applyBorder="1" applyAlignment="1">
      <alignment vertical="center"/>
    </xf>
    <xf numFmtId="4" fontId="3" fillId="323" borderId="278" xfId="0" applyNumberFormat="1" applyFont="1" applyFill="1" applyBorder="1" applyAlignment="1">
      <alignment vertical="center"/>
    </xf>
    <xf numFmtId="0" fontId="3" fillId="324" borderId="279" xfId="0" applyFont="1" applyFill="1" applyBorder="1" applyAlignment="1">
      <alignment vertical="center"/>
    </xf>
    <xf numFmtId="0" fontId="3" fillId="325" borderId="280" xfId="0" applyFont="1" applyFill="1" applyBorder="1" applyAlignment="1">
      <alignment vertical="center"/>
    </xf>
    <xf numFmtId="0" fontId="3" fillId="327" borderId="281" xfId="0" applyFont="1" applyFill="1" applyBorder="1" applyAlignment="1">
      <alignment vertical="center"/>
    </xf>
    <xf numFmtId="0" fontId="3" fillId="328" borderId="282" xfId="0" applyFont="1" applyFill="1" applyBorder="1" applyAlignment="1">
      <alignment vertical="center"/>
    </xf>
    <xf numFmtId="0" fontId="3" fillId="329" borderId="283" xfId="0" applyFont="1" applyFill="1" applyBorder="1" applyAlignment="1">
      <alignment vertical="center"/>
    </xf>
    <xf numFmtId="4" fontId="3" fillId="330" borderId="284" xfId="0" applyNumberFormat="1" applyFont="1" applyFill="1" applyBorder="1" applyAlignment="1">
      <alignment vertical="center"/>
    </xf>
    <xf numFmtId="4" fontId="3" fillId="331" borderId="285" xfId="0" applyNumberFormat="1" applyFont="1" applyFill="1" applyBorder="1" applyAlignment="1">
      <alignment vertical="center"/>
    </xf>
    <xf numFmtId="4" fontId="3" fillId="332" borderId="286" xfId="0" applyNumberFormat="1" applyFont="1" applyFill="1" applyBorder="1" applyAlignment="1">
      <alignment vertical="center"/>
    </xf>
    <xf numFmtId="0" fontId="3" fillId="333" borderId="287" xfId="0" applyFont="1" applyFill="1" applyBorder="1" applyAlignment="1">
      <alignment vertical="center"/>
    </xf>
    <xf numFmtId="0" fontId="3" fillId="334" borderId="288" xfId="0" applyFont="1" applyFill="1" applyBorder="1" applyAlignment="1">
      <alignment vertical="center"/>
    </xf>
    <xf numFmtId="0" fontId="3" fillId="336" borderId="289" xfId="0" applyFont="1" applyFill="1" applyBorder="1" applyAlignment="1">
      <alignment vertical="center"/>
    </xf>
    <xf numFmtId="0" fontId="3" fillId="337" borderId="290" xfId="0" applyFont="1" applyFill="1" applyBorder="1" applyAlignment="1">
      <alignment vertical="center"/>
    </xf>
    <xf numFmtId="0" fontId="3" fillId="338" borderId="291" xfId="0" applyFont="1" applyFill="1" applyBorder="1" applyAlignment="1">
      <alignment vertical="center"/>
    </xf>
    <xf numFmtId="4" fontId="3" fillId="339" borderId="292" xfId="0" applyNumberFormat="1" applyFont="1" applyFill="1" applyBorder="1" applyAlignment="1">
      <alignment vertical="center"/>
    </xf>
    <xf numFmtId="4" fontId="3" fillId="340" borderId="293" xfId="0" applyNumberFormat="1" applyFont="1" applyFill="1" applyBorder="1" applyAlignment="1">
      <alignment vertical="center"/>
    </xf>
    <xf numFmtId="4" fontId="3" fillId="341" borderId="294" xfId="0" applyNumberFormat="1" applyFont="1" applyFill="1" applyBorder="1" applyAlignment="1">
      <alignment vertical="center"/>
    </xf>
    <xf numFmtId="0" fontId="3" fillId="342" borderId="295" xfId="0" applyFont="1" applyFill="1" applyBorder="1" applyAlignment="1">
      <alignment vertical="center"/>
    </xf>
    <xf numFmtId="0" fontId="3" fillId="343" borderId="296" xfId="0" applyFont="1" applyFill="1" applyBorder="1" applyAlignment="1">
      <alignment vertical="center"/>
    </xf>
    <xf numFmtId="0" fontId="3" fillId="345" borderId="297" xfId="0" applyFont="1" applyFill="1" applyBorder="1" applyAlignment="1">
      <alignment vertical="center"/>
    </xf>
    <xf numFmtId="0" fontId="3" fillId="346" borderId="298" xfId="0" applyFont="1" applyFill="1" applyBorder="1" applyAlignment="1">
      <alignment vertical="center"/>
    </xf>
    <xf numFmtId="0" fontId="3" fillId="347" borderId="299" xfId="0" applyFont="1" applyFill="1" applyBorder="1" applyAlignment="1">
      <alignment vertical="center"/>
    </xf>
    <xf numFmtId="4" fontId="3" fillId="348" borderId="300" xfId="0" applyNumberFormat="1" applyFont="1" applyFill="1" applyBorder="1" applyAlignment="1">
      <alignment vertical="center"/>
    </xf>
    <xf numFmtId="4" fontId="3" fillId="349" borderId="301" xfId="0" applyNumberFormat="1" applyFont="1" applyFill="1" applyBorder="1" applyAlignment="1">
      <alignment vertical="center"/>
    </xf>
    <xf numFmtId="4" fontId="3" fillId="350" borderId="302" xfId="0" applyNumberFormat="1" applyFont="1" applyFill="1" applyBorder="1" applyAlignment="1">
      <alignment vertical="center"/>
    </xf>
    <xf numFmtId="0" fontId="3" fillId="351" borderId="303" xfId="0" applyFont="1" applyFill="1" applyBorder="1" applyAlignment="1">
      <alignment vertical="center"/>
    </xf>
    <xf numFmtId="0" fontId="3" fillId="352" borderId="304" xfId="0" applyFont="1" applyFill="1" applyBorder="1" applyAlignment="1">
      <alignment vertical="center"/>
    </xf>
    <xf numFmtId="0" fontId="3" fillId="354" borderId="305" xfId="0" applyFont="1" applyFill="1" applyBorder="1" applyAlignment="1">
      <alignment vertical="center"/>
    </xf>
    <xf numFmtId="0" fontId="3" fillId="355" borderId="306" xfId="0" applyFont="1" applyFill="1" applyBorder="1" applyAlignment="1">
      <alignment vertical="center"/>
    </xf>
    <xf numFmtId="0" fontId="3" fillId="356" borderId="307" xfId="0" applyFont="1" applyFill="1" applyBorder="1" applyAlignment="1">
      <alignment vertical="center"/>
    </xf>
    <xf numFmtId="4" fontId="3" fillId="357" borderId="308" xfId="0" applyNumberFormat="1" applyFont="1" applyFill="1" applyBorder="1" applyAlignment="1">
      <alignment vertical="center"/>
    </xf>
    <xf numFmtId="4" fontId="3" fillId="358" borderId="309" xfId="0" applyNumberFormat="1" applyFont="1" applyFill="1" applyBorder="1" applyAlignment="1">
      <alignment vertical="center"/>
    </xf>
    <xf numFmtId="4" fontId="3" fillId="359" borderId="310" xfId="0" applyNumberFormat="1" applyFont="1" applyFill="1" applyBorder="1" applyAlignment="1">
      <alignment vertical="center"/>
    </xf>
    <xf numFmtId="0" fontId="3" fillId="360" borderId="311" xfId="0" applyFont="1" applyFill="1" applyBorder="1" applyAlignment="1">
      <alignment vertical="center"/>
    </xf>
    <xf numFmtId="0" fontId="3" fillId="361" borderId="312" xfId="0" applyFont="1" applyFill="1" applyBorder="1" applyAlignment="1">
      <alignment vertical="center"/>
    </xf>
    <xf numFmtId="0" fontId="3" fillId="363" borderId="313" xfId="0" applyFont="1" applyFill="1" applyBorder="1" applyAlignment="1">
      <alignment vertical="center"/>
    </xf>
    <xf numFmtId="0" fontId="3" fillId="364" borderId="314" xfId="0" applyFont="1" applyFill="1" applyBorder="1" applyAlignment="1">
      <alignment vertical="center"/>
    </xf>
    <xf numFmtId="0" fontId="3" fillId="365" borderId="315" xfId="0" applyFont="1" applyFill="1" applyBorder="1" applyAlignment="1">
      <alignment vertical="center"/>
    </xf>
    <xf numFmtId="4" fontId="3" fillId="366" borderId="316" xfId="0" applyNumberFormat="1" applyFont="1" applyFill="1" applyBorder="1" applyAlignment="1">
      <alignment vertical="center"/>
    </xf>
    <xf numFmtId="4" fontId="3" fillId="367" borderId="317" xfId="0" applyNumberFormat="1" applyFont="1" applyFill="1" applyBorder="1" applyAlignment="1">
      <alignment vertical="center"/>
    </xf>
    <xf numFmtId="4" fontId="3" fillId="368" borderId="318" xfId="0" applyNumberFormat="1" applyFont="1" applyFill="1" applyBorder="1" applyAlignment="1">
      <alignment vertical="center"/>
    </xf>
    <xf numFmtId="0" fontId="3" fillId="369" borderId="319" xfId="0" applyFont="1" applyFill="1" applyBorder="1" applyAlignment="1">
      <alignment vertical="center"/>
    </xf>
    <xf numFmtId="0" fontId="3" fillId="370" borderId="320" xfId="0" applyFont="1" applyFill="1" applyBorder="1" applyAlignment="1">
      <alignment vertical="center"/>
    </xf>
    <xf numFmtId="0" fontId="3" fillId="372" borderId="321" xfId="0" applyFont="1" applyFill="1" applyBorder="1" applyAlignment="1">
      <alignment vertical="center"/>
    </xf>
    <xf numFmtId="0" fontId="3" fillId="373" borderId="322" xfId="0" applyFont="1" applyFill="1" applyBorder="1" applyAlignment="1">
      <alignment vertical="center"/>
    </xf>
    <xf numFmtId="0" fontId="3" fillId="374" borderId="323" xfId="0" applyFont="1" applyFill="1" applyBorder="1" applyAlignment="1">
      <alignment vertical="center"/>
    </xf>
    <xf numFmtId="4" fontId="3" fillId="375" borderId="324" xfId="0" applyNumberFormat="1" applyFont="1" applyFill="1" applyBorder="1" applyAlignment="1">
      <alignment vertical="center"/>
    </xf>
    <xf numFmtId="4" fontId="3" fillId="376" borderId="325" xfId="0" applyNumberFormat="1" applyFont="1" applyFill="1" applyBorder="1" applyAlignment="1">
      <alignment vertical="center"/>
    </xf>
    <xf numFmtId="4" fontId="3" fillId="377" borderId="326" xfId="0" applyNumberFormat="1" applyFont="1" applyFill="1" applyBorder="1" applyAlignment="1">
      <alignment vertical="center"/>
    </xf>
    <xf numFmtId="0" fontId="3" fillId="378" borderId="327" xfId="0" applyFont="1" applyFill="1" applyBorder="1" applyAlignment="1">
      <alignment vertical="center"/>
    </xf>
    <xf numFmtId="0" fontId="3" fillId="379" borderId="328" xfId="0" applyFont="1" applyFill="1" applyBorder="1" applyAlignment="1">
      <alignment vertical="center"/>
    </xf>
    <xf numFmtId="0" fontId="3" fillId="381" borderId="329" xfId="0" applyFont="1" applyFill="1" applyBorder="1" applyAlignment="1">
      <alignment vertical="center"/>
    </xf>
    <xf numFmtId="0" fontId="3" fillId="382" borderId="330" xfId="0" applyFont="1" applyFill="1" applyBorder="1" applyAlignment="1">
      <alignment vertical="center"/>
    </xf>
    <xf numFmtId="0" fontId="3" fillId="383" borderId="331" xfId="0" applyFont="1" applyFill="1" applyBorder="1" applyAlignment="1">
      <alignment vertical="center"/>
    </xf>
    <xf numFmtId="4" fontId="3" fillId="384" borderId="332" xfId="0" applyNumberFormat="1" applyFont="1" applyFill="1" applyBorder="1" applyAlignment="1">
      <alignment vertical="center"/>
    </xf>
    <xf numFmtId="4" fontId="3" fillId="385" borderId="333" xfId="0" applyNumberFormat="1" applyFont="1" applyFill="1" applyBorder="1" applyAlignment="1">
      <alignment vertical="center"/>
    </xf>
    <xf numFmtId="4" fontId="3" fillId="386" borderId="334" xfId="0" applyNumberFormat="1" applyFont="1" applyFill="1" applyBorder="1" applyAlignment="1">
      <alignment vertical="center"/>
    </xf>
    <xf numFmtId="0" fontId="3" fillId="387" borderId="335" xfId="0" applyFont="1" applyFill="1" applyBorder="1" applyAlignment="1">
      <alignment vertical="center"/>
    </xf>
    <xf numFmtId="0" fontId="3" fillId="388" borderId="336" xfId="0" applyFont="1" applyFill="1" applyBorder="1" applyAlignment="1">
      <alignment vertical="center"/>
    </xf>
    <xf numFmtId="0" fontId="3" fillId="390" borderId="337" xfId="0" applyFont="1" applyFill="1" applyBorder="1" applyAlignment="1">
      <alignment vertical="center"/>
    </xf>
    <xf numFmtId="0" fontId="3" fillId="391" borderId="338" xfId="0" applyFont="1" applyFill="1" applyBorder="1" applyAlignment="1">
      <alignment vertical="center"/>
    </xf>
    <xf numFmtId="0" fontId="3" fillId="392" borderId="339" xfId="0" applyFont="1" applyFill="1" applyBorder="1" applyAlignment="1">
      <alignment vertical="center"/>
    </xf>
    <xf numFmtId="4" fontId="3" fillId="393" borderId="340" xfId="0" applyNumberFormat="1" applyFont="1" applyFill="1" applyBorder="1" applyAlignment="1">
      <alignment vertical="center"/>
    </xf>
    <xf numFmtId="4" fontId="3" fillId="394" borderId="341" xfId="0" applyNumberFormat="1" applyFont="1" applyFill="1" applyBorder="1" applyAlignment="1">
      <alignment vertical="center"/>
    </xf>
    <xf numFmtId="4" fontId="3" fillId="395" borderId="342" xfId="0" applyNumberFormat="1" applyFont="1" applyFill="1" applyBorder="1" applyAlignment="1">
      <alignment vertical="center"/>
    </xf>
    <xf numFmtId="0" fontId="3" fillId="396" borderId="343" xfId="0" applyFont="1" applyFill="1" applyBorder="1" applyAlignment="1">
      <alignment vertical="center"/>
    </xf>
    <xf numFmtId="0" fontId="3" fillId="397" borderId="344" xfId="0" applyFont="1" applyFill="1" applyBorder="1" applyAlignment="1">
      <alignment vertical="center"/>
    </xf>
    <xf numFmtId="0" fontId="3" fillId="399" borderId="345" xfId="0" applyFont="1" applyFill="1" applyBorder="1" applyAlignment="1">
      <alignment vertical="center"/>
    </xf>
    <xf numFmtId="0" fontId="3" fillId="400" borderId="346" xfId="0" applyFont="1" applyFill="1" applyBorder="1" applyAlignment="1">
      <alignment vertical="center"/>
    </xf>
    <xf numFmtId="0" fontId="3" fillId="401" borderId="347" xfId="0" applyFont="1" applyFill="1" applyBorder="1" applyAlignment="1">
      <alignment vertical="center"/>
    </xf>
    <xf numFmtId="4" fontId="3" fillId="402" borderId="348" xfId="0" applyNumberFormat="1" applyFont="1" applyFill="1" applyBorder="1" applyAlignment="1">
      <alignment vertical="center"/>
    </xf>
    <xf numFmtId="4" fontId="3" fillId="403" borderId="349" xfId="0" applyNumberFormat="1" applyFont="1" applyFill="1" applyBorder="1" applyAlignment="1">
      <alignment vertical="center"/>
    </xf>
    <xf numFmtId="4" fontId="3" fillId="404" borderId="350" xfId="0" applyNumberFormat="1" applyFont="1" applyFill="1" applyBorder="1" applyAlignment="1">
      <alignment vertical="center"/>
    </xf>
    <xf numFmtId="0" fontId="3" fillId="405" borderId="351" xfId="0" applyFont="1" applyFill="1" applyBorder="1" applyAlignment="1">
      <alignment vertical="center"/>
    </xf>
    <xf numFmtId="0" fontId="3" fillId="406" borderId="352" xfId="0" applyFont="1" applyFill="1" applyBorder="1" applyAlignment="1">
      <alignment vertical="center"/>
    </xf>
    <xf numFmtId="0" fontId="3" fillId="408" borderId="353" xfId="0" applyFont="1" applyFill="1" applyBorder="1" applyAlignment="1">
      <alignment vertical="center"/>
    </xf>
    <xf numFmtId="0" fontId="3" fillId="409" borderId="354" xfId="0" applyFont="1" applyFill="1" applyBorder="1" applyAlignment="1">
      <alignment vertical="center"/>
    </xf>
    <xf numFmtId="0" fontId="3" fillId="410" borderId="355" xfId="0" applyFont="1" applyFill="1" applyBorder="1" applyAlignment="1">
      <alignment vertical="center"/>
    </xf>
    <xf numFmtId="4" fontId="3" fillId="411" borderId="356" xfId="0" applyNumberFormat="1" applyFont="1" applyFill="1" applyBorder="1" applyAlignment="1">
      <alignment vertical="center"/>
    </xf>
    <xf numFmtId="4" fontId="3" fillId="412" borderId="357" xfId="0" applyNumberFormat="1" applyFont="1" applyFill="1" applyBorder="1" applyAlignment="1">
      <alignment vertical="center"/>
    </xf>
    <xf numFmtId="4" fontId="3" fillId="413" borderId="358" xfId="0" applyNumberFormat="1" applyFont="1" applyFill="1" applyBorder="1" applyAlignment="1">
      <alignment vertical="center"/>
    </xf>
    <xf numFmtId="0" fontId="3" fillId="414" borderId="359" xfId="0" applyFont="1" applyFill="1" applyBorder="1" applyAlignment="1">
      <alignment vertical="center"/>
    </xf>
    <xf numFmtId="0" fontId="3" fillId="415" borderId="360" xfId="0" applyFont="1" applyFill="1" applyBorder="1" applyAlignment="1">
      <alignment vertical="center"/>
    </xf>
    <xf numFmtId="0" fontId="3" fillId="417" borderId="361" xfId="0" applyFont="1" applyFill="1" applyBorder="1" applyAlignment="1">
      <alignment vertical="center"/>
    </xf>
    <xf numFmtId="0" fontId="3" fillId="418" borderId="362" xfId="0" applyFont="1" applyFill="1" applyBorder="1" applyAlignment="1">
      <alignment vertical="center"/>
    </xf>
    <xf numFmtId="0" fontId="3" fillId="419" borderId="363" xfId="0" applyFont="1" applyFill="1" applyBorder="1" applyAlignment="1">
      <alignment vertical="center"/>
    </xf>
    <xf numFmtId="4" fontId="3" fillId="420" borderId="364" xfId="0" applyNumberFormat="1" applyFont="1" applyFill="1" applyBorder="1" applyAlignment="1">
      <alignment vertical="center"/>
    </xf>
    <xf numFmtId="4" fontId="3" fillId="421" borderId="365" xfId="0" applyNumberFormat="1" applyFont="1" applyFill="1" applyBorder="1" applyAlignment="1">
      <alignment vertical="center"/>
    </xf>
    <xf numFmtId="4" fontId="3" fillId="422" borderId="366" xfId="0" applyNumberFormat="1" applyFont="1" applyFill="1" applyBorder="1" applyAlignment="1">
      <alignment vertical="center"/>
    </xf>
    <xf numFmtId="0" fontId="3" fillId="423" borderId="367" xfId="0" applyFont="1" applyFill="1" applyBorder="1" applyAlignment="1">
      <alignment vertical="center"/>
    </xf>
    <xf numFmtId="0" fontId="3" fillId="424" borderId="368" xfId="0" applyFont="1" applyFill="1" applyBorder="1" applyAlignment="1">
      <alignment vertical="center"/>
    </xf>
    <xf numFmtId="0" fontId="3" fillId="426" borderId="369" xfId="0" applyFont="1" applyFill="1" applyBorder="1" applyAlignment="1">
      <alignment vertical="center"/>
    </xf>
    <xf numFmtId="0" fontId="3" fillId="427" borderId="370" xfId="0" applyFont="1" applyFill="1" applyBorder="1" applyAlignment="1">
      <alignment vertical="center"/>
    </xf>
    <xf numFmtId="0" fontId="3" fillId="428" borderId="371" xfId="0" applyFont="1" applyFill="1" applyBorder="1" applyAlignment="1">
      <alignment vertical="center"/>
    </xf>
    <xf numFmtId="4" fontId="3" fillId="429" borderId="372" xfId="0" applyNumberFormat="1" applyFont="1" applyFill="1" applyBorder="1" applyAlignment="1">
      <alignment vertical="center"/>
    </xf>
    <xf numFmtId="4" fontId="3" fillId="430" borderId="373" xfId="0" applyNumberFormat="1" applyFont="1" applyFill="1" applyBorder="1" applyAlignment="1">
      <alignment vertical="center"/>
    </xf>
    <xf numFmtId="4" fontId="3" fillId="431" borderId="374" xfId="0" applyNumberFormat="1" applyFont="1" applyFill="1" applyBorder="1" applyAlignment="1">
      <alignment vertical="center"/>
    </xf>
    <xf numFmtId="0" fontId="3" fillId="432" borderId="375" xfId="0" applyFont="1" applyFill="1" applyBorder="1" applyAlignment="1">
      <alignment vertical="center"/>
    </xf>
    <xf numFmtId="0" fontId="3" fillId="433" borderId="376" xfId="0" applyFont="1" applyFill="1" applyBorder="1" applyAlignment="1">
      <alignment vertical="center"/>
    </xf>
    <xf numFmtId="0" fontId="3" fillId="435" borderId="377" xfId="0" applyFont="1" applyFill="1" applyBorder="1" applyAlignment="1">
      <alignment vertical="center"/>
    </xf>
    <xf numFmtId="0" fontId="3" fillId="436" borderId="378" xfId="0" applyFont="1" applyFill="1" applyBorder="1" applyAlignment="1">
      <alignment vertical="center"/>
    </xf>
    <xf numFmtId="0" fontId="3" fillId="437" borderId="379" xfId="0" applyFont="1" applyFill="1" applyBorder="1" applyAlignment="1">
      <alignment vertical="center"/>
    </xf>
    <xf numFmtId="4" fontId="3" fillId="438" borderId="380" xfId="0" applyNumberFormat="1" applyFont="1" applyFill="1" applyBorder="1" applyAlignment="1">
      <alignment vertical="center"/>
    </xf>
    <xf numFmtId="4" fontId="3" fillId="439" borderId="381" xfId="0" applyNumberFormat="1" applyFont="1" applyFill="1" applyBorder="1" applyAlignment="1">
      <alignment vertical="center"/>
    </xf>
    <xf numFmtId="4" fontId="3" fillId="440" borderId="382" xfId="0" applyNumberFormat="1" applyFont="1" applyFill="1" applyBorder="1" applyAlignment="1">
      <alignment vertical="center"/>
    </xf>
    <xf numFmtId="0" fontId="3" fillId="441" borderId="383" xfId="0" applyFont="1" applyFill="1" applyBorder="1" applyAlignment="1">
      <alignment vertical="center"/>
    </xf>
    <xf numFmtId="0" fontId="3" fillId="442" borderId="384" xfId="0" applyFont="1" applyFill="1" applyBorder="1" applyAlignment="1">
      <alignment vertical="center"/>
    </xf>
    <xf numFmtId="0" fontId="3" fillId="444" borderId="385" xfId="0" applyFont="1" applyFill="1" applyBorder="1" applyAlignment="1">
      <alignment vertical="center"/>
    </xf>
    <xf numFmtId="0" fontId="3" fillId="445" borderId="386" xfId="0" applyFont="1" applyFill="1" applyBorder="1" applyAlignment="1">
      <alignment vertical="center"/>
    </xf>
    <xf numFmtId="0" fontId="3" fillId="446" borderId="387" xfId="0" applyFont="1" applyFill="1" applyBorder="1" applyAlignment="1">
      <alignment vertical="center"/>
    </xf>
    <xf numFmtId="4" fontId="3" fillId="447" borderId="388" xfId="0" applyNumberFormat="1" applyFont="1" applyFill="1" applyBorder="1" applyAlignment="1">
      <alignment vertical="center"/>
    </xf>
    <xf numFmtId="4" fontId="3" fillId="448" borderId="389" xfId="0" applyNumberFormat="1" applyFont="1" applyFill="1" applyBorder="1" applyAlignment="1">
      <alignment vertical="center"/>
    </xf>
    <xf numFmtId="4" fontId="3" fillId="449" borderId="390" xfId="0" applyNumberFormat="1" applyFont="1" applyFill="1" applyBorder="1" applyAlignment="1">
      <alignment vertical="center"/>
    </xf>
    <xf numFmtId="0" fontId="3" fillId="450" borderId="391" xfId="0" applyFont="1" applyFill="1" applyBorder="1" applyAlignment="1">
      <alignment vertical="center"/>
    </xf>
    <xf numFmtId="0" fontId="3" fillId="451" borderId="392" xfId="0" applyFont="1" applyFill="1" applyBorder="1" applyAlignment="1">
      <alignment vertical="center"/>
    </xf>
    <xf numFmtId="0" fontId="3" fillId="453" borderId="393" xfId="0" applyFont="1" applyFill="1" applyBorder="1" applyAlignment="1">
      <alignment vertical="center"/>
    </xf>
    <xf numFmtId="0" fontId="3" fillId="454" borderId="394" xfId="0" applyFont="1" applyFill="1" applyBorder="1" applyAlignment="1">
      <alignment vertical="center"/>
    </xf>
    <xf numFmtId="0" fontId="3" fillId="455" borderId="395" xfId="0" applyFont="1" applyFill="1" applyBorder="1" applyAlignment="1">
      <alignment vertical="center"/>
    </xf>
    <xf numFmtId="4" fontId="3" fillId="456" borderId="396" xfId="0" applyNumberFormat="1" applyFont="1" applyFill="1" applyBorder="1" applyAlignment="1">
      <alignment vertical="center"/>
    </xf>
    <xf numFmtId="4" fontId="3" fillId="457" borderId="397" xfId="0" applyNumberFormat="1" applyFont="1" applyFill="1" applyBorder="1" applyAlignment="1">
      <alignment vertical="center"/>
    </xf>
    <xf numFmtId="4" fontId="3" fillId="458" borderId="398" xfId="0" applyNumberFormat="1" applyFont="1" applyFill="1" applyBorder="1" applyAlignment="1">
      <alignment vertical="center"/>
    </xf>
    <xf numFmtId="0" fontId="3" fillId="459" borderId="399" xfId="0" applyFont="1" applyFill="1" applyBorder="1" applyAlignment="1">
      <alignment vertical="center"/>
    </xf>
    <xf numFmtId="0" fontId="3" fillId="460" borderId="400" xfId="0" applyFont="1" applyFill="1" applyBorder="1" applyAlignment="1">
      <alignment vertical="center"/>
    </xf>
    <xf numFmtId="0" fontId="3" fillId="462" borderId="401" xfId="0" applyFont="1" applyFill="1" applyBorder="1" applyAlignment="1">
      <alignment vertical="center"/>
    </xf>
    <xf numFmtId="0" fontId="3" fillId="463" borderId="402" xfId="0" applyFont="1" applyFill="1" applyBorder="1" applyAlignment="1">
      <alignment vertical="center"/>
    </xf>
    <xf numFmtId="0" fontId="3" fillId="464" borderId="403" xfId="0" applyFont="1" applyFill="1" applyBorder="1" applyAlignment="1">
      <alignment vertical="center"/>
    </xf>
    <xf numFmtId="4" fontId="3" fillId="465" borderId="404" xfId="0" applyNumberFormat="1" applyFont="1" applyFill="1" applyBorder="1" applyAlignment="1">
      <alignment vertical="center"/>
    </xf>
    <xf numFmtId="4" fontId="3" fillId="466" borderId="405" xfId="0" applyNumberFormat="1" applyFont="1" applyFill="1" applyBorder="1" applyAlignment="1">
      <alignment vertical="center"/>
    </xf>
    <xf numFmtId="4" fontId="3" fillId="467" borderId="406" xfId="0" applyNumberFormat="1" applyFont="1" applyFill="1" applyBorder="1" applyAlignment="1">
      <alignment vertical="center"/>
    </xf>
    <xf numFmtId="0" fontId="3" fillId="468" borderId="407" xfId="0" applyFont="1" applyFill="1" applyBorder="1" applyAlignment="1">
      <alignment vertical="center"/>
    </xf>
    <xf numFmtId="0" fontId="3" fillId="469" borderId="408" xfId="0" applyFont="1" applyFill="1" applyBorder="1" applyAlignment="1">
      <alignment vertical="center"/>
    </xf>
    <xf numFmtId="0" fontId="3" fillId="471" borderId="409" xfId="0" applyFont="1" applyFill="1" applyBorder="1" applyAlignment="1">
      <alignment vertical="center"/>
    </xf>
    <xf numFmtId="0" fontId="3" fillId="472" borderId="410" xfId="0" applyFont="1" applyFill="1" applyBorder="1" applyAlignment="1">
      <alignment vertical="center"/>
    </xf>
    <xf numFmtId="0" fontId="3" fillId="473" borderId="411" xfId="0" applyFont="1" applyFill="1" applyBorder="1" applyAlignment="1">
      <alignment vertical="center"/>
    </xf>
    <xf numFmtId="4" fontId="3" fillId="474" borderId="412" xfId="0" applyNumberFormat="1" applyFont="1" applyFill="1" applyBorder="1" applyAlignment="1">
      <alignment vertical="center"/>
    </xf>
    <xf numFmtId="4" fontId="3" fillId="475" borderId="413" xfId="0" applyNumberFormat="1" applyFont="1" applyFill="1" applyBorder="1" applyAlignment="1">
      <alignment vertical="center"/>
    </xf>
    <xf numFmtId="4" fontId="3" fillId="476" borderId="414" xfId="0" applyNumberFormat="1" applyFont="1" applyFill="1" applyBorder="1" applyAlignment="1">
      <alignment vertical="center"/>
    </xf>
    <xf numFmtId="0" fontId="3" fillId="477" borderId="415" xfId="0" applyFont="1" applyFill="1" applyBorder="1" applyAlignment="1">
      <alignment vertical="center"/>
    </xf>
    <xf numFmtId="0" fontId="3" fillId="478" borderId="416" xfId="0" applyFont="1" applyFill="1" applyBorder="1" applyAlignment="1">
      <alignment vertical="center"/>
    </xf>
    <xf numFmtId="0" fontId="3" fillId="480" borderId="417" xfId="0" applyFont="1" applyFill="1" applyBorder="1" applyAlignment="1">
      <alignment vertical="center"/>
    </xf>
    <xf numFmtId="0" fontId="3" fillId="481" borderId="418" xfId="0" applyFont="1" applyFill="1" applyBorder="1" applyAlignment="1">
      <alignment vertical="center"/>
    </xf>
    <xf numFmtId="0" fontId="3" fillId="482" borderId="419" xfId="0" applyFont="1" applyFill="1" applyBorder="1" applyAlignment="1">
      <alignment vertical="center"/>
    </xf>
    <xf numFmtId="4" fontId="3" fillId="483" borderId="420" xfId="0" applyNumberFormat="1" applyFont="1" applyFill="1" applyBorder="1" applyAlignment="1">
      <alignment vertical="center"/>
    </xf>
    <xf numFmtId="4" fontId="3" fillId="484" borderId="421" xfId="0" applyNumberFormat="1" applyFont="1" applyFill="1" applyBorder="1" applyAlignment="1">
      <alignment vertical="center"/>
    </xf>
    <xf numFmtId="4" fontId="3" fillId="485" borderId="422" xfId="0" applyNumberFormat="1" applyFont="1" applyFill="1" applyBorder="1" applyAlignment="1">
      <alignment vertical="center"/>
    </xf>
    <xf numFmtId="0" fontId="3" fillId="486" borderId="423" xfId="0" applyFont="1" applyFill="1" applyBorder="1" applyAlignment="1">
      <alignment vertical="center"/>
    </xf>
    <xf numFmtId="0" fontId="3" fillId="487" borderId="424" xfId="0" applyFont="1" applyFill="1" applyBorder="1" applyAlignment="1">
      <alignment vertical="center"/>
    </xf>
    <xf numFmtId="0" fontId="3" fillId="489" borderId="425" xfId="0" applyFont="1" applyFill="1" applyBorder="1" applyAlignment="1">
      <alignment vertical="center"/>
    </xf>
    <xf numFmtId="0" fontId="3" fillId="490" borderId="426" xfId="0" applyFont="1" applyFill="1" applyBorder="1" applyAlignment="1">
      <alignment vertical="center"/>
    </xf>
    <xf numFmtId="0" fontId="3" fillId="491" borderId="427" xfId="0" applyFont="1" applyFill="1" applyBorder="1" applyAlignment="1">
      <alignment vertical="center"/>
    </xf>
    <xf numFmtId="4" fontId="3" fillId="492" borderId="428" xfId="0" applyNumberFormat="1" applyFont="1" applyFill="1" applyBorder="1" applyAlignment="1">
      <alignment vertical="center"/>
    </xf>
    <xf numFmtId="4" fontId="3" fillId="493" borderId="429" xfId="0" applyNumberFormat="1" applyFont="1" applyFill="1" applyBorder="1" applyAlignment="1">
      <alignment vertical="center"/>
    </xf>
    <xf numFmtId="4" fontId="3" fillId="494" borderId="430" xfId="0" applyNumberFormat="1" applyFont="1" applyFill="1" applyBorder="1" applyAlignment="1">
      <alignment vertical="center"/>
    </xf>
    <xf numFmtId="0" fontId="3" fillId="495" borderId="431" xfId="0" applyFont="1" applyFill="1" applyBorder="1" applyAlignment="1">
      <alignment vertical="center"/>
    </xf>
    <xf numFmtId="0" fontId="3" fillId="496" borderId="432" xfId="0" applyFont="1" applyFill="1" applyBorder="1" applyAlignment="1">
      <alignment vertical="center"/>
    </xf>
    <xf numFmtId="0" fontId="3" fillId="498" borderId="433" xfId="0" applyFont="1" applyFill="1" applyBorder="1" applyAlignment="1">
      <alignment vertical="center"/>
    </xf>
    <xf numFmtId="0" fontId="3" fillId="499" borderId="434" xfId="0" applyFont="1" applyFill="1" applyBorder="1" applyAlignment="1">
      <alignment vertical="center"/>
    </xf>
    <xf numFmtId="0" fontId="3" fillId="500" borderId="435" xfId="0" applyFont="1" applyFill="1" applyBorder="1" applyAlignment="1">
      <alignment vertical="center"/>
    </xf>
    <xf numFmtId="4" fontId="3" fillId="501" borderId="436" xfId="0" applyNumberFormat="1" applyFont="1" applyFill="1" applyBorder="1" applyAlignment="1">
      <alignment vertical="center"/>
    </xf>
    <xf numFmtId="4" fontId="3" fillId="502" borderId="437" xfId="0" applyNumberFormat="1" applyFont="1" applyFill="1" applyBorder="1" applyAlignment="1">
      <alignment vertical="center"/>
    </xf>
    <xf numFmtId="4" fontId="3" fillId="503" borderId="438" xfId="0" applyNumberFormat="1" applyFont="1" applyFill="1" applyBorder="1" applyAlignment="1">
      <alignment vertical="center"/>
    </xf>
    <xf numFmtId="0" fontId="3" fillId="504" borderId="439" xfId="0" applyFont="1" applyFill="1" applyBorder="1" applyAlignment="1">
      <alignment vertical="center"/>
    </xf>
    <xf numFmtId="0" fontId="3" fillId="505" borderId="440" xfId="0" applyFont="1" applyFill="1" applyBorder="1" applyAlignment="1">
      <alignment vertical="center"/>
    </xf>
    <xf numFmtId="0" fontId="3" fillId="507" borderId="441" xfId="0" applyFont="1" applyFill="1" applyBorder="1" applyAlignment="1">
      <alignment vertical="center"/>
    </xf>
    <xf numFmtId="0" fontId="3" fillId="508" borderId="442" xfId="0" applyFont="1" applyFill="1" applyBorder="1" applyAlignment="1">
      <alignment vertical="center"/>
    </xf>
    <xf numFmtId="0" fontId="3" fillId="509" borderId="443" xfId="0" applyFont="1" applyFill="1" applyBorder="1" applyAlignment="1">
      <alignment vertical="center"/>
    </xf>
    <xf numFmtId="4" fontId="3" fillId="510" borderId="444" xfId="0" applyNumberFormat="1" applyFont="1" applyFill="1" applyBorder="1" applyAlignment="1">
      <alignment vertical="center"/>
    </xf>
    <xf numFmtId="4" fontId="3" fillId="511" borderId="445" xfId="0" applyNumberFormat="1" applyFont="1" applyFill="1" applyBorder="1" applyAlignment="1">
      <alignment vertical="center"/>
    </xf>
    <xf numFmtId="4" fontId="3" fillId="512" borderId="446" xfId="0" applyNumberFormat="1" applyFont="1" applyFill="1" applyBorder="1" applyAlignment="1">
      <alignment vertical="center"/>
    </xf>
    <xf numFmtId="0" fontId="3" fillId="513" borderId="447" xfId="0" applyFont="1" applyFill="1" applyBorder="1" applyAlignment="1">
      <alignment vertical="center"/>
    </xf>
    <xf numFmtId="0" fontId="3" fillId="514" borderId="448" xfId="0" applyFont="1" applyFill="1" applyBorder="1" applyAlignment="1">
      <alignment vertical="center"/>
    </xf>
    <xf numFmtId="0" fontId="3" fillId="516" borderId="449" xfId="0" applyFont="1" applyFill="1" applyBorder="1" applyAlignment="1">
      <alignment vertical="center"/>
    </xf>
    <xf numFmtId="0" fontId="3" fillId="517" borderId="450" xfId="0" applyFont="1" applyFill="1" applyBorder="1" applyAlignment="1">
      <alignment vertical="center"/>
    </xf>
    <xf numFmtId="0" fontId="3" fillId="518" borderId="451" xfId="0" applyFont="1" applyFill="1" applyBorder="1" applyAlignment="1">
      <alignment vertical="center"/>
    </xf>
    <xf numFmtId="4" fontId="3" fillId="519" borderId="452" xfId="0" applyNumberFormat="1" applyFont="1" applyFill="1" applyBorder="1" applyAlignment="1">
      <alignment vertical="center"/>
    </xf>
    <xf numFmtId="4" fontId="3" fillId="520" borderId="453" xfId="0" applyNumberFormat="1" applyFont="1" applyFill="1" applyBorder="1" applyAlignment="1">
      <alignment vertical="center"/>
    </xf>
    <xf numFmtId="4" fontId="3" fillId="521" borderId="454" xfId="0" applyNumberFormat="1" applyFont="1" applyFill="1" applyBorder="1" applyAlignment="1">
      <alignment vertical="center"/>
    </xf>
    <xf numFmtId="0" fontId="3" fillId="522" borderId="455" xfId="0" applyFont="1" applyFill="1" applyBorder="1" applyAlignment="1">
      <alignment vertical="center"/>
    </xf>
    <xf numFmtId="0" fontId="3" fillId="523" borderId="456" xfId="0" applyFont="1" applyFill="1" applyBorder="1" applyAlignment="1">
      <alignment vertical="center"/>
    </xf>
    <xf numFmtId="0" fontId="3" fillId="525" borderId="457" xfId="0" applyFont="1" applyFill="1" applyBorder="1" applyAlignment="1">
      <alignment vertical="center"/>
    </xf>
    <xf numFmtId="0" fontId="3" fillId="526" borderId="458" xfId="0" applyFont="1" applyFill="1" applyBorder="1" applyAlignment="1">
      <alignment vertical="center"/>
    </xf>
    <xf numFmtId="0" fontId="3" fillId="527" borderId="459" xfId="0" applyFont="1" applyFill="1" applyBorder="1" applyAlignment="1">
      <alignment vertical="center"/>
    </xf>
    <xf numFmtId="4" fontId="3" fillId="528" borderId="460" xfId="0" applyNumberFormat="1" applyFont="1" applyFill="1" applyBorder="1" applyAlignment="1">
      <alignment vertical="center"/>
    </xf>
    <xf numFmtId="4" fontId="3" fillId="529" borderId="461" xfId="0" applyNumberFormat="1" applyFont="1" applyFill="1" applyBorder="1" applyAlignment="1">
      <alignment vertical="center"/>
    </xf>
    <xf numFmtId="4" fontId="3" fillId="530" borderId="462" xfId="0" applyNumberFormat="1" applyFont="1" applyFill="1" applyBorder="1" applyAlignment="1">
      <alignment vertical="center"/>
    </xf>
    <xf numFmtId="0" fontId="3" fillId="531" borderId="463" xfId="0" applyFont="1" applyFill="1" applyBorder="1" applyAlignment="1">
      <alignment vertical="center"/>
    </xf>
    <xf numFmtId="0" fontId="3" fillId="532" borderId="464" xfId="0" applyFont="1" applyFill="1" applyBorder="1" applyAlignment="1">
      <alignment vertical="center"/>
    </xf>
    <xf numFmtId="0" fontId="3" fillId="534" borderId="465" xfId="0" applyFont="1" applyFill="1" applyBorder="1" applyAlignment="1">
      <alignment vertical="center"/>
    </xf>
    <xf numFmtId="0" fontId="3" fillId="535" borderId="466" xfId="0" applyFont="1" applyFill="1" applyBorder="1" applyAlignment="1">
      <alignment vertical="center"/>
    </xf>
    <xf numFmtId="0" fontId="3" fillId="536" borderId="467" xfId="0" applyFont="1" applyFill="1" applyBorder="1" applyAlignment="1">
      <alignment vertical="center"/>
    </xf>
    <xf numFmtId="4" fontId="3" fillId="537" borderId="468" xfId="0" applyNumberFormat="1" applyFont="1" applyFill="1" applyBorder="1" applyAlignment="1">
      <alignment vertical="center"/>
    </xf>
    <xf numFmtId="4" fontId="3" fillId="538" borderId="469" xfId="0" applyNumberFormat="1" applyFont="1" applyFill="1" applyBorder="1" applyAlignment="1">
      <alignment vertical="center"/>
    </xf>
    <xf numFmtId="4" fontId="3" fillId="539" borderId="470" xfId="0" applyNumberFormat="1" applyFont="1" applyFill="1" applyBorder="1" applyAlignment="1">
      <alignment vertical="center"/>
    </xf>
    <xf numFmtId="0" fontId="3" fillId="540" borderId="471" xfId="0" applyFont="1" applyFill="1" applyBorder="1" applyAlignment="1">
      <alignment vertical="center"/>
    </xf>
    <xf numFmtId="0" fontId="3" fillId="541" borderId="472" xfId="0" applyFont="1" applyFill="1" applyBorder="1" applyAlignment="1">
      <alignment vertical="center"/>
    </xf>
    <xf numFmtId="0" fontId="3" fillId="543" borderId="473" xfId="0" applyFont="1" applyFill="1" applyBorder="1" applyAlignment="1">
      <alignment vertical="center"/>
    </xf>
    <xf numFmtId="0" fontId="3" fillId="544" borderId="474" xfId="0" applyFont="1" applyFill="1" applyBorder="1" applyAlignment="1">
      <alignment vertical="center"/>
    </xf>
    <xf numFmtId="0" fontId="3" fillId="545" borderId="475" xfId="0" applyFont="1" applyFill="1" applyBorder="1" applyAlignment="1">
      <alignment vertical="center"/>
    </xf>
    <xf numFmtId="4" fontId="3" fillId="546" borderId="476" xfId="0" applyNumberFormat="1" applyFont="1" applyFill="1" applyBorder="1" applyAlignment="1">
      <alignment vertical="center"/>
    </xf>
    <xf numFmtId="4" fontId="3" fillId="547" borderId="477" xfId="0" applyNumberFormat="1" applyFont="1" applyFill="1" applyBorder="1" applyAlignment="1">
      <alignment vertical="center"/>
    </xf>
    <xf numFmtId="4" fontId="3" fillId="548" borderId="478" xfId="0" applyNumberFormat="1" applyFont="1" applyFill="1" applyBorder="1" applyAlignment="1">
      <alignment vertical="center"/>
    </xf>
    <xf numFmtId="0" fontId="3" fillId="549" borderId="479" xfId="0" applyFont="1" applyFill="1" applyBorder="1" applyAlignment="1">
      <alignment vertical="center"/>
    </xf>
    <xf numFmtId="0" fontId="3" fillId="550" borderId="480" xfId="0" applyFont="1" applyFill="1" applyBorder="1" applyAlignment="1">
      <alignment vertical="center"/>
    </xf>
    <xf numFmtId="0" fontId="3" fillId="552" borderId="481" xfId="0" applyFont="1" applyFill="1" applyBorder="1" applyAlignment="1">
      <alignment vertical="center"/>
    </xf>
    <xf numFmtId="0" fontId="3" fillId="553" borderId="482" xfId="0" applyFont="1" applyFill="1" applyBorder="1" applyAlignment="1">
      <alignment vertical="center"/>
    </xf>
    <xf numFmtId="0" fontId="3" fillId="554" borderId="483" xfId="0" applyFont="1" applyFill="1" applyBorder="1" applyAlignment="1">
      <alignment vertical="center"/>
    </xf>
    <xf numFmtId="4" fontId="3" fillId="555" borderId="484" xfId="0" applyNumberFormat="1" applyFont="1" applyFill="1" applyBorder="1" applyAlignment="1">
      <alignment vertical="center"/>
    </xf>
    <xf numFmtId="4" fontId="3" fillId="556" borderId="485" xfId="0" applyNumberFormat="1" applyFont="1" applyFill="1" applyBorder="1" applyAlignment="1">
      <alignment vertical="center"/>
    </xf>
    <xf numFmtId="4" fontId="3" fillId="557" borderId="486" xfId="0" applyNumberFormat="1" applyFont="1" applyFill="1" applyBorder="1" applyAlignment="1">
      <alignment vertical="center"/>
    </xf>
    <xf numFmtId="0" fontId="3" fillId="558" borderId="487" xfId="0" applyFont="1" applyFill="1" applyBorder="1" applyAlignment="1">
      <alignment vertical="center"/>
    </xf>
    <xf numFmtId="0" fontId="3" fillId="559" borderId="488" xfId="0" applyFont="1" applyFill="1" applyBorder="1" applyAlignment="1">
      <alignment vertical="center"/>
    </xf>
    <xf numFmtId="0" fontId="3" fillId="561" borderId="489" xfId="0" applyFont="1" applyFill="1" applyBorder="1" applyAlignment="1">
      <alignment vertical="center"/>
    </xf>
    <xf numFmtId="0" fontId="3" fillId="562" borderId="490" xfId="0" applyFont="1" applyFill="1" applyBorder="1" applyAlignment="1">
      <alignment vertical="center"/>
    </xf>
    <xf numFmtId="0" fontId="3" fillId="563" borderId="491" xfId="0" applyFont="1" applyFill="1" applyBorder="1" applyAlignment="1">
      <alignment vertical="center"/>
    </xf>
    <xf numFmtId="4" fontId="3" fillId="564" borderId="492" xfId="0" applyNumberFormat="1" applyFont="1" applyFill="1" applyBorder="1" applyAlignment="1">
      <alignment vertical="center"/>
    </xf>
    <xf numFmtId="4" fontId="3" fillId="565" borderId="493" xfId="0" applyNumberFormat="1" applyFont="1" applyFill="1" applyBorder="1" applyAlignment="1">
      <alignment vertical="center"/>
    </xf>
    <xf numFmtId="4" fontId="3" fillId="566" borderId="494" xfId="0" applyNumberFormat="1" applyFont="1" applyFill="1" applyBorder="1" applyAlignment="1">
      <alignment vertical="center"/>
    </xf>
    <xf numFmtId="0" fontId="3" fillId="567" borderId="495" xfId="0" applyFont="1" applyFill="1" applyBorder="1" applyAlignment="1">
      <alignment vertical="center"/>
    </xf>
    <xf numFmtId="0" fontId="3" fillId="568" borderId="496" xfId="0" applyFont="1" applyFill="1" applyBorder="1" applyAlignment="1">
      <alignment vertical="center"/>
    </xf>
    <xf numFmtId="0" fontId="3" fillId="570" borderId="497" xfId="0" applyFont="1" applyFill="1" applyBorder="1" applyAlignment="1">
      <alignment vertical="center"/>
    </xf>
    <xf numFmtId="0" fontId="3" fillId="571" borderId="498" xfId="0" applyFont="1" applyFill="1" applyBorder="1" applyAlignment="1">
      <alignment vertical="center"/>
    </xf>
    <xf numFmtId="0" fontId="3" fillId="572" borderId="499" xfId="0" applyFont="1" applyFill="1" applyBorder="1" applyAlignment="1">
      <alignment vertical="center"/>
    </xf>
    <xf numFmtId="4" fontId="3" fillId="573" borderId="500" xfId="0" applyNumberFormat="1" applyFont="1" applyFill="1" applyBorder="1" applyAlignment="1">
      <alignment vertical="center"/>
    </xf>
    <xf numFmtId="4" fontId="3" fillId="574" borderId="501" xfId="0" applyNumberFormat="1" applyFont="1" applyFill="1" applyBorder="1" applyAlignment="1">
      <alignment vertical="center"/>
    </xf>
    <xf numFmtId="4" fontId="3" fillId="575" borderId="502" xfId="0" applyNumberFormat="1" applyFont="1" applyFill="1" applyBorder="1" applyAlignment="1">
      <alignment vertical="center"/>
    </xf>
    <xf numFmtId="0" fontId="3" fillId="576" borderId="503" xfId="0" applyFont="1" applyFill="1" applyBorder="1" applyAlignment="1">
      <alignment vertical="center"/>
    </xf>
    <xf numFmtId="0" fontId="3" fillId="577" borderId="504" xfId="0" applyFont="1" applyFill="1" applyBorder="1" applyAlignment="1">
      <alignment vertical="center"/>
    </xf>
    <xf numFmtId="0" fontId="3" fillId="579" borderId="505" xfId="0" applyFont="1" applyFill="1" applyBorder="1" applyAlignment="1">
      <alignment vertical="center"/>
    </xf>
    <xf numFmtId="0" fontId="3" fillId="580" borderId="506" xfId="0" applyFont="1" applyFill="1" applyBorder="1" applyAlignment="1">
      <alignment vertical="center"/>
    </xf>
    <xf numFmtId="0" fontId="3" fillId="581" borderId="507" xfId="0" applyFont="1" applyFill="1" applyBorder="1" applyAlignment="1">
      <alignment vertical="center"/>
    </xf>
    <xf numFmtId="4" fontId="3" fillId="582" borderId="508" xfId="0" applyNumberFormat="1" applyFont="1" applyFill="1" applyBorder="1" applyAlignment="1">
      <alignment vertical="center"/>
    </xf>
    <xf numFmtId="4" fontId="3" fillId="583" borderId="509" xfId="0" applyNumberFormat="1" applyFont="1" applyFill="1" applyBorder="1" applyAlignment="1">
      <alignment vertical="center"/>
    </xf>
    <xf numFmtId="4" fontId="3" fillId="584" borderId="510" xfId="0" applyNumberFormat="1" applyFont="1" applyFill="1" applyBorder="1" applyAlignment="1">
      <alignment vertical="center"/>
    </xf>
    <xf numFmtId="0" fontId="3" fillId="585" borderId="511" xfId="0" applyFont="1" applyFill="1" applyBorder="1" applyAlignment="1">
      <alignment vertical="center"/>
    </xf>
    <xf numFmtId="0" fontId="3" fillId="586" borderId="512" xfId="0" applyFont="1" applyFill="1" applyBorder="1" applyAlignment="1">
      <alignment vertical="center"/>
    </xf>
    <xf numFmtId="0" fontId="3" fillId="588" borderId="513" xfId="0" applyFont="1" applyFill="1" applyBorder="1" applyAlignment="1">
      <alignment vertical="center"/>
    </xf>
    <xf numFmtId="0" fontId="3" fillId="589" borderId="514" xfId="0" applyFont="1" applyFill="1" applyBorder="1" applyAlignment="1">
      <alignment vertical="center"/>
    </xf>
    <xf numFmtId="0" fontId="3" fillId="590" borderId="515" xfId="0" applyFont="1" applyFill="1" applyBorder="1" applyAlignment="1">
      <alignment vertical="center"/>
    </xf>
    <xf numFmtId="4" fontId="3" fillId="591" borderId="516" xfId="0" applyNumberFormat="1" applyFont="1" applyFill="1" applyBorder="1" applyAlignment="1">
      <alignment vertical="center"/>
    </xf>
    <xf numFmtId="4" fontId="3" fillId="592" borderId="517" xfId="0" applyNumberFormat="1" applyFont="1" applyFill="1" applyBorder="1" applyAlignment="1">
      <alignment vertical="center"/>
    </xf>
    <xf numFmtId="4" fontId="3" fillId="593" borderId="518" xfId="0" applyNumberFormat="1" applyFont="1" applyFill="1" applyBorder="1" applyAlignment="1">
      <alignment vertical="center"/>
    </xf>
    <xf numFmtId="0" fontId="3" fillId="594" borderId="519" xfId="0" applyFont="1" applyFill="1" applyBorder="1" applyAlignment="1">
      <alignment vertical="center"/>
    </xf>
    <xf numFmtId="0" fontId="3" fillId="595" borderId="520" xfId="0" applyFont="1" applyFill="1" applyBorder="1" applyAlignment="1">
      <alignment vertical="center"/>
    </xf>
    <xf numFmtId="0" fontId="3" fillId="597" borderId="521" xfId="0" applyFont="1" applyFill="1" applyBorder="1" applyAlignment="1">
      <alignment vertical="center"/>
    </xf>
    <xf numFmtId="0" fontId="3" fillId="598" borderId="522" xfId="0" applyFont="1" applyFill="1" applyBorder="1" applyAlignment="1">
      <alignment vertical="center"/>
    </xf>
    <xf numFmtId="0" fontId="3" fillId="599" borderId="523" xfId="0" applyFont="1" applyFill="1" applyBorder="1" applyAlignment="1">
      <alignment vertical="center"/>
    </xf>
    <xf numFmtId="4" fontId="3" fillId="600" borderId="524" xfId="0" applyNumberFormat="1" applyFont="1" applyFill="1" applyBorder="1" applyAlignment="1">
      <alignment vertical="center"/>
    </xf>
    <xf numFmtId="4" fontId="3" fillId="601" borderId="525" xfId="0" applyNumberFormat="1" applyFont="1" applyFill="1" applyBorder="1" applyAlignment="1">
      <alignment vertical="center"/>
    </xf>
    <xf numFmtId="4" fontId="3" fillId="602" borderId="526" xfId="0" applyNumberFormat="1" applyFont="1" applyFill="1" applyBorder="1" applyAlignment="1">
      <alignment vertical="center"/>
    </xf>
    <xf numFmtId="0" fontId="3" fillId="603" borderId="527" xfId="0" applyFont="1" applyFill="1" applyBorder="1" applyAlignment="1">
      <alignment vertical="center"/>
    </xf>
    <xf numFmtId="0" fontId="3" fillId="604" borderId="528" xfId="0" applyFont="1" applyFill="1" applyBorder="1" applyAlignment="1">
      <alignment vertical="center"/>
    </xf>
    <xf numFmtId="0" fontId="3" fillId="606" borderId="529" xfId="0" applyFont="1" applyFill="1" applyBorder="1" applyAlignment="1">
      <alignment vertical="center"/>
    </xf>
    <xf numFmtId="0" fontId="3" fillId="607" borderId="530" xfId="0" applyFont="1" applyFill="1" applyBorder="1" applyAlignment="1">
      <alignment vertical="center"/>
    </xf>
    <xf numFmtId="0" fontId="3" fillId="608" borderId="531" xfId="0" applyFont="1" applyFill="1" applyBorder="1" applyAlignment="1">
      <alignment vertical="center"/>
    </xf>
    <xf numFmtId="4" fontId="3" fillId="609" borderId="532" xfId="0" applyNumberFormat="1" applyFont="1" applyFill="1" applyBorder="1" applyAlignment="1">
      <alignment vertical="center"/>
    </xf>
    <xf numFmtId="4" fontId="3" fillId="610" borderId="533" xfId="0" applyNumberFormat="1" applyFont="1" applyFill="1" applyBorder="1" applyAlignment="1">
      <alignment vertical="center"/>
    </xf>
    <xf numFmtId="4" fontId="3" fillId="611" borderId="534" xfId="0" applyNumberFormat="1" applyFont="1" applyFill="1" applyBorder="1" applyAlignment="1">
      <alignment vertical="center"/>
    </xf>
    <xf numFmtId="0" fontId="3" fillId="612" borderId="535" xfId="0" applyFont="1" applyFill="1" applyBorder="1" applyAlignment="1">
      <alignment vertical="center"/>
    </xf>
    <xf numFmtId="0" fontId="3" fillId="613" borderId="536" xfId="0" applyFont="1" applyFill="1" applyBorder="1" applyAlignment="1">
      <alignment vertical="center"/>
    </xf>
    <xf numFmtId="0" fontId="3" fillId="615" borderId="537" xfId="0" applyFont="1" applyFill="1" applyBorder="1" applyAlignment="1">
      <alignment vertical="center"/>
    </xf>
    <xf numFmtId="0" fontId="3" fillId="616" borderId="538" xfId="0" applyFont="1" applyFill="1" applyBorder="1" applyAlignment="1">
      <alignment vertical="center"/>
    </xf>
    <xf numFmtId="0" fontId="3" fillId="617" borderId="539" xfId="0" applyFont="1" applyFill="1" applyBorder="1" applyAlignment="1">
      <alignment vertical="center"/>
    </xf>
    <xf numFmtId="4" fontId="3" fillId="618" borderId="540" xfId="0" applyNumberFormat="1" applyFont="1" applyFill="1" applyBorder="1" applyAlignment="1">
      <alignment vertical="center"/>
    </xf>
    <xf numFmtId="4" fontId="3" fillId="619" borderId="541" xfId="0" applyNumberFormat="1" applyFont="1" applyFill="1" applyBorder="1" applyAlignment="1">
      <alignment vertical="center"/>
    </xf>
    <xf numFmtId="4" fontId="3" fillId="620" borderId="542" xfId="0" applyNumberFormat="1" applyFont="1" applyFill="1" applyBorder="1" applyAlignment="1">
      <alignment vertical="center"/>
    </xf>
    <xf numFmtId="0" fontId="3" fillId="621" borderId="543" xfId="0" applyFont="1" applyFill="1" applyBorder="1" applyAlignment="1">
      <alignment vertical="center"/>
    </xf>
    <xf numFmtId="0" fontId="3" fillId="622" borderId="544" xfId="0" applyFont="1" applyFill="1" applyBorder="1" applyAlignment="1">
      <alignment vertical="center"/>
    </xf>
    <xf numFmtId="0" fontId="3" fillId="624" borderId="545" xfId="0" applyFont="1" applyFill="1" applyBorder="1" applyAlignment="1">
      <alignment vertical="center"/>
    </xf>
    <xf numFmtId="0" fontId="3" fillId="625" borderId="546" xfId="0" applyFont="1" applyFill="1" applyBorder="1" applyAlignment="1">
      <alignment vertical="center"/>
    </xf>
    <xf numFmtId="0" fontId="3" fillId="626" borderId="547" xfId="0" applyFont="1" applyFill="1" applyBorder="1" applyAlignment="1">
      <alignment vertical="center"/>
    </xf>
    <xf numFmtId="4" fontId="3" fillId="627" borderId="548" xfId="0" applyNumberFormat="1" applyFont="1" applyFill="1" applyBorder="1" applyAlignment="1">
      <alignment vertical="center"/>
    </xf>
    <xf numFmtId="4" fontId="3" fillId="628" borderId="549" xfId="0" applyNumberFormat="1" applyFont="1" applyFill="1" applyBorder="1" applyAlignment="1">
      <alignment vertical="center"/>
    </xf>
    <xf numFmtId="4" fontId="3" fillId="629" borderId="550" xfId="0" applyNumberFormat="1" applyFont="1" applyFill="1" applyBorder="1" applyAlignment="1">
      <alignment vertical="center"/>
    </xf>
    <xf numFmtId="0" fontId="3" fillId="630" borderId="551" xfId="0" applyFont="1" applyFill="1" applyBorder="1" applyAlignment="1">
      <alignment vertical="center"/>
    </xf>
    <xf numFmtId="0" fontId="3" fillId="631" borderId="552" xfId="0" applyFont="1" applyFill="1" applyBorder="1" applyAlignment="1">
      <alignment vertical="center"/>
    </xf>
    <xf numFmtId="0" fontId="3" fillId="633" borderId="553" xfId="0" applyFont="1" applyFill="1" applyBorder="1" applyAlignment="1">
      <alignment vertical="center"/>
    </xf>
    <xf numFmtId="0" fontId="3" fillId="634" borderId="554" xfId="0" applyFont="1" applyFill="1" applyBorder="1" applyAlignment="1">
      <alignment vertical="center"/>
    </xf>
    <xf numFmtId="0" fontId="3" fillId="635" borderId="555" xfId="0" applyFont="1" applyFill="1" applyBorder="1" applyAlignment="1">
      <alignment vertical="center"/>
    </xf>
    <xf numFmtId="4" fontId="3" fillId="636" borderId="556" xfId="0" applyNumberFormat="1" applyFont="1" applyFill="1" applyBorder="1" applyAlignment="1">
      <alignment vertical="center"/>
    </xf>
    <xf numFmtId="4" fontId="3" fillId="637" borderId="557" xfId="0" applyNumberFormat="1" applyFont="1" applyFill="1" applyBorder="1" applyAlignment="1">
      <alignment vertical="center"/>
    </xf>
    <xf numFmtId="4" fontId="3" fillId="638" borderId="558" xfId="0" applyNumberFormat="1" applyFont="1" applyFill="1" applyBorder="1" applyAlignment="1">
      <alignment vertical="center"/>
    </xf>
    <xf numFmtId="0" fontId="3" fillId="639" borderId="559" xfId="0" applyFont="1" applyFill="1" applyBorder="1" applyAlignment="1">
      <alignment vertical="center"/>
    </xf>
    <xf numFmtId="0" fontId="3" fillId="640" borderId="560" xfId="0" applyFont="1" applyFill="1" applyBorder="1" applyAlignment="1">
      <alignment vertical="center"/>
    </xf>
    <xf numFmtId="0" fontId="3" fillId="642" borderId="561" xfId="0" applyFont="1" applyFill="1" applyBorder="1" applyAlignment="1">
      <alignment vertical="center"/>
    </xf>
    <xf numFmtId="0" fontId="3" fillId="643" borderId="562" xfId="0" applyFont="1" applyFill="1" applyBorder="1" applyAlignment="1">
      <alignment vertical="center"/>
    </xf>
    <xf numFmtId="0" fontId="3" fillId="644" borderId="563" xfId="0" applyFont="1" applyFill="1" applyBorder="1" applyAlignment="1">
      <alignment vertical="center"/>
    </xf>
    <xf numFmtId="4" fontId="3" fillId="645" borderId="564" xfId="0" applyNumberFormat="1" applyFont="1" applyFill="1" applyBorder="1" applyAlignment="1">
      <alignment vertical="center"/>
    </xf>
    <xf numFmtId="4" fontId="3" fillId="646" borderId="565" xfId="0" applyNumberFormat="1" applyFont="1" applyFill="1" applyBorder="1" applyAlignment="1">
      <alignment vertical="center"/>
    </xf>
    <xf numFmtId="4" fontId="3" fillId="647" borderId="566" xfId="0" applyNumberFormat="1" applyFont="1" applyFill="1" applyBorder="1" applyAlignment="1">
      <alignment vertical="center"/>
    </xf>
    <xf numFmtId="0" fontId="3" fillId="648" borderId="567" xfId="0" applyFont="1" applyFill="1" applyBorder="1" applyAlignment="1">
      <alignment vertical="center"/>
    </xf>
    <xf numFmtId="0" fontId="3" fillId="649" borderId="568" xfId="0" applyFont="1" applyFill="1" applyBorder="1" applyAlignment="1">
      <alignment vertical="center"/>
    </xf>
    <xf numFmtId="0" fontId="3" fillId="651" borderId="569" xfId="0" applyFont="1" applyFill="1" applyBorder="1" applyAlignment="1">
      <alignment vertical="center"/>
    </xf>
    <xf numFmtId="0" fontId="3" fillId="652" borderId="570" xfId="0" applyFont="1" applyFill="1" applyBorder="1" applyAlignment="1">
      <alignment vertical="center"/>
    </xf>
    <xf numFmtId="0" fontId="3" fillId="653" borderId="571" xfId="0" applyFont="1" applyFill="1" applyBorder="1" applyAlignment="1">
      <alignment vertical="center"/>
    </xf>
    <xf numFmtId="4" fontId="3" fillId="654" borderId="572" xfId="0" applyNumberFormat="1" applyFont="1" applyFill="1" applyBorder="1" applyAlignment="1">
      <alignment vertical="center"/>
    </xf>
    <xf numFmtId="4" fontId="3" fillId="655" borderId="573" xfId="0" applyNumberFormat="1" applyFont="1" applyFill="1" applyBorder="1" applyAlignment="1">
      <alignment vertical="center"/>
    </xf>
    <xf numFmtId="4" fontId="3" fillId="656" borderId="574" xfId="0" applyNumberFormat="1" applyFont="1" applyFill="1" applyBorder="1" applyAlignment="1">
      <alignment vertical="center"/>
    </xf>
    <xf numFmtId="0" fontId="3" fillId="657" borderId="575" xfId="0" applyFont="1" applyFill="1" applyBorder="1" applyAlignment="1">
      <alignment vertical="center"/>
    </xf>
    <xf numFmtId="0" fontId="3" fillId="658" borderId="576" xfId="0" applyFont="1" applyFill="1" applyBorder="1" applyAlignment="1">
      <alignment vertical="center"/>
    </xf>
    <xf numFmtId="0" fontId="3" fillId="660" borderId="577" xfId="0" applyFont="1" applyFill="1" applyBorder="1" applyAlignment="1">
      <alignment vertical="center"/>
    </xf>
    <xf numFmtId="0" fontId="3" fillId="661" borderId="578" xfId="0" applyFont="1" applyFill="1" applyBorder="1" applyAlignment="1">
      <alignment vertical="center"/>
    </xf>
    <xf numFmtId="0" fontId="3" fillId="662" borderId="579" xfId="0" applyFont="1" applyFill="1" applyBorder="1" applyAlignment="1">
      <alignment vertical="center"/>
    </xf>
    <xf numFmtId="4" fontId="3" fillId="663" borderId="580" xfId="0" applyNumberFormat="1" applyFont="1" applyFill="1" applyBorder="1" applyAlignment="1">
      <alignment vertical="center"/>
    </xf>
    <xf numFmtId="4" fontId="3" fillId="664" borderId="581" xfId="0" applyNumberFormat="1" applyFont="1" applyFill="1" applyBorder="1" applyAlignment="1">
      <alignment vertical="center"/>
    </xf>
    <xf numFmtId="4" fontId="3" fillId="665" borderId="582" xfId="0" applyNumberFormat="1" applyFont="1" applyFill="1" applyBorder="1" applyAlignment="1">
      <alignment vertical="center"/>
    </xf>
    <xf numFmtId="0" fontId="3" fillId="666" borderId="583" xfId="0" applyFont="1" applyFill="1" applyBorder="1" applyAlignment="1">
      <alignment vertical="center"/>
    </xf>
    <xf numFmtId="0" fontId="3" fillId="667" borderId="584" xfId="0" applyFont="1" applyFill="1" applyBorder="1" applyAlignment="1">
      <alignment vertical="center"/>
    </xf>
    <xf numFmtId="0" fontId="3" fillId="669" borderId="585" xfId="0" applyFont="1" applyFill="1" applyBorder="1" applyAlignment="1">
      <alignment vertical="center"/>
    </xf>
    <xf numFmtId="0" fontId="3" fillId="670" borderId="586" xfId="0" applyFont="1" applyFill="1" applyBorder="1" applyAlignment="1">
      <alignment vertical="center"/>
    </xf>
    <xf numFmtId="0" fontId="3" fillId="671" borderId="587" xfId="0" applyFont="1" applyFill="1" applyBorder="1" applyAlignment="1">
      <alignment vertical="center"/>
    </xf>
    <xf numFmtId="4" fontId="3" fillId="672" borderId="588" xfId="0" applyNumberFormat="1" applyFont="1" applyFill="1" applyBorder="1" applyAlignment="1">
      <alignment vertical="center"/>
    </xf>
    <xf numFmtId="4" fontId="3" fillId="673" borderId="589" xfId="0" applyNumberFormat="1" applyFont="1" applyFill="1" applyBorder="1" applyAlignment="1">
      <alignment vertical="center"/>
    </xf>
    <xf numFmtId="4" fontId="3" fillId="674" borderId="590" xfId="0" applyNumberFormat="1" applyFont="1" applyFill="1" applyBorder="1" applyAlignment="1">
      <alignment vertical="center"/>
    </xf>
    <xf numFmtId="0" fontId="3" fillId="675" borderId="591" xfId="0" applyFont="1" applyFill="1" applyBorder="1" applyAlignment="1">
      <alignment vertical="center"/>
    </xf>
    <xf numFmtId="0" fontId="3" fillId="676" borderId="592" xfId="0" applyFont="1" applyFill="1" applyBorder="1" applyAlignment="1">
      <alignment vertical="center"/>
    </xf>
    <xf numFmtId="0" fontId="3" fillId="678" borderId="593" xfId="0" applyFont="1" applyFill="1" applyBorder="1" applyAlignment="1">
      <alignment vertical="center"/>
    </xf>
    <xf numFmtId="0" fontId="3" fillId="679" borderId="594" xfId="0" applyFont="1" applyFill="1" applyBorder="1" applyAlignment="1">
      <alignment vertical="center"/>
    </xf>
    <xf numFmtId="0" fontId="3" fillId="680" borderId="595" xfId="0" applyFont="1" applyFill="1" applyBorder="1" applyAlignment="1">
      <alignment vertical="center"/>
    </xf>
    <xf numFmtId="4" fontId="3" fillId="681" borderId="596" xfId="0" applyNumberFormat="1" applyFont="1" applyFill="1" applyBorder="1" applyAlignment="1">
      <alignment vertical="center"/>
    </xf>
    <xf numFmtId="4" fontId="3" fillId="682" borderId="597" xfId="0" applyNumberFormat="1" applyFont="1" applyFill="1" applyBorder="1" applyAlignment="1">
      <alignment vertical="center"/>
    </xf>
    <xf numFmtId="4" fontId="3" fillId="683" borderId="598" xfId="0" applyNumberFormat="1" applyFont="1" applyFill="1" applyBorder="1" applyAlignment="1">
      <alignment vertical="center"/>
    </xf>
    <xf numFmtId="0" fontId="3" fillId="684" borderId="599" xfId="0" applyFont="1" applyFill="1" applyBorder="1" applyAlignment="1">
      <alignment vertical="center"/>
    </xf>
    <xf numFmtId="0" fontId="3" fillId="685" borderId="600" xfId="0" applyFont="1" applyFill="1" applyBorder="1" applyAlignment="1">
      <alignment vertical="center"/>
    </xf>
    <xf numFmtId="0" fontId="3" fillId="687" borderId="601" xfId="0" applyFont="1" applyFill="1" applyBorder="1" applyAlignment="1">
      <alignment vertical="center"/>
    </xf>
    <xf numFmtId="0" fontId="3" fillId="688" borderId="602" xfId="0" applyFont="1" applyFill="1" applyBorder="1" applyAlignment="1">
      <alignment vertical="center"/>
    </xf>
    <xf numFmtId="0" fontId="3" fillId="689" borderId="603" xfId="0" applyFont="1" applyFill="1" applyBorder="1" applyAlignment="1">
      <alignment vertical="center"/>
    </xf>
    <xf numFmtId="4" fontId="3" fillId="690" borderId="604" xfId="0" applyNumberFormat="1" applyFont="1" applyFill="1" applyBorder="1" applyAlignment="1">
      <alignment vertical="center"/>
    </xf>
    <xf numFmtId="4" fontId="3" fillId="691" borderId="605" xfId="0" applyNumberFormat="1" applyFont="1" applyFill="1" applyBorder="1" applyAlignment="1">
      <alignment vertical="center"/>
    </xf>
    <xf numFmtId="4" fontId="3" fillId="692" borderId="606" xfId="0" applyNumberFormat="1" applyFont="1" applyFill="1" applyBorder="1" applyAlignment="1">
      <alignment vertical="center"/>
    </xf>
    <xf numFmtId="0" fontId="3" fillId="693" borderId="607" xfId="0" applyFont="1" applyFill="1" applyBorder="1" applyAlignment="1">
      <alignment vertical="center"/>
    </xf>
    <xf numFmtId="0" fontId="3" fillId="694" borderId="608" xfId="0" applyFont="1" applyFill="1" applyBorder="1" applyAlignment="1">
      <alignment vertical="center"/>
    </xf>
    <xf numFmtId="0" fontId="3" fillId="696" borderId="609" xfId="0" applyFont="1" applyFill="1" applyBorder="1" applyAlignment="1">
      <alignment vertical="center"/>
    </xf>
    <xf numFmtId="0" fontId="3" fillId="697" borderId="610" xfId="0" applyFont="1" applyFill="1" applyBorder="1" applyAlignment="1">
      <alignment vertical="center"/>
    </xf>
    <xf numFmtId="0" fontId="3" fillId="698" borderId="611" xfId="0" applyFont="1" applyFill="1" applyBorder="1" applyAlignment="1">
      <alignment vertical="center"/>
    </xf>
    <xf numFmtId="4" fontId="3" fillId="699" borderId="612" xfId="0" applyNumberFormat="1" applyFont="1" applyFill="1" applyBorder="1" applyAlignment="1">
      <alignment vertical="center"/>
    </xf>
    <xf numFmtId="4" fontId="3" fillId="700" borderId="613" xfId="0" applyNumberFormat="1" applyFont="1" applyFill="1" applyBorder="1" applyAlignment="1">
      <alignment vertical="center"/>
    </xf>
    <xf numFmtId="4" fontId="3" fillId="701" borderId="614" xfId="0" applyNumberFormat="1" applyFont="1" applyFill="1" applyBorder="1" applyAlignment="1">
      <alignment vertical="center"/>
    </xf>
    <xf numFmtId="0" fontId="3" fillId="702" borderId="615" xfId="0" applyFont="1" applyFill="1" applyBorder="1" applyAlignment="1">
      <alignment vertical="center"/>
    </xf>
    <xf numFmtId="0" fontId="3" fillId="703" borderId="616" xfId="0" applyFont="1" applyFill="1" applyBorder="1" applyAlignment="1">
      <alignment vertical="center"/>
    </xf>
    <xf numFmtId="0" fontId="3" fillId="705" borderId="617" xfId="0" applyFont="1" applyFill="1" applyBorder="1" applyAlignment="1">
      <alignment vertical="center"/>
    </xf>
    <xf numFmtId="0" fontId="3" fillId="706" borderId="618" xfId="0" applyFont="1" applyFill="1" applyBorder="1" applyAlignment="1">
      <alignment vertical="center"/>
    </xf>
    <xf numFmtId="0" fontId="3" fillId="707" borderId="619" xfId="0" applyFont="1" applyFill="1" applyBorder="1" applyAlignment="1">
      <alignment vertical="center"/>
    </xf>
    <xf numFmtId="4" fontId="3" fillId="708" borderId="620" xfId="0" applyNumberFormat="1" applyFont="1" applyFill="1" applyBorder="1" applyAlignment="1">
      <alignment vertical="center"/>
    </xf>
    <xf numFmtId="4" fontId="3" fillId="709" borderId="621" xfId="0" applyNumberFormat="1" applyFont="1" applyFill="1" applyBorder="1" applyAlignment="1">
      <alignment vertical="center"/>
    </xf>
    <xf numFmtId="4" fontId="3" fillId="710" borderId="622" xfId="0" applyNumberFormat="1" applyFont="1" applyFill="1" applyBorder="1" applyAlignment="1">
      <alignment vertical="center"/>
    </xf>
    <xf numFmtId="0" fontId="3" fillId="711" borderId="623" xfId="0" applyFont="1" applyFill="1" applyBorder="1" applyAlignment="1">
      <alignment vertical="center"/>
    </xf>
    <xf numFmtId="0" fontId="3" fillId="712" borderId="624" xfId="0" applyFont="1" applyFill="1" applyBorder="1" applyAlignment="1">
      <alignment vertical="center"/>
    </xf>
    <xf numFmtId="0" fontId="3" fillId="714" borderId="625" xfId="0" applyFont="1" applyFill="1" applyBorder="1" applyAlignment="1">
      <alignment vertical="center"/>
    </xf>
    <xf numFmtId="0" fontId="3" fillId="715" borderId="626" xfId="0" applyFont="1" applyFill="1" applyBorder="1" applyAlignment="1">
      <alignment vertical="center"/>
    </xf>
    <xf numFmtId="0" fontId="3" fillId="716" borderId="627" xfId="0" applyFont="1" applyFill="1" applyBorder="1" applyAlignment="1">
      <alignment vertical="center"/>
    </xf>
    <xf numFmtId="4" fontId="3" fillId="717" borderId="628" xfId="0" applyNumberFormat="1" applyFont="1" applyFill="1" applyBorder="1" applyAlignment="1">
      <alignment vertical="center"/>
    </xf>
    <xf numFmtId="4" fontId="3" fillId="718" borderId="629" xfId="0" applyNumberFormat="1" applyFont="1" applyFill="1" applyBorder="1" applyAlignment="1">
      <alignment vertical="center"/>
    </xf>
    <xf numFmtId="4" fontId="3" fillId="719" borderId="630" xfId="0" applyNumberFormat="1" applyFont="1" applyFill="1" applyBorder="1" applyAlignment="1">
      <alignment vertical="center"/>
    </xf>
    <xf numFmtId="0" fontId="3" fillId="720" borderId="631" xfId="0" applyFont="1" applyFill="1" applyBorder="1" applyAlignment="1">
      <alignment vertical="center"/>
    </xf>
    <xf numFmtId="0" fontId="3" fillId="721" borderId="632" xfId="0" applyFont="1" applyFill="1" applyBorder="1" applyAlignment="1">
      <alignment vertical="center"/>
    </xf>
    <xf numFmtId="0" fontId="3" fillId="723" borderId="633" xfId="0" applyFont="1" applyFill="1" applyBorder="1" applyAlignment="1">
      <alignment vertical="center"/>
    </xf>
    <xf numFmtId="0" fontId="3" fillId="724" borderId="634" xfId="0" applyFont="1" applyFill="1" applyBorder="1" applyAlignment="1">
      <alignment vertical="center"/>
    </xf>
    <xf numFmtId="0" fontId="3" fillId="725" borderId="635" xfId="0" applyFont="1" applyFill="1" applyBorder="1" applyAlignment="1">
      <alignment vertical="center"/>
    </xf>
    <xf numFmtId="4" fontId="3" fillId="726" borderId="636" xfId="0" applyNumberFormat="1" applyFont="1" applyFill="1" applyBorder="1" applyAlignment="1">
      <alignment vertical="center"/>
    </xf>
    <xf numFmtId="4" fontId="3" fillId="727" borderId="637" xfId="0" applyNumberFormat="1" applyFont="1" applyFill="1" applyBorder="1" applyAlignment="1">
      <alignment vertical="center"/>
    </xf>
    <xf numFmtId="4" fontId="3" fillId="728" borderId="638" xfId="0" applyNumberFormat="1" applyFont="1" applyFill="1" applyBorder="1" applyAlignment="1">
      <alignment vertical="center"/>
    </xf>
    <xf numFmtId="0" fontId="3" fillId="729" borderId="639" xfId="0" applyFont="1" applyFill="1" applyBorder="1" applyAlignment="1">
      <alignment vertical="center"/>
    </xf>
    <xf numFmtId="0" fontId="3" fillId="730" borderId="640" xfId="0" applyFont="1" applyFill="1" applyBorder="1" applyAlignment="1">
      <alignment vertical="center"/>
    </xf>
    <xf numFmtId="0" fontId="3" fillId="732" borderId="641" xfId="0" applyFont="1" applyFill="1" applyBorder="1" applyAlignment="1">
      <alignment vertical="center"/>
    </xf>
    <xf numFmtId="0" fontId="3" fillId="733" borderId="642" xfId="0" applyFont="1" applyFill="1" applyBorder="1" applyAlignment="1">
      <alignment vertical="center"/>
    </xf>
    <xf numFmtId="0" fontId="3" fillId="734" borderId="643" xfId="0" applyFont="1" applyFill="1" applyBorder="1" applyAlignment="1">
      <alignment vertical="center"/>
    </xf>
    <xf numFmtId="4" fontId="3" fillId="735" borderId="644" xfId="0" applyNumberFormat="1" applyFont="1" applyFill="1" applyBorder="1" applyAlignment="1">
      <alignment vertical="center"/>
    </xf>
    <xf numFmtId="4" fontId="3" fillId="736" borderId="645" xfId="0" applyNumberFormat="1" applyFont="1" applyFill="1" applyBorder="1" applyAlignment="1">
      <alignment vertical="center"/>
    </xf>
    <xf numFmtId="4" fontId="3" fillId="737" borderId="646" xfId="0" applyNumberFormat="1" applyFont="1" applyFill="1" applyBorder="1" applyAlignment="1">
      <alignment vertical="center"/>
    </xf>
    <xf numFmtId="0" fontId="3" fillId="738" borderId="647" xfId="0" applyFont="1" applyFill="1" applyBorder="1" applyAlignment="1">
      <alignment vertical="center"/>
    </xf>
    <xf numFmtId="0" fontId="3" fillId="739" borderId="648" xfId="0" applyFont="1" applyFill="1" applyBorder="1" applyAlignment="1">
      <alignment vertical="center"/>
    </xf>
    <xf numFmtId="0" fontId="3" fillId="741" borderId="649" xfId="0" applyFont="1" applyFill="1" applyBorder="1" applyAlignment="1">
      <alignment vertical="center"/>
    </xf>
    <xf numFmtId="0" fontId="3" fillId="742" borderId="650" xfId="0" applyFont="1" applyFill="1" applyBorder="1" applyAlignment="1">
      <alignment vertical="center"/>
    </xf>
    <xf numFmtId="0" fontId="3" fillId="743" borderId="651" xfId="0" applyFont="1" applyFill="1" applyBorder="1" applyAlignment="1">
      <alignment vertical="center"/>
    </xf>
    <xf numFmtId="4" fontId="3" fillId="744" borderId="652" xfId="0" applyNumberFormat="1" applyFont="1" applyFill="1" applyBorder="1" applyAlignment="1">
      <alignment vertical="center"/>
    </xf>
    <xf numFmtId="4" fontId="3" fillId="745" borderId="653" xfId="0" applyNumberFormat="1" applyFont="1" applyFill="1" applyBorder="1" applyAlignment="1">
      <alignment vertical="center"/>
    </xf>
    <xf numFmtId="4" fontId="3" fillId="746" borderId="654" xfId="0" applyNumberFormat="1" applyFont="1" applyFill="1" applyBorder="1" applyAlignment="1">
      <alignment vertical="center"/>
    </xf>
    <xf numFmtId="0" fontId="3" fillId="747" borderId="655" xfId="0" applyFont="1" applyFill="1" applyBorder="1" applyAlignment="1">
      <alignment vertical="center"/>
    </xf>
    <xf numFmtId="0" fontId="3" fillId="748" borderId="656" xfId="0" applyFont="1" applyFill="1" applyBorder="1" applyAlignment="1">
      <alignment vertical="center"/>
    </xf>
    <xf numFmtId="0" fontId="3" fillId="750" borderId="657" xfId="0" applyFont="1" applyFill="1" applyBorder="1" applyAlignment="1">
      <alignment vertical="center"/>
    </xf>
    <xf numFmtId="0" fontId="3" fillId="751" borderId="658" xfId="0" applyFont="1" applyFill="1" applyBorder="1" applyAlignment="1">
      <alignment vertical="center"/>
    </xf>
    <xf numFmtId="0" fontId="3" fillId="752" borderId="659" xfId="0" applyFont="1" applyFill="1" applyBorder="1" applyAlignment="1">
      <alignment vertical="center"/>
    </xf>
    <xf numFmtId="4" fontId="3" fillId="753" borderId="660" xfId="0" applyNumberFormat="1" applyFont="1" applyFill="1" applyBorder="1" applyAlignment="1">
      <alignment vertical="center"/>
    </xf>
    <xf numFmtId="4" fontId="3" fillId="754" borderId="661" xfId="0" applyNumberFormat="1" applyFont="1" applyFill="1" applyBorder="1" applyAlignment="1">
      <alignment vertical="center"/>
    </xf>
    <xf numFmtId="4" fontId="3" fillId="755" borderId="662" xfId="0" applyNumberFormat="1" applyFont="1" applyFill="1" applyBorder="1" applyAlignment="1">
      <alignment vertical="center"/>
    </xf>
    <xf numFmtId="0" fontId="3" fillId="756" borderId="663" xfId="0" applyFont="1" applyFill="1" applyBorder="1" applyAlignment="1">
      <alignment vertical="center"/>
    </xf>
    <xf numFmtId="0" fontId="3" fillId="757" borderId="664" xfId="0" applyFont="1" applyFill="1" applyBorder="1" applyAlignment="1">
      <alignment vertical="center"/>
    </xf>
    <xf numFmtId="0" fontId="3" fillId="759" borderId="665" xfId="0" applyFont="1" applyFill="1" applyBorder="1" applyAlignment="1">
      <alignment vertical="center"/>
    </xf>
    <xf numFmtId="0" fontId="3" fillId="760" borderId="666" xfId="0" applyFont="1" applyFill="1" applyBorder="1" applyAlignment="1">
      <alignment vertical="center"/>
    </xf>
    <xf numFmtId="0" fontId="3" fillId="761" borderId="667" xfId="0" applyFont="1" applyFill="1" applyBorder="1" applyAlignment="1">
      <alignment vertical="center"/>
    </xf>
    <xf numFmtId="4" fontId="3" fillId="762" borderId="668" xfId="0" applyNumberFormat="1" applyFont="1" applyFill="1" applyBorder="1" applyAlignment="1">
      <alignment vertical="center"/>
    </xf>
    <xf numFmtId="4" fontId="3" fillId="763" borderId="669" xfId="0" applyNumberFormat="1" applyFont="1" applyFill="1" applyBorder="1" applyAlignment="1">
      <alignment vertical="center"/>
    </xf>
    <xf numFmtId="4" fontId="3" fillId="764" borderId="670" xfId="0" applyNumberFormat="1" applyFont="1" applyFill="1" applyBorder="1" applyAlignment="1">
      <alignment vertical="center"/>
    </xf>
    <xf numFmtId="0" fontId="3" fillId="765" borderId="671" xfId="0" applyFont="1" applyFill="1" applyBorder="1" applyAlignment="1">
      <alignment vertical="center"/>
    </xf>
    <xf numFmtId="0" fontId="3" fillId="766" borderId="672" xfId="0" applyFont="1" applyFill="1" applyBorder="1" applyAlignment="1">
      <alignment vertical="center"/>
    </xf>
    <xf numFmtId="0" fontId="3" fillId="768" borderId="673" xfId="0" applyFont="1" applyFill="1" applyBorder="1" applyAlignment="1">
      <alignment vertical="center"/>
    </xf>
    <xf numFmtId="0" fontId="3" fillId="769" borderId="674" xfId="0" applyFont="1" applyFill="1" applyBorder="1" applyAlignment="1">
      <alignment vertical="center"/>
    </xf>
    <xf numFmtId="0" fontId="3" fillId="770" borderId="675" xfId="0" applyFont="1" applyFill="1" applyBorder="1" applyAlignment="1">
      <alignment vertical="center"/>
    </xf>
    <xf numFmtId="4" fontId="3" fillId="771" borderId="676" xfId="0" applyNumberFormat="1" applyFont="1" applyFill="1" applyBorder="1" applyAlignment="1">
      <alignment vertical="center"/>
    </xf>
    <xf numFmtId="4" fontId="3" fillId="772" borderId="677" xfId="0" applyNumberFormat="1" applyFont="1" applyFill="1" applyBorder="1" applyAlignment="1">
      <alignment vertical="center"/>
    </xf>
    <xf numFmtId="4" fontId="3" fillId="773" borderId="678" xfId="0" applyNumberFormat="1" applyFont="1" applyFill="1" applyBorder="1" applyAlignment="1">
      <alignment vertical="center"/>
    </xf>
    <xf numFmtId="0" fontId="3" fillId="774" borderId="679" xfId="0" applyFont="1" applyFill="1" applyBorder="1" applyAlignment="1">
      <alignment vertical="center"/>
    </xf>
    <xf numFmtId="0" fontId="3" fillId="775" borderId="680" xfId="0" applyFont="1" applyFill="1" applyBorder="1" applyAlignment="1">
      <alignment vertical="center"/>
    </xf>
    <xf numFmtId="0" fontId="3" fillId="777" borderId="681" xfId="0" applyFont="1" applyFill="1" applyBorder="1" applyAlignment="1">
      <alignment vertical="center"/>
    </xf>
    <xf numFmtId="0" fontId="3" fillId="778" borderId="682" xfId="0" applyFont="1" applyFill="1" applyBorder="1" applyAlignment="1">
      <alignment vertical="center"/>
    </xf>
    <xf numFmtId="0" fontId="3" fillId="779" borderId="683" xfId="0" applyFont="1" applyFill="1" applyBorder="1" applyAlignment="1">
      <alignment vertical="center"/>
    </xf>
    <xf numFmtId="4" fontId="3" fillId="780" borderId="684" xfId="0" applyNumberFormat="1" applyFont="1" applyFill="1" applyBorder="1" applyAlignment="1">
      <alignment vertical="center"/>
    </xf>
    <xf numFmtId="4" fontId="3" fillId="781" borderId="685" xfId="0" applyNumberFormat="1" applyFont="1" applyFill="1" applyBorder="1" applyAlignment="1">
      <alignment vertical="center"/>
    </xf>
    <xf numFmtId="4" fontId="3" fillId="782" borderId="686" xfId="0" applyNumberFormat="1" applyFont="1" applyFill="1" applyBorder="1" applyAlignment="1">
      <alignment vertical="center"/>
    </xf>
    <xf numFmtId="0" fontId="3" fillId="783" borderId="687" xfId="0" applyFont="1" applyFill="1" applyBorder="1" applyAlignment="1">
      <alignment vertical="center"/>
    </xf>
    <xf numFmtId="0" fontId="3" fillId="784" borderId="688" xfId="0" applyFont="1" applyFill="1" applyBorder="1" applyAlignment="1">
      <alignment vertical="center"/>
    </xf>
    <xf numFmtId="0" fontId="3" fillId="786" borderId="689" xfId="0" applyFont="1" applyFill="1" applyBorder="1" applyAlignment="1">
      <alignment vertical="center"/>
    </xf>
    <xf numFmtId="0" fontId="3" fillId="787" borderId="690" xfId="0" applyFont="1" applyFill="1" applyBorder="1" applyAlignment="1">
      <alignment vertical="center"/>
    </xf>
    <xf numFmtId="0" fontId="3" fillId="788" borderId="691" xfId="0" applyFont="1" applyFill="1" applyBorder="1" applyAlignment="1">
      <alignment vertical="center"/>
    </xf>
    <xf numFmtId="4" fontId="3" fillId="789" borderId="692" xfId="0" applyNumberFormat="1" applyFont="1" applyFill="1" applyBorder="1" applyAlignment="1">
      <alignment vertical="center"/>
    </xf>
    <xf numFmtId="4" fontId="3" fillId="790" borderId="693" xfId="0" applyNumberFormat="1" applyFont="1" applyFill="1" applyBorder="1" applyAlignment="1">
      <alignment vertical="center"/>
    </xf>
    <xf numFmtId="4" fontId="3" fillId="791" borderId="694" xfId="0" applyNumberFormat="1" applyFont="1" applyFill="1" applyBorder="1" applyAlignment="1">
      <alignment vertical="center"/>
    </xf>
    <xf numFmtId="0" fontId="3" fillId="792" borderId="695" xfId="0" applyFont="1" applyFill="1" applyBorder="1" applyAlignment="1">
      <alignment vertical="center"/>
    </xf>
    <xf numFmtId="0" fontId="3" fillId="793" borderId="696" xfId="0" applyFont="1" applyFill="1" applyBorder="1" applyAlignment="1">
      <alignment vertical="center"/>
    </xf>
    <xf numFmtId="0" fontId="3" fillId="795" borderId="697" xfId="0" applyFont="1" applyFill="1" applyBorder="1" applyAlignment="1">
      <alignment vertical="center"/>
    </xf>
    <xf numFmtId="0" fontId="3" fillId="796" borderId="698" xfId="0" applyFont="1" applyFill="1" applyBorder="1" applyAlignment="1">
      <alignment vertical="center"/>
    </xf>
    <xf numFmtId="0" fontId="3" fillId="797" borderId="699" xfId="0" applyFont="1" applyFill="1" applyBorder="1" applyAlignment="1">
      <alignment vertical="center"/>
    </xf>
    <xf numFmtId="4" fontId="3" fillId="798" borderId="700" xfId="0" applyNumberFormat="1" applyFont="1" applyFill="1" applyBorder="1" applyAlignment="1">
      <alignment vertical="center"/>
    </xf>
    <xf numFmtId="4" fontId="3" fillId="799" borderId="701" xfId="0" applyNumberFormat="1" applyFont="1" applyFill="1" applyBorder="1" applyAlignment="1">
      <alignment vertical="center"/>
    </xf>
    <xf numFmtId="4" fontId="3" fillId="800" borderId="702" xfId="0" applyNumberFormat="1" applyFont="1" applyFill="1" applyBorder="1" applyAlignment="1">
      <alignment vertical="center"/>
    </xf>
    <xf numFmtId="0" fontId="3" fillId="801" borderId="703" xfId="0" applyFont="1" applyFill="1" applyBorder="1" applyAlignment="1">
      <alignment vertical="center"/>
    </xf>
    <xf numFmtId="0" fontId="3" fillId="802" borderId="704" xfId="0" applyFont="1" applyFill="1" applyBorder="1" applyAlignment="1">
      <alignment vertical="center"/>
    </xf>
    <xf numFmtId="0" fontId="3" fillId="804" borderId="705" xfId="0" applyFont="1" applyFill="1" applyBorder="1" applyAlignment="1">
      <alignment vertical="center"/>
    </xf>
    <xf numFmtId="0" fontId="3" fillId="805" borderId="706" xfId="0" applyFont="1" applyFill="1" applyBorder="1" applyAlignment="1">
      <alignment vertical="center"/>
    </xf>
    <xf numFmtId="0" fontId="3" fillId="806" borderId="707" xfId="0" applyFont="1" applyFill="1" applyBorder="1" applyAlignment="1">
      <alignment vertical="center"/>
    </xf>
    <xf numFmtId="4" fontId="3" fillId="807" borderId="708" xfId="0" applyNumberFormat="1" applyFont="1" applyFill="1" applyBorder="1" applyAlignment="1">
      <alignment vertical="center"/>
    </xf>
    <xf numFmtId="4" fontId="3" fillId="808" borderId="709" xfId="0" applyNumberFormat="1" applyFont="1" applyFill="1" applyBorder="1" applyAlignment="1">
      <alignment vertical="center"/>
    </xf>
    <xf numFmtId="4" fontId="3" fillId="809" borderId="710" xfId="0" applyNumberFormat="1" applyFont="1" applyFill="1" applyBorder="1" applyAlignment="1">
      <alignment vertical="center"/>
    </xf>
    <xf numFmtId="0" fontId="3" fillId="810" borderId="711" xfId="0" applyFont="1" applyFill="1" applyBorder="1" applyAlignment="1">
      <alignment vertical="center"/>
    </xf>
    <xf numFmtId="0" fontId="3" fillId="811" borderId="712" xfId="0" applyFont="1" applyFill="1" applyBorder="1" applyAlignment="1">
      <alignment vertical="center"/>
    </xf>
    <xf numFmtId="0" fontId="3" fillId="813" borderId="713" xfId="0" applyFont="1" applyFill="1" applyBorder="1" applyAlignment="1">
      <alignment vertical="center"/>
    </xf>
    <xf numFmtId="0" fontId="3" fillId="814" borderId="714" xfId="0" applyFont="1" applyFill="1" applyBorder="1" applyAlignment="1">
      <alignment vertical="center"/>
    </xf>
    <xf numFmtId="0" fontId="3" fillId="815" borderId="715" xfId="0" applyFont="1" applyFill="1" applyBorder="1" applyAlignment="1">
      <alignment vertical="center"/>
    </xf>
    <xf numFmtId="4" fontId="3" fillId="816" borderId="716" xfId="0" applyNumberFormat="1" applyFont="1" applyFill="1" applyBorder="1" applyAlignment="1">
      <alignment vertical="center"/>
    </xf>
    <xf numFmtId="4" fontId="3" fillId="817" borderId="717" xfId="0" applyNumberFormat="1" applyFont="1" applyFill="1" applyBorder="1" applyAlignment="1">
      <alignment vertical="center"/>
    </xf>
    <xf numFmtId="4" fontId="3" fillId="818" borderId="718" xfId="0" applyNumberFormat="1" applyFont="1" applyFill="1" applyBorder="1" applyAlignment="1">
      <alignment vertical="center"/>
    </xf>
    <xf numFmtId="0" fontId="3" fillId="819" borderId="719" xfId="0" applyFont="1" applyFill="1" applyBorder="1" applyAlignment="1">
      <alignment vertical="center"/>
    </xf>
    <xf numFmtId="0" fontId="3" fillId="820" borderId="720" xfId="0" applyFont="1" applyFill="1" applyBorder="1" applyAlignment="1">
      <alignment vertical="center"/>
    </xf>
    <xf numFmtId="0" fontId="3" fillId="822" borderId="721" xfId="0" applyFont="1" applyFill="1" applyBorder="1" applyAlignment="1">
      <alignment vertical="center"/>
    </xf>
    <xf numFmtId="0" fontId="3" fillId="823" borderId="722" xfId="0" applyFont="1" applyFill="1" applyBorder="1" applyAlignment="1">
      <alignment vertical="center"/>
    </xf>
    <xf numFmtId="0" fontId="3" fillId="824" borderId="723" xfId="0" applyFont="1" applyFill="1" applyBorder="1" applyAlignment="1">
      <alignment vertical="center"/>
    </xf>
    <xf numFmtId="4" fontId="3" fillId="825" borderId="724" xfId="0" applyNumberFormat="1" applyFont="1" applyFill="1" applyBorder="1" applyAlignment="1">
      <alignment vertical="center"/>
    </xf>
    <xf numFmtId="4" fontId="3" fillId="826" borderId="725" xfId="0" applyNumberFormat="1" applyFont="1" applyFill="1" applyBorder="1" applyAlignment="1">
      <alignment vertical="center"/>
    </xf>
    <xf numFmtId="4" fontId="3" fillId="827" borderId="726" xfId="0" applyNumberFormat="1" applyFont="1" applyFill="1" applyBorder="1" applyAlignment="1">
      <alignment vertical="center"/>
    </xf>
    <xf numFmtId="0" fontId="3" fillId="828" borderId="727" xfId="0" applyFont="1" applyFill="1" applyBorder="1" applyAlignment="1">
      <alignment vertical="center"/>
    </xf>
    <xf numFmtId="0" fontId="3" fillId="829" borderId="728" xfId="0" applyFont="1" applyFill="1" applyBorder="1" applyAlignment="1">
      <alignment vertical="center"/>
    </xf>
    <xf numFmtId="0" fontId="3" fillId="831" borderId="729" xfId="0" applyFont="1" applyFill="1" applyBorder="1" applyAlignment="1">
      <alignment vertical="center"/>
    </xf>
    <xf numFmtId="0" fontId="3" fillId="832" borderId="730" xfId="0" applyFont="1" applyFill="1" applyBorder="1" applyAlignment="1">
      <alignment vertical="center"/>
    </xf>
    <xf numFmtId="0" fontId="3" fillId="833" borderId="731" xfId="0" applyFont="1" applyFill="1" applyBorder="1" applyAlignment="1">
      <alignment vertical="center"/>
    </xf>
    <xf numFmtId="4" fontId="3" fillId="834" borderId="732" xfId="0" applyNumberFormat="1" applyFont="1" applyFill="1" applyBorder="1" applyAlignment="1">
      <alignment vertical="center"/>
    </xf>
    <xf numFmtId="4" fontId="3" fillId="835" borderId="733" xfId="0" applyNumberFormat="1" applyFont="1" applyFill="1" applyBorder="1" applyAlignment="1">
      <alignment vertical="center"/>
    </xf>
    <xf numFmtId="4" fontId="3" fillId="836" borderId="734" xfId="0" applyNumberFormat="1" applyFont="1" applyFill="1" applyBorder="1" applyAlignment="1">
      <alignment vertical="center"/>
    </xf>
    <xf numFmtId="0" fontId="3" fillId="837" borderId="735" xfId="0" applyFont="1" applyFill="1" applyBorder="1" applyAlignment="1">
      <alignment vertical="center"/>
    </xf>
    <xf numFmtId="0" fontId="3" fillId="838" borderId="736" xfId="0" applyFont="1" applyFill="1" applyBorder="1" applyAlignment="1">
      <alignment vertical="center"/>
    </xf>
    <xf numFmtId="0" fontId="3" fillId="840" borderId="737" xfId="0" applyFont="1" applyFill="1" applyBorder="1" applyAlignment="1">
      <alignment vertical="center"/>
    </xf>
    <xf numFmtId="0" fontId="3" fillId="841" borderId="738" xfId="0" applyFont="1" applyFill="1" applyBorder="1" applyAlignment="1">
      <alignment vertical="center"/>
    </xf>
    <xf numFmtId="0" fontId="3" fillId="842" borderId="739" xfId="0" applyFont="1" applyFill="1" applyBorder="1" applyAlignment="1">
      <alignment vertical="center"/>
    </xf>
    <xf numFmtId="4" fontId="3" fillId="843" borderId="740" xfId="0" applyNumberFormat="1" applyFont="1" applyFill="1" applyBorder="1" applyAlignment="1">
      <alignment vertical="center"/>
    </xf>
    <xf numFmtId="4" fontId="3" fillId="844" borderId="741" xfId="0" applyNumberFormat="1" applyFont="1" applyFill="1" applyBorder="1" applyAlignment="1">
      <alignment vertical="center"/>
    </xf>
    <xf numFmtId="4" fontId="3" fillId="845" borderId="742" xfId="0" applyNumberFormat="1" applyFont="1" applyFill="1" applyBorder="1" applyAlignment="1">
      <alignment vertical="center"/>
    </xf>
    <xf numFmtId="0" fontId="3" fillId="846" borderId="743" xfId="0" applyFont="1" applyFill="1" applyBorder="1" applyAlignment="1">
      <alignment vertical="center"/>
    </xf>
    <xf numFmtId="0" fontId="3" fillId="847" borderId="744" xfId="0" applyFont="1" applyFill="1" applyBorder="1" applyAlignment="1">
      <alignment vertical="center"/>
    </xf>
    <xf numFmtId="0" fontId="3" fillId="849" borderId="745" xfId="0" applyFont="1" applyFill="1" applyBorder="1" applyAlignment="1">
      <alignment vertical="center"/>
    </xf>
    <xf numFmtId="0" fontId="3" fillId="850" borderId="746" xfId="0" applyFont="1" applyFill="1" applyBorder="1" applyAlignment="1">
      <alignment vertical="center"/>
    </xf>
    <xf numFmtId="0" fontId="3" fillId="851" borderId="747" xfId="0" applyFont="1" applyFill="1" applyBorder="1" applyAlignment="1">
      <alignment vertical="center"/>
    </xf>
    <xf numFmtId="4" fontId="3" fillId="852" borderId="748" xfId="0" applyNumberFormat="1" applyFont="1" applyFill="1" applyBorder="1" applyAlignment="1">
      <alignment vertical="center"/>
    </xf>
    <xf numFmtId="4" fontId="3" fillId="853" borderId="749" xfId="0" applyNumberFormat="1" applyFont="1" applyFill="1" applyBorder="1" applyAlignment="1">
      <alignment vertical="center"/>
    </xf>
    <xf numFmtId="4" fontId="3" fillId="854" borderId="750" xfId="0" applyNumberFormat="1" applyFont="1" applyFill="1" applyBorder="1" applyAlignment="1">
      <alignment vertical="center"/>
    </xf>
    <xf numFmtId="0" fontId="3" fillId="855" borderId="751" xfId="0" applyFont="1" applyFill="1" applyBorder="1" applyAlignment="1">
      <alignment vertical="center"/>
    </xf>
    <xf numFmtId="0" fontId="3" fillId="856" borderId="752" xfId="0" applyFont="1" applyFill="1" applyBorder="1" applyAlignment="1">
      <alignment vertical="center"/>
    </xf>
    <xf numFmtId="0" fontId="3" fillId="858" borderId="753" xfId="0" applyFont="1" applyFill="1" applyBorder="1" applyAlignment="1">
      <alignment vertical="center"/>
    </xf>
    <xf numFmtId="0" fontId="3" fillId="859" borderId="754" xfId="0" applyFont="1" applyFill="1" applyBorder="1" applyAlignment="1">
      <alignment vertical="center"/>
    </xf>
    <xf numFmtId="0" fontId="3" fillId="860" borderId="755" xfId="0" applyFont="1" applyFill="1" applyBorder="1" applyAlignment="1">
      <alignment vertical="center"/>
    </xf>
    <xf numFmtId="4" fontId="3" fillId="861" borderId="756" xfId="0" applyNumberFormat="1" applyFont="1" applyFill="1" applyBorder="1" applyAlignment="1">
      <alignment vertical="center"/>
    </xf>
    <xf numFmtId="4" fontId="3" fillId="862" borderId="757" xfId="0" applyNumberFormat="1" applyFont="1" applyFill="1" applyBorder="1" applyAlignment="1">
      <alignment vertical="center"/>
    </xf>
    <xf numFmtId="4" fontId="3" fillId="863" borderId="758" xfId="0" applyNumberFormat="1" applyFont="1" applyFill="1" applyBorder="1" applyAlignment="1">
      <alignment vertical="center"/>
    </xf>
    <xf numFmtId="0" fontId="3" fillId="864" borderId="759" xfId="0" applyFont="1" applyFill="1" applyBorder="1" applyAlignment="1">
      <alignment vertical="center"/>
    </xf>
    <xf numFmtId="0" fontId="3" fillId="865" borderId="760" xfId="0" applyFont="1" applyFill="1" applyBorder="1" applyAlignment="1">
      <alignment vertical="center"/>
    </xf>
    <xf numFmtId="0" fontId="3" fillId="867" borderId="761" xfId="0" applyFont="1" applyFill="1" applyBorder="1" applyAlignment="1">
      <alignment vertical="center"/>
    </xf>
    <xf numFmtId="0" fontId="3" fillId="868" borderId="762" xfId="0" applyFont="1" applyFill="1" applyBorder="1" applyAlignment="1">
      <alignment vertical="center"/>
    </xf>
    <xf numFmtId="0" fontId="3" fillId="869" borderId="763" xfId="0" applyFont="1" applyFill="1" applyBorder="1" applyAlignment="1">
      <alignment vertical="center"/>
    </xf>
    <xf numFmtId="4" fontId="3" fillId="870" borderId="764" xfId="0" applyNumberFormat="1" applyFont="1" applyFill="1" applyBorder="1" applyAlignment="1">
      <alignment vertical="center"/>
    </xf>
    <xf numFmtId="4" fontId="3" fillId="871" borderId="765" xfId="0" applyNumberFormat="1" applyFont="1" applyFill="1" applyBorder="1" applyAlignment="1">
      <alignment vertical="center"/>
    </xf>
    <xf numFmtId="4" fontId="3" fillId="872" borderId="766" xfId="0" applyNumberFormat="1" applyFont="1" applyFill="1" applyBorder="1" applyAlignment="1">
      <alignment vertical="center"/>
    </xf>
    <xf numFmtId="0" fontId="3" fillId="873" borderId="767" xfId="0" applyFont="1" applyFill="1" applyBorder="1" applyAlignment="1">
      <alignment vertical="center"/>
    </xf>
    <xf numFmtId="0" fontId="3" fillId="874" borderId="768" xfId="0" applyFont="1" applyFill="1" applyBorder="1" applyAlignment="1">
      <alignment vertical="center"/>
    </xf>
    <xf numFmtId="0" fontId="3" fillId="876" borderId="769" xfId="0" applyFont="1" applyFill="1" applyBorder="1" applyAlignment="1">
      <alignment vertical="center"/>
    </xf>
    <xf numFmtId="0" fontId="3" fillId="877" borderId="770" xfId="0" applyFont="1" applyFill="1" applyBorder="1" applyAlignment="1">
      <alignment vertical="center"/>
    </xf>
    <xf numFmtId="0" fontId="3" fillId="878" borderId="771" xfId="0" applyFont="1" applyFill="1" applyBorder="1" applyAlignment="1">
      <alignment vertical="center"/>
    </xf>
    <xf numFmtId="4" fontId="3" fillId="879" borderId="772" xfId="0" applyNumberFormat="1" applyFont="1" applyFill="1" applyBorder="1" applyAlignment="1">
      <alignment vertical="center"/>
    </xf>
    <xf numFmtId="4" fontId="3" fillId="880" borderId="773" xfId="0" applyNumberFormat="1" applyFont="1" applyFill="1" applyBorder="1" applyAlignment="1">
      <alignment vertical="center"/>
    </xf>
    <xf numFmtId="4" fontId="3" fillId="881" borderId="774" xfId="0" applyNumberFormat="1" applyFont="1" applyFill="1" applyBorder="1" applyAlignment="1">
      <alignment vertical="center"/>
    </xf>
    <xf numFmtId="0" fontId="3" fillId="882" borderId="775" xfId="0" applyFont="1" applyFill="1" applyBorder="1" applyAlignment="1">
      <alignment vertical="center"/>
    </xf>
    <xf numFmtId="0" fontId="3" fillId="883" borderId="776" xfId="0" applyFont="1" applyFill="1" applyBorder="1" applyAlignment="1">
      <alignment vertical="center"/>
    </xf>
    <xf numFmtId="0" fontId="3" fillId="885" borderId="777" xfId="0" applyFont="1" applyFill="1" applyBorder="1" applyAlignment="1">
      <alignment vertical="center"/>
    </xf>
    <xf numFmtId="0" fontId="3" fillId="886" borderId="778" xfId="0" applyFont="1" applyFill="1" applyBorder="1" applyAlignment="1">
      <alignment vertical="center"/>
    </xf>
    <xf numFmtId="0" fontId="3" fillId="887" borderId="779" xfId="0" applyFont="1" applyFill="1" applyBorder="1" applyAlignment="1">
      <alignment vertical="center"/>
    </xf>
    <xf numFmtId="4" fontId="3" fillId="888" borderId="780" xfId="0" applyNumberFormat="1" applyFont="1" applyFill="1" applyBorder="1" applyAlignment="1">
      <alignment vertical="center"/>
    </xf>
    <xf numFmtId="4" fontId="3" fillId="889" borderId="781" xfId="0" applyNumberFormat="1" applyFont="1" applyFill="1" applyBorder="1" applyAlignment="1">
      <alignment vertical="center"/>
    </xf>
    <xf numFmtId="4" fontId="3" fillId="890" borderId="782" xfId="0" applyNumberFormat="1" applyFont="1" applyFill="1" applyBorder="1" applyAlignment="1">
      <alignment vertical="center"/>
    </xf>
    <xf numFmtId="0" fontId="3" fillId="891" borderId="783" xfId="0" applyFont="1" applyFill="1" applyBorder="1" applyAlignment="1">
      <alignment vertical="center"/>
    </xf>
    <xf numFmtId="0" fontId="3" fillId="892" borderId="784" xfId="0" applyFont="1" applyFill="1" applyBorder="1" applyAlignment="1">
      <alignment vertical="center"/>
    </xf>
    <xf numFmtId="0" fontId="3" fillId="894" borderId="785" xfId="0" applyFont="1" applyFill="1" applyBorder="1" applyAlignment="1">
      <alignment vertical="center"/>
    </xf>
    <xf numFmtId="0" fontId="3" fillId="895" borderId="786" xfId="0" applyFont="1" applyFill="1" applyBorder="1" applyAlignment="1">
      <alignment vertical="center"/>
    </xf>
    <xf numFmtId="0" fontId="3" fillId="896" borderId="787" xfId="0" applyFont="1" applyFill="1" applyBorder="1" applyAlignment="1">
      <alignment vertical="center"/>
    </xf>
    <xf numFmtId="4" fontId="3" fillId="897" borderId="788" xfId="0" applyNumberFormat="1" applyFont="1" applyFill="1" applyBorder="1" applyAlignment="1">
      <alignment vertical="center"/>
    </xf>
    <xf numFmtId="4" fontId="3" fillId="898" borderId="789" xfId="0" applyNumberFormat="1" applyFont="1" applyFill="1" applyBorder="1" applyAlignment="1">
      <alignment vertical="center"/>
    </xf>
    <xf numFmtId="4" fontId="3" fillId="899" borderId="790" xfId="0" applyNumberFormat="1" applyFont="1" applyFill="1" applyBorder="1" applyAlignment="1">
      <alignment vertical="center"/>
    </xf>
    <xf numFmtId="0" fontId="3" fillId="900" borderId="791" xfId="0" applyFont="1" applyFill="1" applyBorder="1" applyAlignment="1">
      <alignment vertical="center"/>
    </xf>
    <xf numFmtId="0" fontId="3" fillId="901" borderId="792" xfId="0" applyFont="1" applyFill="1" applyBorder="1" applyAlignment="1">
      <alignment vertical="center"/>
    </xf>
    <xf numFmtId="0" fontId="3" fillId="903" borderId="793" xfId="0" applyFont="1" applyFill="1" applyBorder="1" applyAlignment="1">
      <alignment vertical="center"/>
    </xf>
    <xf numFmtId="0" fontId="3" fillId="904" borderId="794" xfId="0" applyFont="1" applyFill="1" applyBorder="1" applyAlignment="1">
      <alignment vertical="center"/>
    </xf>
    <xf numFmtId="0" fontId="3" fillId="905" borderId="795" xfId="0" applyFont="1" applyFill="1" applyBorder="1" applyAlignment="1">
      <alignment vertical="center"/>
    </xf>
    <xf numFmtId="4" fontId="3" fillId="906" borderId="796" xfId="0" applyNumberFormat="1" applyFont="1" applyFill="1" applyBorder="1" applyAlignment="1">
      <alignment vertical="center"/>
    </xf>
    <xf numFmtId="4" fontId="3" fillId="907" borderId="797" xfId="0" applyNumberFormat="1" applyFont="1" applyFill="1" applyBorder="1" applyAlignment="1">
      <alignment vertical="center"/>
    </xf>
    <xf numFmtId="4" fontId="3" fillId="908" borderId="798" xfId="0" applyNumberFormat="1" applyFont="1" applyFill="1" applyBorder="1" applyAlignment="1">
      <alignment vertical="center"/>
    </xf>
    <xf numFmtId="0" fontId="3" fillId="909" borderId="799" xfId="0" applyFont="1" applyFill="1" applyBorder="1" applyAlignment="1">
      <alignment vertical="center"/>
    </xf>
    <xf numFmtId="0" fontId="3" fillId="910" borderId="800" xfId="0" applyFont="1" applyFill="1" applyBorder="1" applyAlignment="1">
      <alignment vertical="center"/>
    </xf>
    <xf numFmtId="0" fontId="3" fillId="912" borderId="801" xfId="0" applyFont="1" applyFill="1" applyBorder="1" applyAlignment="1">
      <alignment vertical="center"/>
    </xf>
    <xf numFmtId="0" fontId="3" fillId="913" borderId="802" xfId="0" applyFont="1" applyFill="1" applyBorder="1" applyAlignment="1">
      <alignment vertical="center"/>
    </xf>
    <xf numFmtId="0" fontId="3" fillId="914" borderId="803" xfId="0" applyFont="1" applyFill="1" applyBorder="1" applyAlignment="1">
      <alignment vertical="center"/>
    </xf>
    <xf numFmtId="4" fontId="3" fillId="915" borderId="804" xfId="0" applyNumberFormat="1" applyFont="1" applyFill="1" applyBorder="1" applyAlignment="1">
      <alignment vertical="center"/>
    </xf>
    <xf numFmtId="4" fontId="3" fillId="916" borderId="805" xfId="0" applyNumberFormat="1" applyFont="1" applyFill="1" applyBorder="1" applyAlignment="1">
      <alignment vertical="center"/>
    </xf>
    <xf numFmtId="4" fontId="3" fillId="917" borderId="806" xfId="0" applyNumberFormat="1" applyFont="1" applyFill="1" applyBorder="1" applyAlignment="1">
      <alignment vertical="center"/>
    </xf>
    <xf numFmtId="0" fontId="3" fillId="918" borderId="807" xfId="0" applyFont="1" applyFill="1" applyBorder="1" applyAlignment="1">
      <alignment vertical="center"/>
    </xf>
    <xf numFmtId="0" fontId="3" fillId="919" borderId="808" xfId="0" applyFont="1" applyFill="1" applyBorder="1" applyAlignment="1">
      <alignment vertical="center"/>
    </xf>
    <xf numFmtId="0" fontId="3" fillId="921" borderId="809" xfId="0" applyFont="1" applyFill="1" applyBorder="1" applyAlignment="1">
      <alignment vertical="center"/>
    </xf>
    <xf numFmtId="0" fontId="3" fillId="922" borderId="810" xfId="0" applyFont="1" applyFill="1" applyBorder="1" applyAlignment="1">
      <alignment vertical="center"/>
    </xf>
    <xf numFmtId="0" fontId="3" fillId="923" borderId="811" xfId="0" applyFont="1" applyFill="1" applyBorder="1" applyAlignment="1">
      <alignment vertical="center"/>
    </xf>
    <xf numFmtId="4" fontId="3" fillId="924" borderId="812" xfId="0" applyNumberFormat="1" applyFont="1" applyFill="1" applyBorder="1" applyAlignment="1">
      <alignment vertical="center"/>
    </xf>
    <xf numFmtId="4" fontId="3" fillId="925" borderId="813" xfId="0" applyNumberFormat="1" applyFont="1" applyFill="1" applyBorder="1" applyAlignment="1">
      <alignment vertical="center"/>
    </xf>
    <xf numFmtId="4" fontId="3" fillId="926" borderId="814" xfId="0" applyNumberFormat="1" applyFont="1" applyFill="1" applyBorder="1" applyAlignment="1">
      <alignment vertical="center"/>
    </xf>
    <xf numFmtId="0" fontId="3" fillId="927" borderId="815" xfId="0" applyFont="1" applyFill="1" applyBorder="1" applyAlignment="1">
      <alignment vertical="center"/>
    </xf>
    <xf numFmtId="0" fontId="3" fillId="928" borderId="816" xfId="0" applyFont="1" applyFill="1" applyBorder="1" applyAlignment="1">
      <alignment vertical="center"/>
    </xf>
    <xf numFmtId="0" fontId="3" fillId="930" borderId="817" xfId="0" applyFont="1" applyFill="1" applyBorder="1" applyAlignment="1">
      <alignment vertical="center"/>
    </xf>
    <xf numFmtId="0" fontId="3" fillId="931" borderId="818" xfId="0" applyFont="1" applyFill="1" applyBorder="1" applyAlignment="1">
      <alignment vertical="center"/>
    </xf>
    <xf numFmtId="0" fontId="3" fillId="932" borderId="819" xfId="0" applyFont="1" applyFill="1" applyBorder="1" applyAlignment="1">
      <alignment vertical="center"/>
    </xf>
    <xf numFmtId="4" fontId="3" fillId="933" borderId="820" xfId="0" applyNumberFormat="1" applyFont="1" applyFill="1" applyBorder="1" applyAlignment="1">
      <alignment vertical="center"/>
    </xf>
    <xf numFmtId="4" fontId="3" fillId="934" borderId="821" xfId="0" applyNumberFormat="1" applyFont="1" applyFill="1" applyBorder="1" applyAlignment="1">
      <alignment vertical="center"/>
    </xf>
    <xf numFmtId="4" fontId="3" fillId="935" borderId="822" xfId="0" applyNumberFormat="1" applyFont="1" applyFill="1" applyBorder="1" applyAlignment="1">
      <alignment vertical="center"/>
    </xf>
    <xf numFmtId="0" fontId="3" fillId="936" borderId="823" xfId="0" applyFont="1" applyFill="1" applyBorder="1" applyAlignment="1">
      <alignment vertical="center"/>
    </xf>
    <xf numFmtId="0" fontId="3" fillId="937" borderId="824" xfId="0" applyFont="1" applyFill="1" applyBorder="1" applyAlignment="1">
      <alignment vertical="center"/>
    </xf>
    <xf numFmtId="0" fontId="3" fillId="939" borderId="825" xfId="0" applyFont="1" applyFill="1" applyBorder="1" applyAlignment="1">
      <alignment vertical="center"/>
    </xf>
    <xf numFmtId="0" fontId="3" fillId="940" borderId="826" xfId="0" applyFont="1" applyFill="1" applyBorder="1" applyAlignment="1">
      <alignment vertical="center"/>
    </xf>
    <xf numFmtId="0" fontId="3" fillId="941" borderId="827" xfId="0" applyFont="1" applyFill="1" applyBorder="1" applyAlignment="1">
      <alignment vertical="center"/>
    </xf>
    <xf numFmtId="4" fontId="3" fillId="942" borderId="828" xfId="0" applyNumberFormat="1" applyFont="1" applyFill="1" applyBorder="1" applyAlignment="1">
      <alignment vertical="center"/>
    </xf>
    <xf numFmtId="4" fontId="3" fillId="943" borderId="829" xfId="0" applyNumberFormat="1" applyFont="1" applyFill="1" applyBorder="1" applyAlignment="1">
      <alignment vertical="center"/>
    </xf>
    <xf numFmtId="4" fontId="3" fillId="944" borderId="830" xfId="0" applyNumberFormat="1" applyFont="1" applyFill="1" applyBorder="1" applyAlignment="1">
      <alignment vertical="center"/>
    </xf>
    <xf numFmtId="0" fontId="3" fillId="945" borderId="831" xfId="0" applyFont="1" applyFill="1" applyBorder="1" applyAlignment="1">
      <alignment vertical="center"/>
    </xf>
    <xf numFmtId="0" fontId="3" fillId="946" borderId="832" xfId="0" applyFont="1" applyFill="1" applyBorder="1" applyAlignment="1">
      <alignment vertical="center"/>
    </xf>
    <xf numFmtId="0" fontId="3" fillId="948" borderId="833" xfId="0" applyFont="1" applyFill="1" applyBorder="1" applyAlignment="1">
      <alignment vertical="center"/>
    </xf>
    <xf numFmtId="0" fontId="3" fillId="949" borderId="834" xfId="0" applyFont="1" applyFill="1" applyBorder="1" applyAlignment="1">
      <alignment vertical="center"/>
    </xf>
    <xf numFmtId="0" fontId="3" fillId="950" borderId="835" xfId="0" applyFont="1" applyFill="1" applyBorder="1" applyAlignment="1">
      <alignment vertical="center"/>
    </xf>
    <xf numFmtId="4" fontId="3" fillId="951" borderId="836" xfId="0" applyNumberFormat="1" applyFont="1" applyFill="1" applyBorder="1" applyAlignment="1">
      <alignment vertical="center"/>
    </xf>
    <xf numFmtId="4" fontId="3" fillId="952" borderId="837" xfId="0" applyNumberFormat="1" applyFont="1" applyFill="1" applyBorder="1" applyAlignment="1">
      <alignment vertical="center"/>
    </xf>
    <xf numFmtId="4" fontId="3" fillId="953" borderId="838" xfId="0" applyNumberFormat="1" applyFont="1" applyFill="1" applyBorder="1" applyAlignment="1">
      <alignment vertical="center"/>
    </xf>
    <xf numFmtId="0" fontId="3" fillId="954" borderId="839" xfId="0" applyFont="1" applyFill="1" applyBorder="1" applyAlignment="1">
      <alignment vertical="center"/>
    </xf>
    <xf numFmtId="0" fontId="3" fillId="955" borderId="840" xfId="0" applyFont="1" applyFill="1" applyBorder="1" applyAlignment="1">
      <alignment vertical="center"/>
    </xf>
    <xf numFmtId="0" fontId="3" fillId="957" borderId="841" xfId="0" applyFont="1" applyFill="1" applyBorder="1" applyAlignment="1">
      <alignment vertical="center"/>
    </xf>
    <xf numFmtId="0" fontId="3" fillId="958" borderId="842" xfId="0" applyFont="1" applyFill="1" applyBorder="1" applyAlignment="1">
      <alignment vertical="center"/>
    </xf>
    <xf numFmtId="0" fontId="3" fillId="959" borderId="843" xfId="0" applyFont="1" applyFill="1" applyBorder="1" applyAlignment="1">
      <alignment vertical="center"/>
    </xf>
    <xf numFmtId="4" fontId="3" fillId="960" borderId="844" xfId="0" applyNumberFormat="1" applyFont="1" applyFill="1" applyBorder="1" applyAlignment="1">
      <alignment vertical="center"/>
    </xf>
    <xf numFmtId="4" fontId="3" fillId="961" borderId="845" xfId="0" applyNumberFormat="1" applyFont="1" applyFill="1" applyBorder="1" applyAlignment="1">
      <alignment vertical="center"/>
    </xf>
    <xf numFmtId="4" fontId="3" fillId="962" borderId="846" xfId="0" applyNumberFormat="1" applyFont="1" applyFill="1" applyBorder="1" applyAlignment="1">
      <alignment vertical="center"/>
    </xf>
    <xf numFmtId="0" fontId="3" fillId="963" borderId="847" xfId="0" applyFont="1" applyFill="1" applyBorder="1" applyAlignment="1">
      <alignment vertical="center"/>
    </xf>
    <xf numFmtId="0" fontId="3" fillId="964" borderId="848" xfId="0" applyFont="1" applyFill="1" applyBorder="1" applyAlignment="1">
      <alignment vertical="center"/>
    </xf>
    <xf numFmtId="0" fontId="3" fillId="966" borderId="849" xfId="0" applyFont="1" applyFill="1" applyBorder="1" applyAlignment="1">
      <alignment vertical="center"/>
    </xf>
    <xf numFmtId="0" fontId="3" fillId="967" borderId="850" xfId="0" applyFont="1" applyFill="1" applyBorder="1" applyAlignment="1">
      <alignment vertical="center"/>
    </xf>
    <xf numFmtId="0" fontId="3" fillId="968" borderId="851" xfId="0" applyFont="1" applyFill="1" applyBorder="1" applyAlignment="1">
      <alignment vertical="center"/>
    </xf>
    <xf numFmtId="4" fontId="3" fillId="969" borderId="852" xfId="0" applyNumberFormat="1" applyFont="1" applyFill="1" applyBorder="1" applyAlignment="1">
      <alignment vertical="center"/>
    </xf>
    <xf numFmtId="4" fontId="3" fillId="970" borderId="853" xfId="0" applyNumberFormat="1" applyFont="1" applyFill="1" applyBorder="1" applyAlignment="1">
      <alignment vertical="center"/>
    </xf>
    <xf numFmtId="4" fontId="3" fillId="971" borderId="854" xfId="0" applyNumberFormat="1" applyFont="1" applyFill="1" applyBorder="1" applyAlignment="1">
      <alignment vertical="center"/>
    </xf>
    <xf numFmtId="0" fontId="3" fillId="972" borderId="855" xfId="0" applyFont="1" applyFill="1" applyBorder="1" applyAlignment="1">
      <alignment vertical="center"/>
    </xf>
    <xf numFmtId="0" fontId="3" fillId="973" borderId="856" xfId="0" applyFont="1" applyFill="1" applyBorder="1" applyAlignment="1">
      <alignment vertical="center"/>
    </xf>
    <xf numFmtId="0" fontId="3" fillId="975" borderId="857" xfId="0" applyFont="1" applyFill="1" applyBorder="1" applyAlignment="1">
      <alignment vertical="center"/>
    </xf>
    <xf numFmtId="0" fontId="3" fillId="976" borderId="858" xfId="0" applyFont="1" applyFill="1" applyBorder="1" applyAlignment="1">
      <alignment vertical="center"/>
    </xf>
    <xf numFmtId="0" fontId="3" fillId="977" borderId="859" xfId="0" applyFont="1" applyFill="1" applyBorder="1" applyAlignment="1">
      <alignment vertical="center"/>
    </xf>
    <xf numFmtId="4" fontId="3" fillId="978" borderId="860" xfId="0" applyNumberFormat="1" applyFont="1" applyFill="1" applyBorder="1" applyAlignment="1">
      <alignment vertical="center"/>
    </xf>
    <xf numFmtId="4" fontId="3" fillId="979" borderId="861" xfId="0" applyNumberFormat="1" applyFont="1" applyFill="1" applyBorder="1" applyAlignment="1">
      <alignment vertical="center"/>
    </xf>
    <xf numFmtId="4" fontId="3" fillId="980" borderId="862" xfId="0" applyNumberFormat="1" applyFont="1" applyFill="1" applyBorder="1" applyAlignment="1">
      <alignment vertical="center"/>
    </xf>
    <xf numFmtId="0" fontId="3" fillId="981" borderId="863" xfId="0" applyFont="1" applyFill="1" applyBorder="1" applyAlignment="1">
      <alignment vertical="center"/>
    </xf>
    <xf numFmtId="0" fontId="3" fillId="982" borderId="864" xfId="0" applyFont="1" applyFill="1" applyBorder="1" applyAlignment="1">
      <alignment vertical="center"/>
    </xf>
    <xf numFmtId="0" fontId="3" fillId="984" borderId="865" xfId="0" applyFont="1" applyFill="1" applyBorder="1" applyAlignment="1">
      <alignment vertical="center"/>
    </xf>
    <xf numFmtId="0" fontId="3" fillId="985" borderId="866" xfId="0" applyFont="1" applyFill="1" applyBorder="1" applyAlignment="1">
      <alignment vertical="center"/>
    </xf>
    <xf numFmtId="0" fontId="3" fillId="986" borderId="867" xfId="0" applyFont="1" applyFill="1" applyBorder="1" applyAlignment="1">
      <alignment vertical="center"/>
    </xf>
    <xf numFmtId="4" fontId="3" fillId="987" borderId="868" xfId="0" applyNumberFormat="1" applyFont="1" applyFill="1" applyBorder="1" applyAlignment="1">
      <alignment vertical="center"/>
    </xf>
    <xf numFmtId="4" fontId="3" fillId="988" borderId="869" xfId="0" applyNumberFormat="1" applyFont="1" applyFill="1" applyBorder="1" applyAlignment="1">
      <alignment vertical="center"/>
    </xf>
    <xf numFmtId="4" fontId="3" fillId="989" borderId="870" xfId="0" applyNumberFormat="1" applyFont="1" applyFill="1" applyBorder="1" applyAlignment="1">
      <alignment vertical="center"/>
    </xf>
    <xf numFmtId="0" fontId="3" fillId="990" borderId="871" xfId="0" applyFont="1" applyFill="1" applyBorder="1" applyAlignment="1">
      <alignment vertical="center"/>
    </xf>
    <xf numFmtId="0" fontId="3" fillId="991" borderId="872" xfId="0" applyFont="1" applyFill="1" applyBorder="1" applyAlignment="1">
      <alignment vertical="center"/>
    </xf>
    <xf numFmtId="0" fontId="3" fillId="993" borderId="873" xfId="0" applyFont="1" applyFill="1" applyBorder="1" applyAlignment="1">
      <alignment vertical="center"/>
    </xf>
    <xf numFmtId="0" fontId="3" fillId="994" borderId="874" xfId="0" applyFont="1" applyFill="1" applyBorder="1" applyAlignment="1">
      <alignment vertical="center"/>
    </xf>
    <xf numFmtId="0" fontId="3" fillId="995" borderId="875" xfId="0" applyFont="1" applyFill="1" applyBorder="1" applyAlignment="1">
      <alignment vertical="center"/>
    </xf>
    <xf numFmtId="4" fontId="3" fillId="996" borderId="876" xfId="0" applyNumberFormat="1" applyFont="1" applyFill="1" applyBorder="1" applyAlignment="1">
      <alignment vertical="center"/>
    </xf>
    <xf numFmtId="4" fontId="3" fillId="997" borderId="877" xfId="0" applyNumberFormat="1" applyFont="1" applyFill="1" applyBorder="1" applyAlignment="1">
      <alignment vertical="center"/>
    </xf>
    <xf numFmtId="4" fontId="3" fillId="998" borderId="878" xfId="0" applyNumberFormat="1" applyFont="1" applyFill="1" applyBorder="1" applyAlignment="1">
      <alignment vertical="center"/>
    </xf>
    <xf numFmtId="0" fontId="3" fillId="999" borderId="879" xfId="0" applyFont="1" applyFill="1" applyBorder="1" applyAlignment="1">
      <alignment vertical="center"/>
    </xf>
    <xf numFmtId="0" fontId="3" fillId="1000" borderId="880" xfId="0" applyFont="1" applyFill="1" applyBorder="1" applyAlignment="1">
      <alignment vertical="center"/>
    </xf>
    <xf numFmtId="0" fontId="3" fillId="1002" borderId="881" xfId="0" applyFont="1" applyFill="1" applyBorder="1" applyAlignment="1">
      <alignment vertical="center"/>
    </xf>
    <xf numFmtId="0" fontId="3" fillId="1003" borderId="882" xfId="0" applyFont="1" applyFill="1" applyBorder="1" applyAlignment="1">
      <alignment vertical="center"/>
    </xf>
    <xf numFmtId="0" fontId="3" fillId="1004" borderId="883" xfId="0" applyFont="1" applyFill="1" applyBorder="1" applyAlignment="1">
      <alignment vertical="center"/>
    </xf>
    <xf numFmtId="4" fontId="3" fillId="1005" borderId="884" xfId="0" applyNumberFormat="1" applyFont="1" applyFill="1" applyBorder="1" applyAlignment="1">
      <alignment vertical="center"/>
    </xf>
    <xf numFmtId="4" fontId="3" fillId="1006" borderId="885" xfId="0" applyNumberFormat="1" applyFont="1" applyFill="1" applyBorder="1" applyAlignment="1">
      <alignment vertical="center"/>
    </xf>
    <xf numFmtId="4" fontId="3" fillId="1007" borderId="886" xfId="0" applyNumberFormat="1" applyFont="1" applyFill="1" applyBorder="1" applyAlignment="1">
      <alignment vertical="center"/>
    </xf>
    <xf numFmtId="0" fontId="3" fillId="1008" borderId="887" xfId="0" applyFont="1" applyFill="1" applyBorder="1" applyAlignment="1">
      <alignment vertical="center"/>
    </xf>
    <xf numFmtId="0" fontId="3" fillId="1009" borderId="888" xfId="0" applyFont="1" applyFill="1" applyBorder="1" applyAlignment="1">
      <alignment vertical="center"/>
    </xf>
    <xf numFmtId="0" fontId="3" fillId="1011" borderId="889" xfId="0" applyFont="1" applyFill="1" applyBorder="1" applyAlignment="1">
      <alignment vertical="center"/>
    </xf>
    <xf numFmtId="0" fontId="3" fillId="1012" borderId="890" xfId="0" applyFont="1" applyFill="1" applyBorder="1" applyAlignment="1">
      <alignment vertical="center"/>
    </xf>
    <xf numFmtId="0" fontId="3" fillId="1013" borderId="891" xfId="0" applyFont="1" applyFill="1" applyBorder="1" applyAlignment="1">
      <alignment vertical="center"/>
    </xf>
    <xf numFmtId="4" fontId="3" fillId="1014" borderId="892" xfId="0" applyNumberFormat="1" applyFont="1" applyFill="1" applyBorder="1" applyAlignment="1">
      <alignment vertical="center"/>
    </xf>
    <xf numFmtId="4" fontId="3" fillId="1015" borderId="893" xfId="0" applyNumberFormat="1" applyFont="1" applyFill="1" applyBorder="1" applyAlignment="1">
      <alignment vertical="center"/>
    </xf>
    <xf numFmtId="4" fontId="3" fillId="1016" borderId="894" xfId="0" applyNumberFormat="1" applyFont="1" applyFill="1" applyBorder="1" applyAlignment="1">
      <alignment vertical="center"/>
    </xf>
    <xf numFmtId="0" fontId="3" fillId="1017" borderId="895" xfId="0" applyFont="1" applyFill="1" applyBorder="1" applyAlignment="1">
      <alignment vertical="center"/>
    </xf>
    <xf numFmtId="0" fontId="3" fillId="1018" borderId="896" xfId="0" applyFont="1" applyFill="1" applyBorder="1" applyAlignment="1">
      <alignment vertical="center"/>
    </xf>
    <xf numFmtId="0" fontId="3" fillId="1020" borderId="897" xfId="0" applyFont="1" applyFill="1" applyBorder="1" applyAlignment="1">
      <alignment vertical="center"/>
    </xf>
    <xf numFmtId="0" fontId="3" fillId="1021" borderId="898" xfId="0" applyFont="1" applyFill="1" applyBorder="1" applyAlignment="1">
      <alignment vertical="center"/>
    </xf>
    <xf numFmtId="0" fontId="3" fillId="1022" borderId="899" xfId="0" applyFont="1" applyFill="1" applyBorder="1" applyAlignment="1">
      <alignment vertical="center"/>
    </xf>
    <xf numFmtId="4" fontId="3" fillId="1023" borderId="900" xfId="0" applyNumberFormat="1" applyFont="1" applyFill="1" applyBorder="1" applyAlignment="1">
      <alignment vertical="center"/>
    </xf>
    <xf numFmtId="4" fontId="3" fillId="1024" borderId="901" xfId="0" applyNumberFormat="1" applyFont="1" applyFill="1" applyBorder="1" applyAlignment="1">
      <alignment vertical="center"/>
    </xf>
    <xf numFmtId="4" fontId="3" fillId="1025" borderId="902" xfId="0" applyNumberFormat="1" applyFont="1" applyFill="1" applyBorder="1" applyAlignment="1">
      <alignment vertical="center"/>
    </xf>
    <xf numFmtId="0" fontId="3" fillId="1026" borderId="903" xfId="0" applyFont="1" applyFill="1" applyBorder="1" applyAlignment="1">
      <alignment vertical="center"/>
    </xf>
    <xf numFmtId="0" fontId="3" fillId="1027" borderId="904" xfId="0" applyFont="1" applyFill="1" applyBorder="1" applyAlignment="1">
      <alignment vertical="center"/>
    </xf>
    <xf numFmtId="0" fontId="3" fillId="1029" borderId="905" xfId="0" applyFont="1" applyFill="1" applyBorder="1" applyAlignment="1">
      <alignment vertical="center"/>
    </xf>
    <xf numFmtId="0" fontId="3" fillId="1030" borderId="906" xfId="0" applyFont="1" applyFill="1" applyBorder="1" applyAlignment="1">
      <alignment vertical="center"/>
    </xf>
    <xf numFmtId="0" fontId="3" fillId="1031" borderId="907" xfId="0" applyFont="1" applyFill="1" applyBorder="1" applyAlignment="1">
      <alignment vertical="center"/>
    </xf>
    <xf numFmtId="4" fontId="3" fillId="1032" borderId="908" xfId="0" applyNumberFormat="1" applyFont="1" applyFill="1" applyBorder="1" applyAlignment="1">
      <alignment vertical="center"/>
    </xf>
    <xf numFmtId="4" fontId="3" fillId="1033" borderId="909" xfId="0" applyNumberFormat="1" applyFont="1" applyFill="1" applyBorder="1" applyAlignment="1">
      <alignment vertical="center"/>
    </xf>
    <xf numFmtId="4" fontId="3" fillId="1034" borderId="910" xfId="0" applyNumberFormat="1" applyFont="1" applyFill="1" applyBorder="1" applyAlignment="1">
      <alignment vertical="center"/>
    </xf>
    <xf numFmtId="0" fontId="3" fillId="1035" borderId="911" xfId="0" applyFont="1" applyFill="1" applyBorder="1" applyAlignment="1">
      <alignment vertical="center"/>
    </xf>
    <xf numFmtId="0" fontId="3" fillId="1036" borderId="912" xfId="0" applyFont="1" applyFill="1" applyBorder="1" applyAlignment="1">
      <alignment vertical="center"/>
    </xf>
    <xf numFmtId="0" fontId="3" fillId="1038" borderId="913" xfId="0" applyFont="1" applyFill="1" applyBorder="1" applyAlignment="1">
      <alignment vertical="center"/>
    </xf>
    <xf numFmtId="0" fontId="3" fillId="1039" borderId="914" xfId="0" applyFont="1" applyFill="1" applyBorder="1" applyAlignment="1">
      <alignment vertical="center"/>
    </xf>
    <xf numFmtId="0" fontId="3" fillId="1040" borderId="915" xfId="0" applyFont="1" applyFill="1" applyBorder="1" applyAlignment="1">
      <alignment vertical="center"/>
    </xf>
    <xf numFmtId="4" fontId="3" fillId="1041" borderId="916" xfId="0" applyNumberFormat="1" applyFont="1" applyFill="1" applyBorder="1" applyAlignment="1">
      <alignment vertical="center"/>
    </xf>
    <xf numFmtId="4" fontId="3" fillId="1042" borderId="917" xfId="0" applyNumberFormat="1" applyFont="1" applyFill="1" applyBorder="1" applyAlignment="1">
      <alignment vertical="center"/>
    </xf>
    <xf numFmtId="4" fontId="3" fillId="1043" borderId="918" xfId="0" applyNumberFormat="1" applyFont="1" applyFill="1" applyBorder="1" applyAlignment="1">
      <alignment vertical="center"/>
    </xf>
    <xf numFmtId="0" fontId="3" fillId="1044" borderId="919" xfId="0" applyFont="1" applyFill="1" applyBorder="1" applyAlignment="1">
      <alignment vertical="center"/>
    </xf>
    <xf numFmtId="0" fontId="3" fillId="1045" borderId="920" xfId="0" applyFont="1" applyFill="1" applyBorder="1" applyAlignment="1">
      <alignment vertical="center"/>
    </xf>
    <xf numFmtId="0" fontId="3" fillId="1047" borderId="921" xfId="0" applyFont="1" applyFill="1" applyBorder="1" applyAlignment="1">
      <alignment vertical="center"/>
    </xf>
    <xf numFmtId="0" fontId="3" fillId="1048" borderId="922" xfId="0" applyFont="1" applyFill="1" applyBorder="1" applyAlignment="1">
      <alignment vertical="center"/>
    </xf>
    <xf numFmtId="0" fontId="3" fillId="1049" borderId="923" xfId="0" applyFont="1" applyFill="1" applyBorder="1" applyAlignment="1">
      <alignment vertical="center"/>
    </xf>
    <xf numFmtId="4" fontId="3" fillId="1050" borderId="924" xfId="0" applyNumberFormat="1" applyFont="1" applyFill="1" applyBorder="1" applyAlignment="1">
      <alignment vertical="center"/>
    </xf>
    <xf numFmtId="4" fontId="3" fillId="1051" borderId="925" xfId="0" applyNumberFormat="1" applyFont="1" applyFill="1" applyBorder="1" applyAlignment="1">
      <alignment vertical="center"/>
    </xf>
    <xf numFmtId="4" fontId="3" fillId="1052" borderId="926" xfId="0" applyNumberFormat="1" applyFont="1" applyFill="1" applyBorder="1" applyAlignment="1">
      <alignment vertical="center"/>
    </xf>
    <xf numFmtId="0" fontId="3" fillId="1053" borderId="927" xfId="0" applyFont="1" applyFill="1" applyBorder="1" applyAlignment="1">
      <alignment vertical="center"/>
    </xf>
    <xf numFmtId="0" fontId="3" fillId="1054" borderId="928" xfId="0" applyFont="1" applyFill="1" applyBorder="1" applyAlignment="1">
      <alignment vertical="center"/>
    </xf>
    <xf numFmtId="0" fontId="3" fillId="1056" borderId="929" xfId="0" applyFont="1" applyFill="1" applyBorder="1" applyAlignment="1">
      <alignment vertical="center"/>
    </xf>
    <xf numFmtId="0" fontId="3" fillId="1057" borderId="930" xfId="0" applyFont="1" applyFill="1" applyBorder="1" applyAlignment="1">
      <alignment vertical="center"/>
    </xf>
    <xf numFmtId="0" fontId="3" fillId="1058" borderId="931" xfId="0" applyFont="1" applyFill="1" applyBorder="1" applyAlignment="1">
      <alignment vertical="center"/>
    </xf>
    <xf numFmtId="4" fontId="3" fillId="1059" borderId="932" xfId="0" applyNumberFormat="1" applyFont="1" applyFill="1" applyBorder="1" applyAlignment="1">
      <alignment vertical="center"/>
    </xf>
    <xf numFmtId="4" fontId="3" fillId="1060" borderId="933" xfId="0" applyNumberFormat="1" applyFont="1" applyFill="1" applyBorder="1" applyAlignment="1">
      <alignment vertical="center"/>
    </xf>
    <xf numFmtId="4" fontId="3" fillId="1061" borderId="934" xfId="0" applyNumberFormat="1" applyFont="1" applyFill="1" applyBorder="1" applyAlignment="1">
      <alignment vertical="center"/>
    </xf>
    <xf numFmtId="0" fontId="3" fillId="1062" borderId="935" xfId="0" applyFont="1" applyFill="1" applyBorder="1" applyAlignment="1">
      <alignment vertical="center"/>
    </xf>
    <xf numFmtId="0" fontId="3" fillId="1063" borderId="936" xfId="0" applyFont="1" applyFill="1" applyBorder="1" applyAlignment="1">
      <alignment vertical="center"/>
    </xf>
    <xf numFmtId="0" fontId="3" fillId="1065" borderId="937" xfId="0" applyFont="1" applyFill="1" applyBorder="1" applyAlignment="1">
      <alignment vertical="center"/>
    </xf>
    <xf numFmtId="0" fontId="3" fillId="1066" borderId="938" xfId="0" applyFont="1" applyFill="1" applyBorder="1" applyAlignment="1">
      <alignment vertical="center"/>
    </xf>
    <xf numFmtId="0" fontId="3" fillId="1067" borderId="939" xfId="0" applyFont="1" applyFill="1" applyBorder="1" applyAlignment="1">
      <alignment vertical="center"/>
    </xf>
    <xf numFmtId="4" fontId="3" fillId="1068" borderId="940" xfId="0" applyNumberFormat="1" applyFont="1" applyFill="1" applyBorder="1" applyAlignment="1">
      <alignment vertical="center"/>
    </xf>
    <xf numFmtId="4" fontId="3" fillId="1069" borderId="941" xfId="0" applyNumberFormat="1" applyFont="1" applyFill="1" applyBorder="1" applyAlignment="1">
      <alignment vertical="center"/>
    </xf>
    <xf numFmtId="4" fontId="3" fillId="1070" borderId="942" xfId="0" applyNumberFormat="1" applyFont="1" applyFill="1" applyBorder="1" applyAlignment="1">
      <alignment vertical="center"/>
    </xf>
    <xf numFmtId="0" fontId="3" fillId="1071" borderId="943" xfId="0" applyFont="1" applyFill="1" applyBorder="1" applyAlignment="1">
      <alignment vertical="center"/>
    </xf>
    <xf numFmtId="0" fontId="3" fillId="1072" borderId="944" xfId="0" applyFont="1" applyFill="1" applyBorder="1" applyAlignment="1">
      <alignment vertical="center"/>
    </xf>
    <xf numFmtId="0" fontId="3" fillId="1074" borderId="945" xfId="0" applyFont="1" applyFill="1" applyBorder="1" applyAlignment="1">
      <alignment vertical="center"/>
    </xf>
    <xf numFmtId="0" fontId="3" fillId="1075" borderId="946" xfId="0" applyFont="1" applyFill="1" applyBorder="1" applyAlignment="1">
      <alignment vertical="center"/>
    </xf>
    <xf numFmtId="0" fontId="3" fillId="1076" borderId="947" xfId="0" applyFont="1" applyFill="1" applyBorder="1" applyAlignment="1">
      <alignment vertical="center"/>
    </xf>
    <xf numFmtId="4" fontId="3" fillId="1077" borderId="948" xfId="0" applyNumberFormat="1" applyFont="1" applyFill="1" applyBorder="1" applyAlignment="1">
      <alignment vertical="center"/>
    </xf>
    <xf numFmtId="4" fontId="3" fillId="1078" borderId="949" xfId="0" applyNumberFormat="1" applyFont="1" applyFill="1" applyBorder="1" applyAlignment="1">
      <alignment vertical="center"/>
    </xf>
    <xf numFmtId="4" fontId="3" fillId="1079" borderId="950" xfId="0" applyNumberFormat="1" applyFont="1" applyFill="1" applyBorder="1" applyAlignment="1">
      <alignment vertical="center"/>
    </xf>
    <xf numFmtId="0" fontId="3" fillId="1080" borderId="951" xfId="0" applyFont="1" applyFill="1" applyBorder="1" applyAlignment="1">
      <alignment vertical="center"/>
    </xf>
    <xf numFmtId="0" fontId="3" fillId="1081" borderId="952" xfId="0" applyFont="1" applyFill="1" applyBorder="1" applyAlignment="1">
      <alignment vertical="center"/>
    </xf>
    <xf numFmtId="0" fontId="3" fillId="1083" borderId="953" xfId="0" applyFont="1" applyFill="1" applyBorder="1" applyAlignment="1">
      <alignment vertical="center"/>
    </xf>
    <xf numFmtId="0" fontId="3" fillId="1084" borderId="954" xfId="0" applyFont="1" applyFill="1" applyBorder="1" applyAlignment="1">
      <alignment vertical="center"/>
    </xf>
    <xf numFmtId="0" fontId="3" fillId="1085" borderId="955" xfId="0" applyFont="1" applyFill="1" applyBorder="1" applyAlignment="1">
      <alignment vertical="center"/>
    </xf>
    <xf numFmtId="4" fontId="3" fillId="1086" borderId="956" xfId="0" applyNumberFormat="1" applyFont="1" applyFill="1" applyBorder="1" applyAlignment="1">
      <alignment vertical="center"/>
    </xf>
    <xf numFmtId="4" fontId="3" fillId="1087" borderId="957" xfId="0" applyNumberFormat="1" applyFont="1" applyFill="1" applyBorder="1" applyAlignment="1">
      <alignment vertical="center"/>
    </xf>
    <xf numFmtId="4" fontId="3" fillId="1088" borderId="958" xfId="0" applyNumberFormat="1" applyFont="1" applyFill="1" applyBorder="1" applyAlignment="1">
      <alignment vertical="center"/>
    </xf>
    <xf numFmtId="0" fontId="3" fillId="1089" borderId="959" xfId="0" applyFont="1" applyFill="1" applyBorder="1" applyAlignment="1">
      <alignment vertical="center"/>
    </xf>
    <xf numFmtId="0" fontId="3" fillId="1090" borderId="960" xfId="0" applyFont="1" applyFill="1" applyBorder="1" applyAlignment="1">
      <alignment vertical="center"/>
    </xf>
    <xf numFmtId="0" fontId="3" fillId="1092" borderId="961" xfId="0" applyFont="1" applyFill="1" applyBorder="1" applyAlignment="1">
      <alignment vertical="center"/>
    </xf>
    <xf numFmtId="0" fontId="3" fillId="1093" borderId="962" xfId="0" applyFont="1" applyFill="1" applyBorder="1" applyAlignment="1">
      <alignment vertical="center"/>
    </xf>
    <xf numFmtId="0" fontId="3" fillId="1094" borderId="963" xfId="0" applyFont="1" applyFill="1" applyBorder="1" applyAlignment="1">
      <alignment vertical="center"/>
    </xf>
    <xf numFmtId="4" fontId="3" fillId="1095" borderId="964" xfId="0" applyNumberFormat="1" applyFont="1" applyFill="1" applyBorder="1" applyAlignment="1">
      <alignment vertical="center"/>
    </xf>
    <xf numFmtId="4" fontId="3" fillId="1096" borderId="965" xfId="0" applyNumberFormat="1" applyFont="1" applyFill="1" applyBorder="1" applyAlignment="1">
      <alignment vertical="center"/>
    </xf>
    <xf numFmtId="4" fontId="3" fillId="1097" borderId="966" xfId="0" applyNumberFormat="1" applyFont="1" applyFill="1" applyBorder="1" applyAlignment="1">
      <alignment vertical="center"/>
    </xf>
    <xf numFmtId="0" fontId="3" fillId="1098" borderId="967" xfId="0" applyFont="1" applyFill="1" applyBorder="1" applyAlignment="1">
      <alignment vertical="center"/>
    </xf>
    <xf numFmtId="0" fontId="3" fillId="1099" borderId="968" xfId="0" applyFont="1" applyFill="1" applyBorder="1" applyAlignment="1">
      <alignment vertical="center"/>
    </xf>
    <xf numFmtId="0" fontId="3" fillId="1101" borderId="969" xfId="0" applyFont="1" applyFill="1" applyBorder="1" applyAlignment="1">
      <alignment vertical="center"/>
    </xf>
    <xf numFmtId="0" fontId="3" fillId="1102" borderId="970" xfId="0" applyFont="1" applyFill="1" applyBorder="1" applyAlignment="1">
      <alignment vertical="center"/>
    </xf>
    <xf numFmtId="0" fontId="3" fillId="1103" borderId="971" xfId="0" applyFont="1" applyFill="1" applyBorder="1" applyAlignment="1">
      <alignment vertical="center"/>
    </xf>
    <xf numFmtId="4" fontId="3" fillId="1104" borderId="972" xfId="0" applyNumberFormat="1" applyFont="1" applyFill="1" applyBorder="1" applyAlignment="1">
      <alignment vertical="center"/>
    </xf>
    <xf numFmtId="4" fontId="3" fillId="1105" borderId="973" xfId="0" applyNumberFormat="1" applyFont="1" applyFill="1" applyBorder="1" applyAlignment="1">
      <alignment vertical="center"/>
    </xf>
    <xf numFmtId="4" fontId="3" fillId="1106" borderId="974" xfId="0" applyNumberFormat="1" applyFont="1" applyFill="1" applyBorder="1" applyAlignment="1">
      <alignment vertical="center"/>
    </xf>
    <xf numFmtId="0" fontId="3" fillId="1107" borderId="975" xfId="0" applyFont="1" applyFill="1" applyBorder="1" applyAlignment="1">
      <alignment vertical="center"/>
    </xf>
    <xf numFmtId="0" fontId="3" fillId="1108" borderId="976" xfId="0" applyFont="1" applyFill="1" applyBorder="1" applyAlignment="1">
      <alignment vertical="center"/>
    </xf>
    <xf numFmtId="0" fontId="3" fillId="1110" borderId="977" xfId="0" applyFont="1" applyFill="1" applyBorder="1" applyAlignment="1">
      <alignment vertical="center"/>
    </xf>
    <xf numFmtId="0" fontId="3" fillId="1111" borderId="978" xfId="0" applyFont="1" applyFill="1" applyBorder="1" applyAlignment="1">
      <alignment vertical="center"/>
    </xf>
    <xf numFmtId="0" fontId="3" fillId="1112" borderId="979" xfId="0" applyFont="1" applyFill="1" applyBorder="1" applyAlignment="1">
      <alignment vertical="center"/>
    </xf>
    <xf numFmtId="4" fontId="3" fillId="1113" borderId="980" xfId="0" applyNumberFormat="1" applyFont="1" applyFill="1" applyBorder="1" applyAlignment="1">
      <alignment vertical="center"/>
    </xf>
    <xf numFmtId="4" fontId="3" fillId="1114" borderId="981" xfId="0" applyNumberFormat="1" applyFont="1" applyFill="1" applyBorder="1" applyAlignment="1">
      <alignment vertical="center"/>
    </xf>
    <xf numFmtId="4" fontId="3" fillId="1115" borderId="982" xfId="0" applyNumberFormat="1" applyFont="1" applyFill="1" applyBorder="1" applyAlignment="1">
      <alignment vertical="center"/>
    </xf>
    <xf numFmtId="0" fontId="3" fillId="1116" borderId="983" xfId="0" applyFont="1" applyFill="1" applyBorder="1" applyAlignment="1">
      <alignment vertical="center"/>
    </xf>
    <xf numFmtId="0" fontId="3" fillId="1117" borderId="984" xfId="0" applyFont="1" applyFill="1" applyBorder="1" applyAlignment="1">
      <alignment vertical="center"/>
    </xf>
    <xf numFmtId="0" fontId="3" fillId="1119" borderId="985" xfId="0" applyFont="1" applyFill="1" applyBorder="1" applyAlignment="1">
      <alignment vertical="center"/>
    </xf>
    <xf numFmtId="0" fontId="3" fillId="1120" borderId="986" xfId="0" applyFont="1" applyFill="1" applyBorder="1" applyAlignment="1">
      <alignment vertical="center"/>
    </xf>
    <xf numFmtId="0" fontId="3" fillId="1121" borderId="987" xfId="0" applyFont="1" applyFill="1" applyBorder="1" applyAlignment="1">
      <alignment vertical="center"/>
    </xf>
    <xf numFmtId="4" fontId="3" fillId="1122" borderId="988" xfId="0" applyNumberFormat="1" applyFont="1" applyFill="1" applyBorder="1" applyAlignment="1">
      <alignment vertical="center"/>
    </xf>
    <xf numFmtId="4" fontId="3" fillId="1123" borderId="989" xfId="0" applyNumberFormat="1" applyFont="1" applyFill="1" applyBorder="1" applyAlignment="1">
      <alignment vertical="center"/>
    </xf>
    <xf numFmtId="4" fontId="3" fillId="1124" borderId="990" xfId="0" applyNumberFormat="1" applyFont="1" applyFill="1" applyBorder="1" applyAlignment="1">
      <alignment vertical="center"/>
    </xf>
    <xf numFmtId="0" fontId="3" fillId="1125" borderId="991" xfId="0" applyFont="1" applyFill="1" applyBorder="1" applyAlignment="1">
      <alignment vertical="center"/>
    </xf>
    <xf numFmtId="0" fontId="3" fillId="1126" borderId="992" xfId="0" applyFont="1" applyFill="1" applyBorder="1" applyAlignment="1">
      <alignment vertical="center"/>
    </xf>
    <xf numFmtId="0" fontId="3" fillId="1128" borderId="993" xfId="0" applyFont="1" applyFill="1" applyBorder="1" applyAlignment="1">
      <alignment vertical="center"/>
    </xf>
    <xf numFmtId="0" fontId="3" fillId="1129" borderId="994" xfId="0" applyFont="1" applyFill="1" applyBorder="1" applyAlignment="1">
      <alignment vertical="center"/>
    </xf>
    <xf numFmtId="0" fontId="3" fillId="1130" borderId="995" xfId="0" applyFont="1" applyFill="1" applyBorder="1" applyAlignment="1">
      <alignment vertical="center"/>
    </xf>
    <xf numFmtId="4" fontId="3" fillId="1131" borderId="996" xfId="0" applyNumberFormat="1" applyFont="1" applyFill="1" applyBorder="1" applyAlignment="1">
      <alignment vertical="center"/>
    </xf>
    <xf numFmtId="4" fontId="3" fillId="1132" borderId="997" xfId="0" applyNumberFormat="1" applyFont="1" applyFill="1" applyBorder="1" applyAlignment="1">
      <alignment vertical="center"/>
    </xf>
    <xf numFmtId="4" fontId="3" fillId="1133" borderId="998" xfId="0" applyNumberFormat="1" applyFont="1" applyFill="1" applyBorder="1" applyAlignment="1">
      <alignment vertical="center"/>
    </xf>
    <xf numFmtId="0" fontId="3" fillId="1134" borderId="999" xfId="0" applyFont="1" applyFill="1" applyBorder="1" applyAlignment="1">
      <alignment vertical="center"/>
    </xf>
    <xf numFmtId="0" fontId="3" fillId="1135" borderId="1000" xfId="0" applyFont="1" applyFill="1" applyBorder="1" applyAlignment="1">
      <alignment vertical="center"/>
    </xf>
    <xf numFmtId="0" fontId="3" fillId="1137" borderId="1001" xfId="0" applyFont="1" applyFill="1" applyBorder="1" applyAlignment="1">
      <alignment vertical="center"/>
    </xf>
    <xf numFmtId="0" fontId="3" fillId="1138" borderId="1002" xfId="0" applyFont="1" applyFill="1" applyBorder="1" applyAlignment="1">
      <alignment vertical="center"/>
    </xf>
    <xf numFmtId="0" fontId="3" fillId="1139" borderId="1003" xfId="0" applyFont="1" applyFill="1" applyBorder="1" applyAlignment="1">
      <alignment vertical="center"/>
    </xf>
    <xf numFmtId="4" fontId="3" fillId="1140" borderId="1004" xfId="0" applyNumberFormat="1" applyFont="1" applyFill="1" applyBorder="1" applyAlignment="1">
      <alignment vertical="center"/>
    </xf>
    <xf numFmtId="4" fontId="3" fillId="1141" borderId="1005" xfId="0" applyNumberFormat="1" applyFont="1" applyFill="1" applyBorder="1" applyAlignment="1">
      <alignment vertical="center"/>
    </xf>
    <xf numFmtId="4" fontId="3" fillId="1142" borderId="1006" xfId="0" applyNumberFormat="1" applyFont="1" applyFill="1" applyBorder="1" applyAlignment="1">
      <alignment vertical="center"/>
    </xf>
    <xf numFmtId="0" fontId="3" fillId="1143" borderId="1007" xfId="0" applyFont="1" applyFill="1" applyBorder="1" applyAlignment="1">
      <alignment vertical="center"/>
    </xf>
    <xf numFmtId="0" fontId="3" fillId="1144" borderId="1008" xfId="0" applyFont="1" applyFill="1" applyBorder="1" applyAlignment="1">
      <alignment vertical="center"/>
    </xf>
    <xf numFmtId="0" fontId="3" fillId="1146" borderId="1009" xfId="0" applyFont="1" applyFill="1" applyBorder="1" applyAlignment="1">
      <alignment vertical="center"/>
    </xf>
    <xf numFmtId="0" fontId="3" fillId="1147" borderId="1010" xfId="0" applyFont="1" applyFill="1" applyBorder="1" applyAlignment="1">
      <alignment vertical="center"/>
    </xf>
    <xf numFmtId="0" fontId="3" fillId="1148" borderId="1011" xfId="0" applyFont="1" applyFill="1" applyBorder="1" applyAlignment="1">
      <alignment vertical="center"/>
    </xf>
    <xf numFmtId="4" fontId="3" fillId="1149" borderId="1012" xfId="0" applyNumberFormat="1" applyFont="1" applyFill="1" applyBorder="1" applyAlignment="1">
      <alignment vertical="center"/>
    </xf>
    <xf numFmtId="4" fontId="3" fillId="1150" borderId="1013" xfId="0" applyNumberFormat="1" applyFont="1" applyFill="1" applyBorder="1" applyAlignment="1">
      <alignment vertical="center"/>
    </xf>
    <xf numFmtId="4" fontId="3" fillId="1151" borderId="1014" xfId="0" applyNumberFormat="1" applyFont="1" applyFill="1" applyBorder="1" applyAlignment="1">
      <alignment vertical="center"/>
    </xf>
    <xf numFmtId="0" fontId="3" fillId="1152" borderId="1015" xfId="0" applyFont="1" applyFill="1" applyBorder="1" applyAlignment="1">
      <alignment vertical="center"/>
    </xf>
    <xf numFmtId="0" fontId="3" fillId="1153" borderId="1016" xfId="0" applyFont="1" applyFill="1" applyBorder="1" applyAlignment="1">
      <alignment vertical="center"/>
    </xf>
    <xf numFmtId="0" fontId="3" fillId="1155" borderId="1017" xfId="0" applyFont="1" applyFill="1" applyBorder="1" applyAlignment="1">
      <alignment vertical="center"/>
    </xf>
    <xf numFmtId="0" fontId="3" fillId="1156" borderId="1018" xfId="0" applyFont="1" applyFill="1" applyBorder="1" applyAlignment="1">
      <alignment vertical="center"/>
    </xf>
    <xf numFmtId="0" fontId="3" fillId="1157" borderId="1019" xfId="0" applyFont="1" applyFill="1" applyBorder="1" applyAlignment="1">
      <alignment vertical="center"/>
    </xf>
    <xf numFmtId="4" fontId="3" fillId="1158" borderId="1020" xfId="0" applyNumberFormat="1" applyFont="1" applyFill="1" applyBorder="1" applyAlignment="1">
      <alignment vertical="center"/>
    </xf>
    <xf numFmtId="4" fontId="3" fillId="1159" borderId="1021" xfId="0" applyNumberFormat="1" applyFont="1" applyFill="1" applyBorder="1" applyAlignment="1">
      <alignment vertical="center"/>
    </xf>
    <xf numFmtId="4" fontId="3" fillId="1160" borderId="1022" xfId="0" applyNumberFormat="1" applyFont="1" applyFill="1" applyBorder="1" applyAlignment="1">
      <alignment vertical="center"/>
    </xf>
    <xf numFmtId="0" fontId="3" fillId="1161" borderId="1023" xfId="0" applyFont="1" applyFill="1" applyBorder="1" applyAlignment="1">
      <alignment vertical="center"/>
    </xf>
    <xf numFmtId="0" fontId="3" fillId="1162" borderId="1024" xfId="0" applyFont="1" applyFill="1" applyBorder="1" applyAlignment="1">
      <alignment vertical="center"/>
    </xf>
    <xf numFmtId="0" fontId="3" fillId="1164" borderId="1025" xfId="0" applyFont="1" applyFill="1" applyBorder="1" applyAlignment="1">
      <alignment vertical="center"/>
    </xf>
    <xf numFmtId="0" fontId="3" fillId="1165" borderId="1026" xfId="0" applyFont="1" applyFill="1" applyBorder="1" applyAlignment="1">
      <alignment vertical="center"/>
    </xf>
    <xf numFmtId="0" fontId="3" fillId="1166" borderId="1027" xfId="0" applyFont="1" applyFill="1" applyBorder="1" applyAlignment="1">
      <alignment vertical="center"/>
    </xf>
    <xf numFmtId="4" fontId="3" fillId="1167" borderId="1028" xfId="0" applyNumberFormat="1" applyFont="1" applyFill="1" applyBorder="1" applyAlignment="1">
      <alignment vertical="center"/>
    </xf>
    <xf numFmtId="4" fontId="3" fillId="1168" borderId="1029" xfId="0" applyNumberFormat="1" applyFont="1" applyFill="1" applyBorder="1" applyAlignment="1">
      <alignment vertical="center"/>
    </xf>
    <xf numFmtId="4" fontId="3" fillId="1169" borderId="1030" xfId="0" applyNumberFormat="1" applyFont="1" applyFill="1" applyBorder="1" applyAlignment="1">
      <alignment vertical="center"/>
    </xf>
    <xf numFmtId="0" fontId="3" fillId="1170" borderId="1031" xfId="0" applyFont="1" applyFill="1" applyBorder="1" applyAlignment="1">
      <alignment vertical="center"/>
    </xf>
    <xf numFmtId="0" fontId="3" fillId="1171" borderId="1032" xfId="0" applyFont="1" applyFill="1" applyBorder="1" applyAlignment="1">
      <alignment vertical="center"/>
    </xf>
    <xf numFmtId="0" fontId="3" fillId="1173" borderId="1033" xfId="0" applyFont="1" applyFill="1" applyBorder="1" applyAlignment="1">
      <alignment vertical="center"/>
    </xf>
    <xf numFmtId="0" fontId="3" fillId="1174" borderId="1034" xfId="0" applyFont="1" applyFill="1" applyBorder="1" applyAlignment="1">
      <alignment vertical="center"/>
    </xf>
    <xf numFmtId="0" fontId="3" fillId="1175" borderId="1035" xfId="0" applyFont="1" applyFill="1" applyBorder="1" applyAlignment="1">
      <alignment vertical="center"/>
    </xf>
    <xf numFmtId="4" fontId="3" fillId="1176" borderId="1036" xfId="0" applyNumberFormat="1" applyFont="1" applyFill="1" applyBorder="1" applyAlignment="1">
      <alignment vertical="center"/>
    </xf>
    <xf numFmtId="4" fontId="3" fillId="1177" borderId="1037" xfId="0" applyNumberFormat="1" applyFont="1" applyFill="1" applyBorder="1" applyAlignment="1">
      <alignment vertical="center"/>
    </xf>
    <xf numFmtId="4" fontId="3" fillId="1178" borderId="1038" xfId="0" applyNumberFormat="1" applyFont="1" applyFill="1" applyBorder="1" applyAlignment="1">
      <alignment vertical="center"/>
    </xf>
    <xf numFmtId="0" fontId="3" fillId="1179" borderId="1039" xfId="0" applyFont="1" applyFill="1" applyBorder="1" applyAlignment="1">
      <alignment vertical="center"/>
    </xf>
    <xf numFmtId="0" fontId="3" fillId="1180" borderId="1040" xfId="0" applyFont="1" applyFill="1" applyBorder="1" applyAlignment="1">
      <alignment vertical="center"/>
    </xf>
    <xf numFmtId="0" fontId="3" fillId="1182" borderId="1041" xfId="0" applyFont="1" applyFill="1" applyBorder="1" applyAlignment="1">
      <alignment vertical="center"/>
    </xf>
    <xf numFmtId="0" fontId="3" fillId="1183" borderId="1042" xfId="0" applyFont="1" applyFill="1" applyBorder="1" applyAlignment="1">
      <alignment vertical="center"/>
    </xf>
    <xf numFmtId="0" fontId="3" fillId="1184" borderId="1043" xfId="0" applyFont="1" applyFill="1" applyBorder="1" applyAlignment="1">
      <alignment vertical="center"/>
    </xf>
    <xf numFmtId="4" fontId="3" fillId="1185" borderId="1044" xfId="0" applyNumberFormat="1" applyFont="1" applyFill="1" applyBorder="1" applyAlignment="1">
      <alignment vertical="center"/>
    </xf>
    <xf numFmtId="4" fontId="3" fillId="1186" borderId="1045" xfId="0" applyNumberFormat="1" applyFont="1" applyFill="1" applyBorder="1" applyAlignment="1">
      <alignment vertical="center"/>
    </xf>
    <xf numFmtId="4" fontId="3" fillId="1187" borderId="1046" xfId="0" applyNumberFormat="1" applyFont="1" applyFill="1" applyBorder="1" applyAlignment="1">
      <alignment vertical="center"/>
    </xf>
    <xf numFmtId="0" fontId="3" fillId="1188" borderId="1047" xfId="0" applyFont="1" applyFill="1" applyBorder="1" applyAlignment="1">
      <alignment vertical="center"/>
    </xf>
    <xf numFmtId="0" fontId="3" fillId="1189" borderId="1048" xfId="0" applyFont="1" applyFill="1" applyBorder="1" applyAlignment="1">
      <alignment vertical="center"/>
    </xf>
    <xf numFmtId="0" fontId="3" fillId="1191" borderId="1049" xfId="0" applyFont="1" applyFill="1" applyBorder="1" applyAlignment="1">
      <alignment vertical="center"/>
    </xf>
    <xf numFmtId="0" fontId="3" fillId="1192" borderId="1050" xfId="0" applyFont="1" applyFill="1" applyBorder="1" applyAlignment="1">
      <alignment vertical="center"/>
    </xf>
    <xf numFmtId="0" fontId="3" fillId="1193" borderId="1051" xfId="0" applyFont="1" applyFill="1" applyBorder="1" applyAlignment="1">
      <alignment vertical="center"/>
    </xf>
    <xf numFmtId="4" fontId="3" fillId="1194" borderId="1052" xfId="0" applyNumberFormat="1" applyFont="1" applyFill="1" applyBorder="1" applyAlignment="1">
      <alignment vertical="center"/>
    </xf>
    <xf numFmtId="4" fontId="3" fillId="1195" borderId="1053" xfId="0" applyNumberFormat="1" applyFont="1" applyFill="1" applyBorder="1" applyAlignment="1">
      <alignment vertical="center"/>
    </xf>
    <xf numFmtId="4" fontId="3" fillId="1196" borderId="1054" xfId="0" applyNumberFormat="1" applyFont="1" applyFill="1" applyBorder="1" applyAlignment="1">
      <alignment vertical="center"/>
    </xf>
    <xf numFmtId="0" fontId="3" fillId="1197" borderId="1055" xfId="0" applyFont="1" applyFill="1" applyBorder="1" applyAlignment="1">
      <alignment vertical="center"/>
    </xf>
    <xf numFmtId="0" fontId="3" fillId="1198" borderId="1056" xfId="0" applyFont="1" applyFill="1" applyBorder="1" applyAlignment="1">
      <alignment vertical="center"/>
    </xf>
    <xf numFmtId="0" fontId="3" fillId="1200" borderId="1057" xfId="0" applyFont="1" applyFill="1" applyBorder="1" applyAlignment="1">
      <alignment vertical="center"/>
    </xf>
    <xf numFmtId="0" fontId="3" fillId="1201" borderId="1058" xfId="0" applyFont="1" applyFill="1" applyBorder="1" applyAlignment="1">
      <alignment vertical="center"/>
    </xf>
    <xf numFmtId="0" fontId="3" fillId="1202" borderId="1059" xfId="0" applyFont="1" applyFill="1" applyBorder="1" applyAlignment="1">
      <alignment vertical="center"/>
    </xf>
    <xf numFmtId="4" fontId="3" fillId="1203" borderId="1060" xfId="0" applyNumberFormat="1" applyFont="1" applyFill="1" applyBorder="1" applyAlignment="1">
      <alignment vertical="center"/>
    </xf>
    <xf numFmtId="4" fontId="3" fillId="1204" borderId="1061" xfId="0" applyNumberFormat="1" applyFont="1" applyFill="1" applyBorder="1" applyAlignment="1">
      <alignment vertical="center"/>
    </xf>
    <xf numFmtId="4" fontId="3" fillId="1205" borderId="1062" xfId="0" applyNumberFormat="1" applyFont="1" applyFill="1" applyBorder="1" applyAlignment="1">
      <alignment vertical="center"/>
    </xf>
    <xf numFmtId="0" fontId="3" fillId="1206" borderId="1063" xfId="0" applyFont="1" applyFill="1" applyBorder="1" applyAlignment="1">
      <alignment vertical="center"/>
    </xf>
    <xf numFmtId="0" fontId="3" fillId="1207" borderId="1064" xfId="0" applyFont="1" applyFill="1" applyBorder="1" applyAlignment="1">
      <alignment vertical="center"/>
    </xf>
    <xf numFmtId="0" fontId="3" fillId="1209" borderId="1065" xfId="0" applyFont="1" applyFill="1" applyBorder="1" applyAlignment="1">
      <alignment vertical="center"/>
    </xf>
    <xf numFmtId="0" fontId="3" fillId="1210" borderId="1066" xfId="0" applyFont="1" applyFill="1" applyBorder="1" applyAlignment="1">
      <alignment vertical="center"/>
    </xf>
    <xf numFmtId="0" fontId="3" fillId="1211" borderId="1067" xfId="0" applyFont="1" applyFill="1" applyBorder="1" applyAlignment="1">
      <alignment vertical="center"/>
    </xf>
    <xf numFmtId="4" fontId="3" fillId="1212" borderId="1068" xfId="0" applyNumberFormat="1" applyFont="1" applyFill="1" applyBorder="1" applyAlignment="1">
      <alignment vertical="center"/>
    </xf>
    <xf numFmtId="4" fontId="3" fillId="1213" borderId="1069" xfId="0" applyNumberFormat="1" applyFont="1" applyFill="1" applyBorder="1" applyAlignment="1">
      <alignment vertical="center"/>
    </xf>
    <xf numFmtId="4" fontId="3" fillId="1214" borderId="1070" xfId="0" applyNumberFormat="1" applyFont="1" applyFill="1" applyBorder="1" applyAlignment="1">
      <alignment vertical="center"/>
    </xf>
    <xf numFmtId="0" fontId="3" fillId="1215" borderId="1071" xfId="0" applyFont="1" applyFill="1" applyBorder="1" applyAlignment="1">
      <alignment vertical="center"/>
    </xf>
    <xf numFmtId="0" fontId="3" fillId="1216" borderId="1072" xfId="0" applyFont="1" applyFill="1" applyBorder="1" applyAlignment="1">
      <alignment vertical="center"/>
    </xf>
    <xf numFmtId="0" fontId="3" fillId="1218" borderId="1073" xfId="0" applyFont="1" applyFill="1" applyBorder="1" applyAlignment="1">
      <alignment vertical="center"/>
    </xf>
    <xf numFmtId="0" fontId="3" fillId="1219" borderId="1074" xfId="0" applyFont="1" applyFill="1" applyBorder="1" applyAlignment="1">
      <alignment vertical="center"/>
    </xf>
    <xf numFmtId="0" fontId="3" fillId="1220" borderId="1075" xfId="0" applyFont="1" applyFill="1" applyBorder="1" applyAlignment="1">
      <alignment vertical="center"/>
    </xf>
    <xf numFmtId="4" fontId="3" fillId="1221" borderId="1076" xfId="0" applyNumberFormat="1" applyFont="1" applyFill="1" applyBorder="1" applyAlignment="1">
      <alignment vertical="center"/>
    </xf>
    <xf numFmtId="4" fontId="3" fillId="1222" borderId="1077" xfId="0" applyNumberFormat="1" applyFont="1" applyFill="1" applyBorder="1" applyAlignment="1">
      <alignment vertical="center"/>
    </xf>
    <xf numFmtId="4" fontId="3" fillId="1223" borderId="1078" xfId="0" applyNumberFormat="1" applyFont="1" applyFill="1" applyBorder="1" applyAlignment="1">
      <alignment vertical="center"/>
    </xf>
    <xf numFmtId="0" fontId="3" fillId="1224" borderId="1079" xfId="0" applyFont="1" applyFill="1" applyBorder="1" applyAlignment="1">
      <alignment vertical="center"/>
    </xf>
    <xf numFmtId="0" fontId="3" fillId="1225" borderId="1080" xfId="0" applyFont="1" applyFill="1" applyBorder="1" applyAlignment="1">
      <alignment vertical="center"/>
    </xf>
    <xf numFmtId="0" fontId="3" fillId="1227" borderId="1081" xfId="0" applyFont="1" applyFill="1" applyBorder="1" applyAlignment="1">
      <alignment vertical="center"/>
    </xf>
    <xf numFmtId="0" fontId="3" fillId="1228" borderId="1082" xfId="0" applyFont="1" applyFill="1" applyBorder="1" applyAlignment="1">
      <alignment vertical="center"/>
    </xf>
    <xf numFmtId="0" fontId="3" fillId="1229" borderId="1083" xfId="0" applyFont="1" applyFill="1" applyBorder="1" applyAlignment="1">
      <alignment vertical="center"/>
    </xf>
    <xf numFmtId="4" fontId="3" fillId="1230" borderId="1084" xfId="0" applyNumberFormat="1" applyFont="1" applyFill="1" applyBorder="1" applyAlignment="1">
      <alignment vertical="center"/>
    </xf>
    <xf numFmtId="4" fontId="3" fillId="1231" borderId="1085" xfId="0" applyNumberFormat="1" applyFont="1" applyFill="1" applyBorder="1" applyAlignment="1">
      <alignment vertical="center"/>
    </xf>
    <xf numFmtId="4" fontId="3" fillId="1232" borderId="1086" xfId="0" applyNumberFormat="1" applyFont="1" applyFill="1" applyBorder="1" applyAlignment="1">
      <alignment vertical="center"/>
    </xf>
    <xf numFmtId="0" fontId="3" fillId="1233" borderId="1087" xfId="0" applyFont="1" applyFill="1" applyBorder="1" applyAlignment="1">
      <alignment vertical="center"/>
    </xf>
    <xf numFmtId="0" fontId="3" fillId="1234" borderId="1088" xfId="0" applyFont="1" applyFill="1" applyBorder="1" applyAlignment="1">
      <alignment vertical="center"/>
    </xf>
    <xf numFmtId="0" fontId="3" fillId="1236" borderId="1089" xfId="0" applyFont="1" applyFill="1" applyBorder="1" applyAlignment="1">
      <alignment vertical="center"/>
    </xf>
    <xf numFmtId="0" fontId="3" fillId="1237" borderId="1090" xfId="0" applyFont="1" applyFill="1" applyBorder="1" applyAlignment="1">
      <alignment vertical="center"/>
    </xf>
    <xf numFmtId="0" fontId="3" fillId="1238" borderId="1091" xfId="0" applyFont="1" applyFill="1" applyBorder="1" applyAlignment="1">
      <alignment vertical="center"/>
    </xf>
    <xf numFmtId="4" fontId="3" fillId="1239" borderId="1092" xfId="0" applyNumberFormat="1" applyFont="1" applyFill="1" applyBorder="1" applyAlignment="1">
      <alignment vertical="center"/>
    </xf>
    <xf numFmtId="4" fontId="3" fillId="1240" borderId="1093" xfId="0" applyNumberFormat="1" applyFont="1" applyFill="1" applyBorder="1" applyAlignment="1">
      <alignment vertical="center"/>
    </xf>
    <xf numFmtId="4" fontId="3" fillId="1241" borderId="1094" xfId="0" applyNumberFormat="1" applyFont="1" applyFill="1" applyBorder="1" applyAlignment="1">
      <alignment vertical="center"/>
    </xf>
    <xf numFmtId="0" fontId="3" fillId="1242" borderId="1095" xfId="0" applyFont="1" applyFill="1" applyBorder="1" applyAlignment="1">
      <alignment vertical="center"/>
    </xf>
    <xf numFmtId="0" fontId="3" fillId="1243" borderId="1096" xfId="0" applyFont="1" applyFill="1" applyBorder="1" applyAlignment="1">
      <alignment vertical="center"/>
    </xf>
    <xf numFmtId="0" fontId="3" fillId="1245" borderId="1097" xfId="0" applyFont="1" applyFill="1" applyBorder="1" applyAlignment="1">
      <alignment vertical="center"/>
    </xf>
    <xf numFmtId="0" fontId="3" fillId="1246" borderId="1098" xfId="0" applyFont="1" applyFill="1" applyBorder="1" applyAlignment="1">
      <alignment vertical="center"/>
    </xf>
    <xf numFmtId="0" fontId="3" fillId="1247" borderId="1099" xfId="0" applyFont="1" applyFill="1" applyBorder="1" applyAlignment="1">
      <alignment vertical="center"/>
    </xf>
    <xf numFmtId="4" fontId="3" fillId="1248" borderId="1100" xfId="0" applyNumberFormat="1" applyFont="1" applyFill="1" applyBorder="1" applyAlignment="1">
      <alignment vertical="center"/>
    </xf>
    <xf numFmtId="4" fontId="3" fillId="1249" borderId="1101" xfId="0" applyNumberFormat="1" applyFont="1" applyFill="1" applyBorder="1" applyAlignment="1">
      <alignment vertical="center"/>
    </xf>
    <xf numFmtId="4" fontId="3" fillId="1250" borderId="1102" xfId="0" applyNumberFormat="1" applyFont="1" applyFill="1" applyBorder="1" applyAlignment="1">
      <alignment vertical="center"/>
    </xf>
    <xf numFmtId="0" fontId="3" fillId="1251" borderId="1103" xfId="0" applyFont="1" applyFill="1" applyBorder="1" applyAlignment="1">
      <alignment vertical="center"/>
    </xf>
    <xf numFmtId="0" fontId="3" fillId="1252" borderId="1104" xfId="0" applyFont="1" applyFill="1" applyBorder="1" applyAlignment="1">
      <alignment vertical="center"/>
    </xf>
    <xf numFmtId="0" fontId="3" fillId="1254" borderId="1105" xfId="0" applyFont="1" applyFill="1" applyBorder="1" applyAlignment="1">
      <alignment vertical="center"/>
    </xf>
    <xf numFmtId="0" fontId="3" fillId="1255" borderId="1106" xfId="0" applyFont="1" applyFill="1" applyBorder="1" applyAlignment="1">
      <alignment vertical="center"/>
    </xf>
    <xf numFmtId="0" fontId="3" fillId="1256" borderId="1107" xfId="0" applyFont="1" applyFill="1" applyBorder="1" applyAlignment="1">
      <alignment vertical="center"/>
    </xf>
    <xf numFmtId="4" fontId="3" fillId="1257" borderId="1108" xfId="0" applyNumberFormat="1" applyFont="1" applyFill="1" applyBorder="1" applyAlignment="1">
      <alignment vertical="center"/>
    </xf>
    <xf numFmtId="4" fontId="3" fillId="1258" borderId="1109" xfId="0" applyNumberFormat="1" applyFont="1" applyFill="1" applyBorder="1" applyAlignment="1">
      <alignment vertical="center"/>
    </xf>
    <xf numFmtId="4" fontId="3" fillId="1259" borderId="1110" xfId="0" applyNumberFormat="1" applyFont="1" applyFill="1" applyBorder="1" applyAlignment="1">
      <alignment vertical="center"/>
    </xf>
    <xf numFmtId="0" fontId="3" fillId="1260" borderId="1111" xfId="0" applyFont="1" applyFill="1" applyBorder="1" applyAlignment="1">
      <alignment vertical="center"/>
    </xf>
    <xf numFmtId="0" fontId="3" fillId="1261" borderId="1112" xfId="0" applyFont="1" applyFill="1" applyBorder="1" applyAlignment="1">
      <alignment vertical="center"/>
    </xf>
    <xf numFmtId="0" fontId="3" fillId="1263" borderId="1113" xfId="0" applyFont="1" applyFill="1" applyBorder="1" applyAlignment="1">
      <alignment vertical="center"/>
    </xf>
    <xf numFmtId="0" fontId="3" fillId="1264" borderId="1114" xfId="0" applyFont="1" applyFill="1" applyBorder="1" applyAlignment="1">
      <alignment vertical="center"/>
    </xf>
    <xf numFmtId="0" fontId="3" fillId="1265" borderId="1115" xfId="0" applyFont="1" applyFill="1" applyBorder="1" applyAlignment="1">
      <alignment vertical="center"/>
    </xf>
    <xf numFmtId="4" fontId="3" fillId="1266" borderId="1116" xfId="0" applyNumberFormat="1" applyFont="1" applyFill="1" applyBorder="1" applyAlignment="1">
      <alignment vertical="center"/>
    </xf>
    <xf numFmtId="4" fontId="3" fillId="1267" borderId="1117" xfId="0" applyNumberFormat="1" applyFont="1" applyFill="1" applyBorder="1" applyAlignment="1">
      <alignment vertical="center"/>
    </xf>
    <xf numFmtId="4" fontId="3" fillId="1268" borderId="1118" xfId="0" applyNumberFormat="1" applyFont="1" applyFill="1" applyBorder="1" applyAlignment="1">
      <alignment vertical="center"/>
    </xf>
    <xf numFmtId="0" fontId="3" fillId="1269" borderId="1119" xfId="0" applyFont="1" applyFill="1" applyBorder="1" applyAlignment="1">
      <alignment vertical="center"/>
    </xf>
    <xf numFmtId="0" fontId="3" fillId="1270" borderId="1120" xfId="0" applyFont="1" applyFill="1" applyBorder="1" applyAlignment="1">
      <alignment vertical="center"/>
    </xf>
    <xf numFmtId="0" fontId="3" fillId="1272" borderId="1121" xfId="0" applyFont="1" applyFill="1" applyBorder="1" applyAlignment="1">
      <alignment vertical="center"/>
    </xf>
    <xf numFmtId="0" fontId="3" fillId="1273" borderId="1122" xfId="0" applyFont="1" applyFill="1" applyBorder="1" applyAlignment="1">
      <alignment vertical="center"/>
    </xf>
    <xf numFmtId="0" fontId="3" fillId="1274" borderId="1123" xfId="0" applyFont="1" applyFill="1" applyBorder="1" applyAlignment="1">
      <alignment vertical="center"/>
    </xf>
    <xf numFmtId="4" fontId="3" fillId="1275" borderId="1124" xfId="0" applyNumberFormat="1" applyFont="1" applyFill="1" applyBorder="1" applyAlignment="1">
      <alignment vertical="center"/>
    </xf>
    <xf numFmtId="4" fontId="3" fillId="1276" borderId="1125" xfId="0" applyNumberFormat="1" applyFont="1" applyFill="1" applyBorder="1" applyAlignment="1">
      <alignment vertical="center"/>
    </xf>
    <xf numFmtId="4" fontId="3" fillId="1277" borderId="1126" xfId="0" applyNumberFormat="1" applyFont="1" applyFill="1" applyBorder="1" applyAlignment="1">
      <alignment vertical="center"/>
    </xf>
    <xf numFmtId="0" fontId="3" fillId="1278" borderId="1127" xfId="0" applyFont="1" applyFill="1" applyBorder="1" applyAlignment="1">
      <alignment vertical="center"/>
    </xf>
    <xf numFmtId="0" fontId="3" fillId="1279" borderId="1128" xfId="0" applyFont="1" applyFill="1" applyBorder="1" applyAlignment="1">
      <alignment vertical="center"/>
    </xf>
    <xf numFmtId="0" fontId="3" fillId="1281" borderId="1129" xfId="0" applyFont="1" applyFill="1" applyBorder="1" applyAlignment="1">
      <alignment vertical="center"/>
    </xf>
    <xf numFmtId="0" fontId="3" fillId="1282" borderId="1130" xfId="0" applyFont="1" applyFill="1" applyBorder="1" applyAlignment="1">
      <alignment vertical="center"/>
    </xf>
    <xf numFmtId="0" fontId="3" fillId="1283" borderId="1131" xfId="0" applyFont="1" applyFill="1" applyBorder="1" applyAlignment="1">
      <alignment vertical="center"/>
    </xf>
    <xf numFmtId="4" fontId="3" fillId="1284" borderId="1132" xfId="0" applyNumberFormat="1" applyFont="1" applyFill="1" applyBorder="1" applyAlignment="1">
      <alignment vertical="center"/>
    </xf>
    <xf numFmtId="4" fontId="3" fillId="1285" borderId="1133" xfId="0" applyNumberFormat="1" applyFont="1" applyFill="1" applyBorder="1" applyAlignment="1">
      <alignment vertical="center"/>
    </xf>
    <xf numFmtId="4" fontId="3" fillId="1286" borderId="1134" xfId="0" applyNumberFormat="1" applyFont="1" applyFill="1" applyBorder="1" applyAlignment="1">
      <alignment vertical="center"/>
    </xf>
    <xf numFmtId="0" fontId="3" fillId="1287" borderId="1135" xfId="0" applyFont="1" applyFill="1" applyBorder="1" applyAlignment="1">
      <alignment vertical="center"/>
    </xf>
    <xf numFmtId="0" fontId="3" fillId="1288" borderId="1136" xfId="0" applyFont="1" applyFill="1" applyBorder="1" applyAlignment="1">
      <alignment vertical="center"/>
    </xf>
    <xf numFmtId="0" fontId="3" fillId="1290" borderId="1137" xfId="0" applyFont="1" applyFill="1" applyBorder="1" applyAlignment="1">
      <alignment vertical="center"/>
    </xf>
    <xf numFmtId="0" fontId="3" fillId="1291" borderId="1138" xfId="0" applyFont="1" applyFill="1" applyBorder="1" applyAlignment="1">
      <alignment vertical="center"/>
    </xf>
    <xf numFmtId="0" fontId="3" fillId="1292" borderId="1139" xfId="0" applyFont="1" applyFill="1" applyBorder="1" applyAlignment="1">
      <alignment vertical="center"/>
    </xf>
    <xf numFmtId="4" fontId="3" fillId="1293" borderId="1140" xfId="0" applyNumberFormat="1" applyFont="1" applyFill="1" applyBorder="1" applyAlignment="1">
      <alignment vertical="center"/>
    </xf>
    <xf numFmtId="4" fontId="3" fillId="1294" borderId="1141" xfId="0" applyNumberFormat="1" applyFont="1" applyFill="1" applyBorder="1" applyAlignment="1">
      <alignment vertical="center"/>
    </xf>
    <xf numFmtId="4" fontId="3" fillId="1295" borderId="1142" xfId="0" applyNumberFormat="1" applyFont="1" applyFill="1" applyBorder="1" applyAlignment="1">
      <alignment vertical="center"/>
    </xf>
    <xf numFmtId="0" fontId="3" fillId="1296" borderId="1143" xfId="0" applyFont="1" applyFill="1" applyBorder="1" applyAlignment="1">
      <alignment vertical="center"/>
    </xf>
    <xf numFmtId="0" fontId="3" fillId="1297" borderId="1144" xfId="0" applyFont="1" applyFill="1" applyBorder="1" applyAlignment="1">
      <alignment vertical="center"/>
    </xf>
    <xf numFmtId="0" fontId="3" fillId="1299" borderId="1145" xfId="0" applyFont="1" applyFill="1" applyBorder="1" applyAlignment="1">
      <alignment vertical="center"/>
    </xf>
    <xf numFmtId="0" fontId="3" fillId="1300" borderId="1146" xfId="0" applyFont="1" applyFill="1" applyBorder="1" applyAlignment="1">
      <alignment vertical="center"/>
    </xf>
    <xf numFmtId="0" fontId="3" fillId="1301" borderId="1147" xfId="0" applyFont="1" applyFill="1" applyBorder="1" applyAlignment="1">
      <alignment vertical="center"/>
    </xf>
    <xf numFmtId="4" fontId="3" fillId="1302" borderId="1148" xfId="0" applyNumberFormat="1" applyFont="1" applyFill="1" applyBorder="1" applyAlignment="1">
      <alignment vertical="center"/>
    </xf>
    <xf numFmtId="4" fontId="3" fillId="1303" borderId="1149" xfId="0" applyNumberFormat="1" applyFont="1" applyFill="1" applyBorder="1" applyAlignment="1">
      <alignment vertical="center"/>
    </xf>
    <xf numFmtId="4" fontId="3" fillId="1304" borderId="1150" xfId="0" applyNumberFormat="1" applyFont="1" applyFill="1" applyBorder="1" applyAlignment="1">
      <alignment vertical="center"/>
    </xf>
    <xf numFmtId="0" fontId="3" fillId="1305" borderId="1151" xfId="0" applyFont="1" applyFill="1" applyBorder="1" applyAlignment="1">
      <alignment vertical="center"/>
    </xf>
    <xf numFmtId="0" fontId="3" fillId="1306" borderId="1152" xfId="0" applyFont="1" applyFill="1" applyBorder="1" applyAlignment="1">
      <alignment vertical="center"/>
    </xf>
    <xf numFmtId="0" fontId="3" fillId="1308" borderId="1153" xfId="0" applyFont="1" applyFill="1" applyBorder="1" applyAlignment="1">
      <alignment vertical="center"/>
    </xf>
    <xf numFmtId="0" fontId="3" fillId="1309" borderId="1154" xfId="0" applyFont="1" applyFill="1" applyBorder="1" applyAlignment="1">
      <alignment vertical="center"/>
    </xf>
    <xf numFmtId="0" fontId="3" fillId="1310" borderId="1155" xfId="0" applyFont="1" applyFill="1" applyBorder="1" applyAlignment="1">
      <alignment vertical="center"/>
    </xf>
    <xf numFmtId="4" fontId="3" fillId="1311" borderId="1156" xfId="0" applyNumberFormat="1" applyFont="1" applyFill="1" applyBorder="1" applyAlignment="1">
      <alignment vertical="center"/>
    </xf>
    <xf numFmtId="4" fontId="3" fillId="1312" borderId="1157" xfId="0" applyNumberFormat="1" applyFont="1" applyFill="1" applyBorder="1" applyAlignment="1">
      <alignment vertical="center"/>
    </xf>
    <xf numFmtId="4" fontId="3" fillId="1313" borderId="1158" xfId="0" applyNumberFormat="1" applyFont="1" applyFill="1" applyBorder="1" applyAlignment="1">
      <alignment vertical="center"/>
    </xf>
    <xf numFmtId="0" fontId="3" fillId="1314" borderId="1159" xfId="0" applyFont="1" applyFill="1" applyBorder="1" applyAlignment="1">
      <alignment vertical="center"/>
    </xf>
    <xf numFmtId="0" fontId="3" fillId="1315" borderId="1160" xfId="0" applyFont="1" applyFill="1" applyBorder="1" applyAlignment="1">
      <alignment vertical="center"/>
    </xf>
    <xf numFmtId="0" fontId="3" fillId="1317" borderId="1161" xfId="0" applyFont="1" applyFill="1" applyBorder="1" applyAlignment="1">
      <alignment vertical="center"/>
    </xf>
    <xf numFmtId="0" fontId="3" fillId="1318" borderId="1162" xfId="0" applyFont="1" applyFill="1" applyBorder="1" applyAlignment="1">
      <alignment vertical="center"/>
    </xf>
    <xf numFmtId="0" fontId="3" fillId="1319" borderId="1163" xfId="0" applyFont="1" applyFill="1" applyBorder="1" applyAlignment="1">
      <alignment vertical="center"/>
    </xf>
    <xf numFmtId="4" fontId="3" fillId="1320" borderId="1164" xfId="0" applyNumberFormat="1" applyFont="1" applyFill="1" applyBorder="1" applyAlignment="1">
      <alignment vertical="center"/>
    </xf>
    <xf numFmtId="4" fontId="3" fillId="1321" borderId="1165" xfId="0" applyNumberFormat="1" applyFont="1" applyFill="1" applyBorder="1" applyAlignment="1">
      <alignment vertical="center"/>
    </xf>
    <xf numFmtId="4" fontId="3" fillId="1322" borderId="1166" xfId="0" applyNumberFormat="1" applyFont="1" applyFill="1" applyBorder="1" applyAlignment="1">
      <alignment vertical="center"/>
    </xf>
    <xf numFmtId="0" fontId="3" fillId="1323" borderId="1167" xfId="0" applyFont="1" applyFill="1" applyBorder="1" applyAlignment="1">
      <alignment vertical="center"/>
    </xf>
    <xf numFmtId="0" fontId="3" fillId="1324" borderId="1168" xfId="0" applyFont="1" applyFill="1" applyBorder="1" applyAlignment="1">
      <alignment vertical="center"/>
    </xf>
    <xf numFmtId="0" fontId="3" fillId="1326" borderId="1169" xfId="0" applyFont="1" applyFill="1" applyBorder="1" applyAlignment="1">
      <alignment vertical="center"/>
    </xf>
    <xf numFmtId="0" fontId="3" fillId="1327" borderId="1170" xfId="0" applyFont="1" applyFill="1" applyBorder="1" applyAlignment="1">
      <alignment vertical="center"/>
    </xf>
    <xf numFmtId="0" fontId="3" fillId="1328" borderId="1171" xfId="0" applyFont="1" applyFill="1" applyBorder="1" applyAlignment="1">
      <alignment vertical="center"/>
    </xf>
    <xf numFmtId="4" fontId="3" fillId="1329" borderId="1172" xfId="0" applyNumberFormat="1" applyFont="1" applyFill="1" applyBorder="1" applyAlignment="1">
      <alignment vertical="center"/>
    </xf>
    <xf numFmtId="4" fontId="3" fillId="1330" borderId="1173" xfId="0" applyNumberFormat="1" applyFont="1" applyFill="1" applyBorder="1" applyAlignment="1">
      <alignment vertical="center"/>
    </xf>
    <xf numFmtId="4" fontId="3" fillId="1331" borderId="1174" xfId="0" applyNumberFormat="1" applyFont="1" applyFill="1" applyBorder="1" applyAlignment="1">
      <alignment vertical="center"/>
    </xf>
    <xf numFmtId="0" fontId="3" fillId="1332" borderId="1175" xfId="0" applyFont="1" applyFill="1" applyBorder="1" applyAlignment="1">
      <alignment vertical="center"/>
    </xf>
    <xf numFmtId="0" fontId="3" fillId="1333" borderId="1176" xfId="0" applyFont="1" applyFill="1" applyBorder="1" applyAlignment="1">
      <alignment vertical="center"/>
    </xf>
    <xf numFmtId="0" fontId="3" fillId="1335" borderId="1177" xfId="0" applyFont="1" applyFill="1" applyBorder="1" applyAlignment="1">
      <alignment vertical="center"/>
    </xf>
    <xf numFmtId="0" fontId="3" fillId="1336" borderId="1178" xfId="0" applyFont="1" applyFill="1" applyBorder="1" applyAlignment="1">
      <alignment vertical="center"/>
    </xf>
    <xf numFmtId="0" fontId="3" fillId="1337" borderId="1179" xfId="0" applyFont="1" applyFill="1" applyBorder="1" applyAlignment="1">
      <alignment vertical="center"/>
    </xf>
    <xf numFmtId="4" fontId="3" fillId="1338" borderId="1180" xfId="0" applyNumberFormat="1" applyFont="1" applyFill="1" applyBorder="1" applyAlignment="1">
      <alignment vertical="center"/>
    </xf>
    <xf numFmtId="4" fontId="3" fillId="1339" borderId="1181" xfId="0" applyNumberFormat="1" applyFont="1" applyFill="1" applyBorder="1" applyAlignment="1">
      <alignment vertical="center"/>
    </xf>
    <xf numFmtId="4" fontId="3" fillId="1340" borderId="1182" xfId="0" applyNumberFormat="1" applyFont="1" applyFill="1" applyBorder="1" applyAlignment="1">
      <alignment vertical="center"/>
    </xf>
    <xf numFmtId="0" fontId="3" fillId="1341" borderId="1183" xfId="0" applyFont="1" applyFill="1" applyBorder="1" applyAlignment="1">
      <alignment vertical="center"/>
    </xf>
    <xf numFmtId="0" fontId="3" fillId="1342" borderId="1184" xfId="0" applyFont="1" applyFill="1" applyBorder="1" applyAlignment="1">
      <alignment vertical="center"/>
    </xf>
    <xf numFmtId="0" fontId="3" fillId="1344" borderId="1185" xfId="0" applyFont="1" applyFill="1" applyBorder="1" applyAlignment="1">
      <alignment vertical="center"/>
    </xf>
    <xf numFmtId="0" fontId="3" fillId="1345" borderId="1186" xfId="0" applyFont="1" applyFill="1" applyBorder="1" applyAlignment="1">
      <alignment vertical="center"/>
    </xf>
    <xf numFmtId="0" fontId="3" fillId="1346" borderId="1187" xfId="0" applyFont="1" applyFill="1" applyBorder="1" applyAlignment="1">
      <alignment vertical="center"/>
    </xf>
    <xf numFmtId="4" fontId="3" fillId="1347" borderId="1188" xfId="0" applyNumberFormat="1" applyFont="1" applyFill="1" applyBorder="1" applyAlignment="1">
      <alignment vertical="center"/>
    </xf>
    <xf numFmtId="4" fontId="3" fillId="1348" borderId="1189" xfId="0" applyNumberFormat="1" applyFont="1" applyFill="1" applyBorder="1" applyAlignment="1">
      <alignment vertical="center"/>
    </xf>
    <xf numFmtId="4" fontId="3" fillId="1349" borderId="1190" xfId="0" applyNumberFormat="1" applyFont="1" applyFill="1" applyBorder="1" applyAlignment="1">
      <alignment vertical="center"/>
    </xf>
    <xf numFmtId="0" fontId="3" fillId="1350" borderId="1191" xfId="0" applyFont="1" applyFill="1" applyBorder="1" applyAlignment="1">
      <alignment vertical="center"/>
    </xf>
    <xf numFmtId="0" fontId="3" fillId="1351" borderId="1192" xfId="0" applyFont="1" applyFill="1" applyBorder="1" applyAlignment="1">
      <alignment vertical="center"/>
    </xf>
    <xf numFmtId="0" fontId="3" fillId="1353" borderId="1193" xfId="0" applyFont="1" applyFill="1" applyBorder="1" applyAlignment="1">
      <alignment vertical="center"/>
    </xf>
    <xf numFmtId="0" fontId="3" fillId="1354" borderId="1194" xfId="0" applyFont="1" applyFill="1" applyBorder="1" applyAlignment="1">
      <alignment vertical="center"/>
    </xf>
    <xf numFmtId="0" fontId="3" fillId="1355" borderId="1195" xfId="0" applyFont="1" applyFill="1" applyBorder="1" applyAlignment="1">
      <alignment vertical="center"/>
    </xf>
    <xf numFmtId="4" fontId="3" fillId="1356" borderId="1196" xfId="0" applyNumberFormat="1" applyFont="1" applyFill="1" applyBorder="1" applyAlignment="1">
      <alignment vertical="center"/>
    </xf>
    <xf numFmtId="4" fontId="3" fillId="1357" borderId="1197" xfId="0" applyNumberFormat="1" applyFont="1" applyFill="1" applyBorder="1" applyAlignment="1">
      <alignment vertical="center"/>
    </xf>
    <xf numFmtId="4" fontId="3" fillId="1358" borderId="1198" xfId="0" applyNumberFormat="1" applyFont="1" applyFill="1" applyBorder="1" applyAlignment="1">
      <alignment vertical="center"/>
    </xf>
    <xf numFmtId="0" fontId="3" fillId="1359" borderId="1199" xfId="0" applyFont="1" applyFill="1" applyBorder="1" applyAlignment="1">
      <alignment vertical="center"/>
    </xf>
    <xf numFmtId="0" fontId="3" fillId="1360" borderId="1200" xfId="0" applyFont="1" applyFill="1" applyBorder="1" applyAlignment="1">
      <alignment vertical="center"/>
    </xf>
    <xf numFmtId="0" fontId="3" fillId="1362" borderId="1201" xfId="0" applyFont="1" applyFill="1" applyBorder="1" applyAlignment="1">
      <alignment vertical="center"/>
    </xf>
    <xf numFmtId="0" fontId="3" fillId="1363" borderId="1202" xfId="0" applyFont="1" applyFill="1" applyBorder="1" applyAlignment="1">
      <alignment vertical="center"/>
    </xf>
    <xf numFmtId="0" fontId="3" fillId="1364" borderId="1203" xfId="0" applyFont="1" applyFill="1" applyBorder="1" applyAlignment="1">
      <alignment vertical="center"/>
    </xf>
    <xf numFmtId="4" fontId="3" fillId="1365" borderId="1204" xfId="0" applyNumberFormat="1" applyFont="1" applyFill="1" applyBorder="1" applyAlignment="1">
      <alignment vertical="center"/>
    </xf>
    <xf numFmtId="4" fontId="3" fillId="1366" borderId="1205" xfId="0" applyNumberFormat="1" applyFont="1" applyFill="1" applyBorder="1" applyAlignment="1">
      <alignment vertical="center"/>
    </xf>
    <xf numFmtId="4" fontId="3" fillId="1367" borderId="1206" xfId="0" applyNumberFormat="1" applyFont="1" applyFill="1" applyBorder="1" applyAlignment="1">
      <alignment vertical="center"/>
    </xf>
    <xf numFmtId="0" fontId="3" fillId="1368" borderId="1207" xfId="0" applyFont="1" applyFill="1" applyBorder="1" applyAlignment="1">
      <alignment vertical="center"/>
    </xf>
    <xf numFmtId="0" fontId="3" fillId="1369" borderId="1208" xfId="0" applyFont="1" applyFill="1" applyBorder="1" applyAlignment="1">
      <alignment vertical="center"/>
    </xf>
    <xf numFmtId="0" fontId="3" fillId="1371" borderId="1209" xfId="0" applyFont="1" applyFill="1" applyBorder="1" applyAlignment="1">
      <alignment vertical="center"/>
    </xf>
    <xf numFmtId="0" fontId="3" fillId="1372" borderId="1210" xfId="0" applyFont="1" applyFill="1" applyBorder="1" applyAlignment="1">
      <alignment vertical="center"/>
    </xf>
    <xf numFmtId="0" fontId="3" fillId="1373" borderId="1211" xfId="0" applyFont="1" applyFill="1" applyBorder="1" applyAlignment="1">
      <alignment vertical="center"/>
    </xf>
    <xf numFmtId="4" fontId="3" fillId="1374" borderId="1212" xfId="0" applyNumberFormat="1" applyFont="1" applyFill="1" applyBorder="1" applyAlignment="1">
      <alignment vertical="center"/>
    </xf>
    <xf numFmtId="4" fontId="3" fillId="1375" borderId="1213" xfId="0" applyNumberFormat="1" applyFont="1" applyFill="1" applyBorder="1" applyAlignment="1">
      <alignment vertical="center"/>
    </xf>
    <xf numFmtId="4" fontId="3" fillId="1376" borderId="1214" xfId="0" applyNumberFormat="1" applyFont="1" applyFill="1" applyBorder="1" applyAlignment="1">
      <alignment vertical="center"/>
    </xf>
    <xf numFmtId="0" fontId="3" fillId="1377" borderId="1215" xfId="0" applyFont="1" applyFill="1" applyBorder="1" applyAlignment="1">
      <alignment vertical="center"/>
    </xf>
    <xf numFmtId="0" fontId="3" fillId="1378" borderId="1216" xfId="0" applyFont="1" applyFill="1" applyBorder="1" applyAlignment="1">
      <alignment vertical="center"/>
    </xf>
    <xf numFmtId="0" fontId="3" fillId="1380" borderId="1217" xfId="0" applyFont="1" applyFill="1" applyBorder="1" applyAlignment="1">
      <alignment vertical="center"/>
    </xf>
    <xf numFmtId="0" fontId="3" fillId="1381" borderId="1218" xfId="0" applyFont="1" applyFill="1" applyBorder="1" applyAlignment="1">
      <alignment vertical="center"/>
    </xf>
    <xf numFmtId="0" fontId="3" fillId="1382" borderId="1219" xfId="0" applyFont="1" applyFill="1" applyBorder="1" applyAlignment="1">
      <alignment vertical="center"/>
    </xf>
    <xf numFmtId="4" fontId="3" fillId="1383" borderId="1220" xfId="0" applyNumberFormat="1" applyFont="1" applyFill="1" applyBorder="1" applyAlignment="1">
      <alignment vertical="center"/>
    </xf>
    <xf numFmtId="4" fontId="3" fillId="1384" borderId="1221" xfId="0" applyNumberFormat="1" applyFont="1" applyFill="1" applyBorder="1" applyAlignment="1">
      <alignment vertical="center"/>
    </xf>
    <xf numFmtId="4" fontId="3" fillId="1385" borderId="1222" xfId="0" applyNumberFormat="1" applyFont="1" applyFill="1" applyBorder="1" applyAlignment="1">
      <alignment vertical="center"/>
    </xf>
    <xf numFmtId="0" fontId="3" fillId="1386" borderId="1223" xfId="0" applyFont="1" applyFill="1" applyBorder="1" applyAlignment="1">
      <alignment vertical="center"/>
    </xf>
    <xf numFmtId="0" fontId="3" fillId="1387" borderId="1224" xfId="0" applyFont="1" applyFill="1" applyBorder="1" applyAlignment="1">
      <alignment vertical="center"/>
    </xf>
    <xf numFmtId="0" fontId="3" fillId="1389" borderId="1225" xfId="0" applyFont="1" applyFill="1" applyBorder="1" applyAlignment="1">
      <alignment vertical="center"/>
    </xf>
    <xf numFmtId="0" fontId="3" fillId="1390" borderId="1226" xfId="0" applyFont="1" applyFill="1" applyBorder="1" applyAlignment="1">
      <alignment vertical="center"/>
    </xf>
    <xf numFmtId="0" fontId="3" fillId="1391" borderId="1227" xfId="0" applyFont="1" applyFill="1" applyBorder="1" applyAlignment="1">
      <alignment vertical="center"/>
    </xf>
    <xf numFmtId="4" fontId="3" fillId="1392" borderId="1228" xfId="0" applyNumberFormat="1" applyFont="1" applyFill="1" applyBorder="1" applyAlignment="1">
      <alignment vertical="center"/>
    </xf>
    <xf numFmtId="4" fontId="3" fillId="1393" borderId="1229" xfId="0" applyNumberFormat="1" applyFont="1" applyFill="1" applyBorder="1" applyAlignment="1">
      <alignment vertical="center"/>
    </xf>
    <xf numFmtId="4" fontId="3" fillId="1394" borderId="1230" xfId="0" applyNumberFormat="1" applyFont="1" applyFill="1" applyBorder="1" applyAlignment="1">
      <alignment vertical="center"/>
    </xf>
    <xf numFmtId="0" fontId="3" fillId="1395" borderId="1231" xfId="0" applyFont="1" applyFill="1" applyBorder="1" applyAlignment="1">
      <alignment vertical="center"/>
    </xf>
    <xf numFmtId="0" fontId="3" fillId="1396" borderId="1232" xfId="0" applyFont="1" applyFill="1" applyBorder="1" applyAlignment="1">
      <alignment vertical="center"/>
    </xf>
    <xf numFmtId="0" fontId="3" fillId="1398" borderId="1233" xfId="0" applyFont="1" applyFill="1" applyBorder="1" applyAlignment="1">
      <alignment vertical="center"/>
    </xf>
    <xf numFmtId="0" fontId="3" fillId="1399" borderId="1234" xfId="0" applyFont="1" applyFill="1" applyBorder="1" applyAlignment="1">
      <alignment vertical="center"/>
    </xf>
    <xf numFmtId="0" fontId="3" fillId="1400" borderId="1235" xfId="0" applyFont="1" applyFill="1" applyBorder="1" applyAlignment="1">
      <alignment vertical="center"/>
    </xf>
    <xf numFmtId="4" fontId="3" fillId="1401" borderId="1236" xfId="0" applyNumberFormat="1" applyFont="1" applyFill="1" applyBorder="1" applyAlignment="1">
      <alignment vertical="center"/>
    </xf>
    <xf numFmtId="4" fontId="3" fillId="1402" borderId="1237" xfId="0" applyNumberFormat="1" applyFont="1" applyFill="1" applyBorder="1" applyAlignment="1">
      <alignment vertical="center"/>
    </xf>
    <xf numFmtId="4" fontId="3" fillId="1403" borderId="1238" xfId="0" applyNumberFormat="1" applyFont="1" applyFill="1" applyBorder="1" applyAlignment="1">
      <alignment vertical="center"/>
    </xf>
    <xf numFmtId="0" fontId="3" fillId="1404" borderId="1239" xfId="0" applyFont="1" applyFill="1" applyBorder="1" applyAlignment="1">
      <alignment vertical="center"/>
    </xf>
    <xf numFmtId="0" fontId="3" fillId="1405" borderId="1240" xfId="0" applyFont="1" applyFill="1" applyBorder="1" applyAlignment="1">
      <alignment vertical="center"/>
    </xf>
    <xf numFmtId="0" fontId="3" fillId="1407" borderId="1241" xfId="0" applyFont="1" applyFill="1" applyBorder="1" applyAlignment="1">
      <alignment vertical="center"/>
    </xf>
    <xf numFmtId="0" fontId="3" fillId="1408" borderId="1242" xfId="0" applyFont="1" applyFill="1" applyBorder="1" applyAlignment="1">
      <alignment vertical="center"/>
    </xf>
    <xf numFmtId="0" fontId="3" fillId="1409" borderId="1243" xfId="0" applyFont="1" applyFill="1" applyBorder="1" applyAlignment="1">
      <alignment vertical="center"/>
    </xf>
    <xf numFmtId="4" fontId="3" fillId="1410" borderId="1244" xfId="0" applyNumberFormat="1" applyFont="1" applyFill="1" applyBorder="1" applyAlignment="1">
      <alignment vertical="center"/>
    </xf>
    <xf numFmtId="4" fontId="3" fillId="1411" borderId="1245" xfId="0" applyNumberFormat="1" applyFont="1" applyFill="1" applyBorder="1" applyAlignment="1">
      <alignment vertical="center"/>
    </xf>
    <xf numFmtId="4" fontId="3" fillId="1412" borderId="1246" xfId="0" applyNumberFormat="1" applyFont="1" applyFill="1" applyBorder="1" applyAlignment="1">
      <alignment vertical="center"/>
    </xf>
    <xf numFmtId="0" fontId="3" fillId="1413" borderId="1247" xfId="0" applyFont="1" applyFill="1" applyBorder="1" applyAlignment="1">
      <alignment vertical="center"/>
    </xf>
    <xf numFmtId="0" fontId="3" fillId="1414" borderId="1248" xfId="0" applyFont="1" applyFill="1" applyBorder="1" applyAlignment="1">
      <alignment vertical="center"/>
    </xf>
    <xf numFmtId="0" fontId="3" fillId="1416" borderId="1249" xfId="0" applyFont="1" applyFill="1" applyBorder="1" applyAlignment="1">
      <alignment vertical="center"/>
    </xf>
    <xf numFmtId="0" fontId="3" fillId="1417" borderId="1250" xfId="0" applyFont="1" applyFill="1" applyBorder="1" applyAlignment="1">
      <alignment vertical="center"/>
    </xf>
    <xf numFmtId="0" fontId="3" fillId="1418" borderId="1251" xfId="0" applyFont="1" applyFill="1" applyBorder="1" applyAlignment="1">
      <alignment vertical="center"/>
    </xf>
    <xf numFmtId="4" fontId="3" fillId="1419" borderId="1252" xfId="0" applyNumberFormat="1" applyFont="1" applyFill="1" applyBorder="1" applyAlignment="1">
      <alignment vertical="center"/>
    </xf>
    <xf numFmtId="4" fontId="3" fillId="1420" borderId="1253" xfId="0" applyNumberFormat="1" applyFont="1" applyFill="1" applyBorder="1" applyAlignment="1">
      <alignment vertical="center"/>
    </xf>
    <xf numFmtId="4" fontId="3" fillId="1421" borderId="1254" xfId="0" applyNumberFormat="1" applyFont="1" applyFill="1" applyBorder="1" applyAlignment="1">
      <alignment vertical="center"/>
    </xf>
    <xf numFmtId="0" fontId="3" fillId="1422" borderId="1255" xfId="0" applyFont="1" applyFill="1" applyBorder="1" applyAlignment="1">
      <alignment vertical="center"/>
    </xf>
    <xf numFmtId="0" fontId="3" fillId="1423" borderId="1256" xfId="0" applyFont="1" applyFill="1" applyBorder="1" applyAlignment="1">
      <alignment vertical="center"/>
    </xf>
    <xf numFmtId="0" fontId="3" fillId="1425" borderId="1257" xfId="0" applyFont="1" applyFill="1" applyBorder="1" applyAlignment="1">
      <alignment vertical="center"/>
    </xf>
    <xf numFmtId="0" fontId="3" fillId="1426" borderId="1258" xfId="0" applyFont="1" applyFill="1" applyBorder="1" applyAlignment="1">
      <alignment vertical="center"/>
    </xf>
    <xf numFmtId="0" fontId="3" fillId="1427" borderId="1259" xfId="0" applyFont="1" applyFill="1" applyBorder="1" applyAlignment="1">
      <alignment vertical="center"/>
    </xf>
    <xf numFmtId="4" fontId="3" fillId="1428" borderId="1260" xfId="0" applyNumberFormat="1" applyFont="1" applyFill="1" applyBorder="1" applyAlignment="1">
      <alignment vertical="center"/>
    </xf>
    <xf numFmtId="4" fontId="3" fillId="1429" borderId="1261" xfId="0" applyNumberFormat="1" applyFont="1" applyFill="1" applyBorder="1" applyAlignment="1">
      <alignment vertical="center"/>
    </xf>
    <xf numFmtId="4" fontId="3" fillId="1430" borderId="1262" xfId="0" applyNumberFormat="1" applyFont="1" applyFill="1" applyBorder="1" applyAlignment="1">
      <alignment vertical="center"/>
    </xf>
    <xf numFmtId="0" fontId="3" fillId="1431" borderId="1263" xfId="0" applyFont="1" applyFill="1" applyBorder="1" applyAlignment="1">
      <alignment vertical="center"/>
    </xf>
    <xf numFmtId="0" fontId="3" fillId="1432" borderId="1264" xfId="0" applyFont="1" applyFill="1" applyBorder="1" applyAlignment="1">
      <alignment vertical="center"/>
    </xf>
    <xf numFmtId="0" fontId="3" fillId="1434" borderId="1265" xfId="0" applyFont="1" applyFill="1" applyBorder="1" applyAlignment="1">
      <alignment vertical="center"/>
    </xf>
    <xf numFmtId="0" fontId="3" fillId="1435" borderId="1266" xfId="0" applyFont="1" applyFill="1" applyBorder="1" applyAlignment="1">
      <alignment vertical="center"/>
    </xf>
    <xf numFmtId="0" fontId="3" fillId="1436" borderId="1267" xfId="0" applyFont="1" applyFill="1" applyBorder="1" applyAlignment="1">
      <alignment vertical="center"/>
    </xf>
    <xf numFmtId="4" fontId="3" fillId="1437" borderId="1268" xfId="0" applyNumberFormat="1" applyFont="1" applyFill="1" applyBorder="1" applyAlignment="1">
      <alignment vertical="center"/>
    </xf>
    <xf numFmtId="4" fontId="3" fillId="1438" borderId="1269" xfId="0" applyNumberFormat="1" applyFont="1" applyFill="1" applyBorder="1" applyAlignment="1">
      <alignment vertical="center"/>
    </xf>
    <xf numFmtId="4" fontId="3" fillId="1439" borderId="1270" xfId="0" applyNumberFormat="1" applyFont="1" applyFill="1" applyBorder="1" applyAlignment="1">
      <alignment vertical="center"/>
    </xf>
    <xf numFmtId="0" fontId="3" fillId="1440" borderId="1271" xfId="0" applyFont="1" applyFill="1" applyBorder="1" applyAlignment="1">
      <alignment vertical="center"/>
    </xf>
    <xf numFmtId="0" fontId="3" fillId="1441" borderId="1272" xfId="0" applyFont="1" applyFill="1" applyBorder="1" applyAlignment="1">
      <alignment vertical="center"/>
    </xf>
    <xf numFmtId="0" fontId="3" fillId="1443" borderId="1273" xfId="0" applyFont="1" applyFill="1" applyBorder="1" applyAlignment="1">
      <alignment vertical="center"/>
    </xf>
    <xf numFmtId="0" fontId="3" fillId="1444" borderId="1274" xfId="0" applyFont="1" applyFill="1" applyBorder="1" applyAlignment="1">
      <alignment vertical="center"/>
    </xf>
    <xf numFmtId="0" fontId="3" fillId="1445" borderId="1275" xfId="0" applyFont="1" applyFill="1" applyBorder="1" applyAlignment="1">
      <alignment vertical="center"/>
    </xf>
    <xf numFmtId="4" fontId="3" fillId="1446" borderId="1276" xfId="0" applyNumberFormat="1" applyFont="1" applyFill="1" applyBorder="1" applyAlignment="1">
      <alignment vertical="center"/>
    </xf>
    <xf numFmtId="4" fontId="3" fillId="1447" borderId="1277" xfId="0" applyNumberFormat="1" applyFont="1" applyFill="1" applyBorder="1" applyAlignment="1">
      <alignment vertical="center"/>
    </xf>
    <xf numFmtId="4" fontId="3" fillId="1448" borderId="1278" xfId="0" applyNumberFormat="1" applyFont="1" applyFill="1" applyBorder="1" applyAlignment="1">
      <alignment vertical="center"/>
    </xf>
    <xf numFmtId="0" fontId="3" fillId="1449" borderId="1279" xfId="0" applyFont="1" applyFill="1" applyBorder="1" applyAlignment="1">
      <alignment vertical="center"/>
    </xf>
    <xf numFmtId="0" fontId="3" fillId="1450" borderId="1280" xfId="0" applyFont="1" applyFill="1" applyBorder="1" applyAlignment="1">
      <alignment vertical="center"/>
    </xf>
    <xf numFmtId="0" fontId="3" fillId="1452" borderId="1281" xfId="0" applyFont="1" applyFill="1" applyBorder="1" applyAlignment="1">
      <alignment vertical="center"/>
    </xf>
    <xf numFmtId="0" fontId="3" fillId="1453" borderId="1282" xfId="0" applyFont="1" applyFill="1" applyBorder="1" applyAlignment="1">
      <alignment vertical="center"/>
    </xf>
    <xf numFmtId="0" fontId="3" fillId="1454" borderId="1283" xfId="0" applyFont="1" applyFill="1" applyBorder="1" applyAlignment="1">
      <alignment vertical="center"/>
    </xf>
    <xf numFmtId="4" fontId="3" fillId="1455" borderId="1284" xfId="0" applyNumberFormat="1" applyFont="1" applyFill="1" applyBorder="1" applyAlignment="1">
      <alignment vertical="center"/>
    </xf>
    <xf numFmtId="4" fontId="3" fillId="1456" borderId="1285" xfId="0" applyNumberFormat="1" applyFont="1" applyFill="1" applyBorder="1" applyAlignment="1">
      <alignment vertical="center"/>
    </xf>
    <xf numFmtId="4" fontId="3" fillId="1457" borderId="1286" xfId="0" applyNumberFormat="1" applyFont="1" applyFill="1" applyBorder="1" applyAlignment="1">
      <alignment vertical="center"/>
    </xf>
    <xf numFmtId="0" fontId="3" fillId="1458" borderId="1287" xfId="0" applyFont="1" applyFill="1" applyBorder="1" applyAlignment="1">
      <alignment vertical="center"/>
    </xf>
    <xf numFmtId="0" fontId="3" fillId="1459" borderId="1288" xfId="0" applyFont="1" applyFill="1" applyBorder="1" applyAlignment="1">
      <alignment vertical="center"/>
    </xf>
    <xf numFmtId="0" fontId="3" fillId="1461" borderId="1289" xfId="0" applyFont="1" applyFill="1" applyBorder="1" applyAlignment="1">
      <alignment vertical="center"/>
    </xf>
    <xf numFmtId="0" fontId="3" fillId="1462" borderId="1290" xfId="0" applyFont="1" applyFill="1" applyBorder="1" applyAlignment="1">
      <alignment vertical="center"/>
    </xf>
    <xf numFmtId="0" fontId="3" fillId="1463" borderId="1291" xfId="0" applyFont="1" applyFill="1" applyBorder="1" applyAlignment="1">
      <alignment vertical="center"/>
    </xf>
    <xf numFmtId="4" fontId="3" fillId="1464" borderId="1292" xfId="0" applyNumberFormat="1" applyFont="1" applyFill="1" applyBorder="1" applyAlignment="1">
      <alignment vertical="center"/>
    </xf>
    <xf numFmtId="4" fontId="3" fillId="1465" borderId="1293" xfId="0" applyNumberFormat="1" applyFont="1" applyFill="1" applyBorder="1" applyAlignment="1">
      <alignment vertical="center"/>
    </xf>
    <xf numFmtId="4" fontId="3" fillId="1466" borderId="1294" xfId="0" applyNumberFormat="1" applyFont="1" applyFill="1" applyBorder="1" applyAlignment="1">
      <alignment vertical="center"/>
    </xf>
    <xf numFmtId="0" fontId="3" fillId="1467" borderId="1295" xfId="0" applyFont="1" applyFill="1" applyBorder="1" applyAlignment="1">
      <alignment vertical="center"/>
    </xf>
    <xf numFmtId="0" fontId="3" fillId="1468" borderId="1296" xfId="0" applyFont="1" applyFill="1" applyBorder="1" applyAlignment="1">
      <alignment vertical="center"/>
    </xf>
    <xf numFmtId="0" fontId="3" fillId="1470" borderId="1297" xfId="0" applyFont="1" applyFill="1" applyBorder="1" applyAlignment="1">
      <alignment vertical="center"/>
    </xf>
    <xf numFmtId="0" fontId="3" fillId="1471" borderId="1298" xfId="0" applyFont="1" applyFill="1" applyBorder="1" applyAlignment="1">
      <alignment vertical="center"/>
    </xf>
    <xf numFmtId="0" fontId="3" fillId="1472" borderId="1299" xfId="0" applyFont="1" applyFill="1" applyBorder="1" applyAlignment="1">
      <alignment vertical="center"/>
    </xf>
    <xf numFmtId="4" fontId="3" fillId="1473" borderId="1300" xfId="0" applyNumberFormat="1" applyFont="1" applyFill="1" applyBorder="1" applyAlignment="1">
      <alignment vertical="center"/>
    </xf>
    <xf numFmtId="4" fontId="3" fillId="1474" borderId="1301" xfId="0" applyNumberFormat="1" applyFont="1" applyFill="1" applyBorder="1" applyAlignment="1">
      <alignment vertical="center"/>
    </xf>
    <xf numFmtId="4" fontId="3" fillId="1475" borderId="1302" xfId="0" applyNumberFormat="1" applyFont="1" applyFill="1" applyBorder="1" applyAlignment="1">
      <alignment vertical="center"/>
    </xf>
    <xf numFmtId="0" fontId="3" fillId="1476" borderId="1303" xfId="0" applyFont="1" applyFill="1" applyBorder="1" applyAlignment="1">
      <alignment vertical="center"/>
    </xf>
    <xf numFmtId="0" fontId="3" fillId="1477" borderId="1304" xfId="0" applyFont="1" applyFill="1" applyBorder="1" applyAlignment="1">
      <alignment vertical="center"/>
    </xf>
    <xf numFmtId="0" fontId="3" fillId="1479" borderId="1305" xfId="0" applyFont="1" applyFill="1" applyBorder="1" applyAlignment="1">
      <alignment vertical="center"/>
    </xf>
    <xf numFmtId="0" fontId="3" fillId="1480" borderId="1306" xfId="0" applyFont="1" applyFill="1" applyBorder="1" applyAlignment="1">
      <alignment vertical="center"/>
    </xf>
    <xf numFmtId="0" fontId="3" fillId="1481" borderId="1307" xfId="0" applyFont="1" applyFill="1" applyBorder="1" applyAlignment="1">
      <alignment vertical="center"/>
    </xf>
    <xf numFmtId="4" fontId="3" fillId="1482" borderId="1308" xfId="0" applyNumberFormat="1" applyFont="1" applyFill="1" applyBorder="1" applyAlignment="1">
      <alignment vertical="center"/>
    </xf>
    <xf numFmtId="4" fontId="3" fillId="1483" borderId="1309" xfId="0" applyNumberFormat="1" applyFont="1" applyFill="1" applyBorder="1" applyAlignment="1">
      <alignment vertical="center"/>
    </xf>
    <xf numFmtId="4" fontId="3" fillId="1484" borderId="1310" xfId="0" applyNumberFormat="1" applyFont="1" applyFill="1" applyBorder="1" applyAlignment="1">
      <alignment vertical="center"/>
    </xf>
    <xf numFmtId="0" fontId="3" fillId="1485" borderId="1311" xfId="0" applyFont="1" applyFill="1" applyBorder="1" applyAlignment="1">
      <alignment vertical="center"/>
    </xf>
    <xf numFmtId="0" fontId="3" fillId="1486" borderId="1312" xfId="0" applyFont="1" applyFill="1" applyBorder="1" applyAlignment="1">
      <alignment vertical="center"/>
    </xf>
    <xf numFmtId="0" fontId="3" fillId="1488" borderId="1313" xfId="0" applyFont="1" applyFill="1" applyBorder="1" applyAlignment="1">
      <alignment vertical="center"/>
    </xf>
    <xf numFmtId="0" fontId="3" fillId="1489" borderId="1314" xfId="0" applyFont="1" applyFill="1" applyBorder="1" applyAlignment="1">
      <alignment vertical="center"/>
    </xf>
    <xf numFmtId="0" fontId="3" fillId="1490" borderId="1315" xfId="0" applyFont="1" applyFill="1" applyBorder="1" applyAlignment="1">
      <alignment vertical="center"/>
    </xf>
    <xf numFmtId="4" fontId="3" fillId="1491" borderId="1316" xfId="0" applyNumberFormat="1" applyFont="1" applyFill="1" applyBorder="1" applyAlignment="1">
      <alignment vertical="center"/>
    </xf>
    <xf numFmtId="4" fontId="3" fillId="1492" borderId="1317" xfId="0" applyNumberFormat="1" applyFont="1" applyFill="1" applyBorder="1" applyAlignment="1">
      <alignment vertical="center"/>
    </xf>
    <xf numFmtId="4" fontId="3" fillId="1493" borderId="1318" xfId="0" applyNumberFormat="1" applyFont="1" applyFill="1" applyBorder="1" applyAlignment="1">
      <alignment vertical="center"/>
    </xf>
    <xf numFmtId="0" fontId="3" fillId="1494" borderId="1319" xfId="0" applyFont="1" applyFill="1" applyBorder="1" applyAlignment="1">
      <alignment vertical="center"/>
    </xf>
    <xf numFmtId="0" fontId="3" fillId="1495" borderId="1320" xfId="0" applyFont="1" applyFill="1" applyBorder="1" applyAlignment="1">
      <alignment vertical="center"/>
    </xf>
    <xf numFmtId="0" fontId="3" fillId="1497" borderId="1321" xfId="0" applyFont="1" applyFill="1" applyBorder="1" applyAlignment="1">
      <alignment vertical="center"/>
    </xf>
    <xf numFmtId="0" fontId="3" fillId="1498" borderId="1322" xfId="0" applyFont="1" applyFill="1" applyBorder="1" applyAlignment="1">
      <alignment vertical="center"/>
    </xf>
    <xf numFmtId="0" fontId="3" fillId="1499" borderId="1323" xfId="0" applyFont="1" applyFill="1" applyBorder="1" applyAlignment="1">
      <alignment vertical="center"/>
    </xf>
    <xf numFmtId="4" fontId="3" fillId="1500" borderId="1324" xfId="0" applyNumberFormat="1" applyFont="1" applyFill="1" applyBorder="1" applyAlignment="1">
      <alignment vertical="center"/>
    </xf>
    <xf numFmtId="4" fontId="3" fillId="1501" borderId="1325" xfId="0" applyNumberFormat="1" applyFont="1" applyFill="1" applyBorder="1" applyAlignment="1">
      <alignment vertical="center"/>
    </xf>
    <xf numFmtId="4" fontId="3" fillId="1502" borderId="1326" xfId="0" applyNumberFormat="1" applyFont="1" applyFill="1" applyBorder="1" applyAlignment="1">
      <alignment vertical="center"/>
    </xf>
    <xf numFmtId="0" fontId="3" fillId="1503" borderId="1327" xfId="0" applyFont="1" applyFill="1" applyBorder="1" applyAlignment="1">
      <alignment vertical="center"/>
    </xf>
    <xf numFmtId="0" fontId="3" fillId="1504" borderId="1328" xfId="0" applyFont="1" applyFill="1" applyBorder="1" applyAlignment="1">
      <alignment vertical="center"/>
    </xf>
    <xf numFmtId="0" fontId="3" fillId="1506" borderId="1329" xfId="0" applyFont="1" applyFill="1" applyBorder="1" applyAlignment="1">
      <alignment vertical="center"/>
    </xf>
    <xf numFmtId="0" fontId="3" fillId="1507" borderId="1330" xfId="0" applyFont="1" applyFill="1" applyBorder="1" applyAlignment="1">
      <alignment vertical="center"/>
    </xf>
    <xf numFmtId="0" fontId="3" fillId="1508" borderId="1331" xfId="0" applyFont="1" applyFill="1" applyBorder="1" applyAlignment="1">
      <alignment vertical="center"/>
    </xf>
    <xf numFmtId="4" fontId="3" fillId="1509" borderId="1332" xfId="0" applyNumberFormat="1" applyFont="1" applyFill="1" applyBorder="1" applyAlignment="1">
      <alignment vertical="center"/>
    </xf>
    <xf numFmtId="4" fontId="3" fillId="1510" borderId="1333" xfId="0" applyNumberFormat="1" applyFont="1" applyFill="1" applyBorder="1" applyAlignment="1">
      <alignment vertical="center"/>
    </xf>
    <xf numFmtId="4" fontId="3" fillId="1511" borderId="1334" xfId="0" applyNumberFormat="1" applyFont="1" applyFill="1" applyBorder="1" applyAlignment="1">
      <alignment vertical="center"/>
    </xf>
    <xf numFmtId="0" fontId="3" fillId="1512" borderId="1335" xfId="0" applyFont="1" applyFill="1" applyBorder="1" applyAlignment="1">
      <alignment vertical="center"/>
    </xf>
    <xf numFmtId="0" fontId="3" fillId="1513" borderId="1336" xfId="0" applyFont="1" applyFill="1" applyBorder="1" applyAlignment="1">
      <alignment vertical="center"/>
    </xf>
    <xf numFmtId="0" fontId="3" fillId="1515" borderId="1337" xfId="0" applyFont="1" applyFill="1" applyBorder="1" applyAlignment="1">
      <alignment vertical="center"/>
    </xf>
    <xf numFmtId="0" fontId="3" fillId="1516" borderId="1338" xfId="0" applyFont="1" applyFill="1" applyBorder="1" applyAlignment="1">
      <alignment vertical="center"/>
    </xf>
    <xf numFmtId="0" fontId="3" fillId="1517" borderId="1339" xfId="0" applyFont="1" applyFill="1" applyBorder="1" applyAlignment="1">
      <alignment vertical="center"/>
    </xf>
    <xf numFmtId="4" fontId="3" fillId="1518" borderId="1340" xfId="0" applyNumberFormat="1" applyFont="1" applyFill="1" applyBorder="1" applyAlignment="1">
      <alignment vertical="center"/>
    </xf>
    <xf numFmtId="4" fontId="3" fillId="1519" borderId="1341" xfId="0" applyNumberFormat="1" applyFont="1" applyFill="1" applyBorder="1" applyAlignment="1">
      <alignment vertical="center"/>
    </xf>
    <xf numFmtId="4" fontId="3" fillId="1520" borderId="1342" xfId="0" applyNumberFormat="1" applyFont="1" applyFill="1" applyBorder="1" applyAlignment="1">
      <alignment vertical="center"/>
    </xf>
    <xf numFmtId="0" fontId="3" fillId="1521" borderId="1343" xfId="0" applyFont="1" applyFill="1" applyBorder="1" applyAlignment="1">
      <alignment vertical="center"/>
    </xf>
    <xf numFmtId="0" fontId="3" fillId="1522" borderId="1344" xfId="0" applyFont="1" applyFill="1" applyBorder="1" applyAlignment="1">
      <alignment vertical="center"/>
    </xf>
    <xf numFmtId="0" fontId="3" fillId="1524" borderId="1345" xfId="0" applyFont="1" applyFill="1" applyBorder="1" applyAlignment="1">
      <alignment vertical="center"/>
    </xf>
    <xf numFmtId="0" fontId="3" fillId="1525" borderId="1346" xfId="0" applyFont="1" applyFill="1" applyBorder="1" applyAlignment="1">
      <alignment vertical="center"/>
    </xf>
    <xf numFmtId="0" fontId="3" fillId="1526" borderId="1347" xfId="0" applyFont="1" applyFill="1" applyBorder="1" applyAlignment="1">
      <alignment vertical="center"/>
    </xf>
    <xf numFmtId="4" fontId="3" fillId="1527" borderId="1348" xfId="0" applyNumberFormat="1" applyFont="1" applyFill="1" applyBorder="1" applyAlignment="1">
      <alignment vertical="center"/>
    </xf>
    <xf numFmtId="4" fontId="3" fillId="1528" borderId="1349" xfId="0" applyNumberFormat="1" applyFont="1" applyFill="1" applyBorder="1" applyAlignment="1">
      <alignment vertical="center"/>
    </xf>
    <xf numFmtId="4" fontId="3" fillId="1529" borderId="1350" xfId="0" applyNumberFormat="1" applyFont="1" applyFill="1" applyBorder="1" applyAlignment="1">
      <alignment vertical="center"/>
    </xf>
    <xf numFmtId="0" fontId="3" fillId="1530" borderId="1351" xfId="0" applyFont="1" applyFill="1" applyBorder="1" applyAlignment="1">
      <alignment vertical="center"/>
    </xf>
    <xf numFmtId="0" fontId="3" fillId="1531" borderId="1352" xfId="0" applyFont="1" applyFill="1" applyBorder="1" applyAlignment="1">
      <alignment vertical="center"/>
    </xf>
    <xf numFmtId="0" fontId="3" fillId="1533" borderId="1353" xfId="0" applyFont="1" applyFill="1" applyBorder="1" applyAlignment="1">
      <alignment vertical="center"/>
    </xf>
    <xf numFmtId="0" fontId="3" fillId="1534" borderId="1354" xfId="0" applyFont="1" applyFill="1" applyBorder="1" applyAlignment="1">
      <alignment vertical="center"/>
    </xf>
    <xf numFmtId="0" fontId="3" fillId="1535" borderId="1355" xfId="0" applyFont="1" applyFill="1" applyBorder="1" applyAlignment="1">
      <alignment vertical="center"/>
    </xf>
    <xf numFmtId="4" fontId="3" fillId="1536" borderId="1356" xfId="0" applyNumberFormat="1" applyFont="1" applyFill="1" applyBorder="1" applyAlignment="1">
      <alignment vertical="center"/>
    </xf>
    <xf numFmtId="4" fontId="3" fillId="1537" borderId="1357" xfId="0" applyNumberFormat="1" applyFont="1" applyFill="1" applyBorder="1" applyAlignment="1">
      <alignment vertical="center"/>
    </xf>
    <xf numFmtId="4" fontId="3" fillId="1538" borderId="1358" xfId="0" applyNumberFormat="1" applyFont="1" applyFill="1" applyBorder="1" applyAlignment="1">
      <alignment vertical="center"/>
    </xf>
    <xf numFmtId="0" fontId="3" fillId="1539" borderId="1359" xfId="0" applyFont="1" applyFill="1" applyBorder="1" applyAlignment="1">
      <alignment vertical="center"/>
    </xf>
    <xf numFmtId="0" fontId="3" fillId="1540" borderId="1360" xfId="0" applyFont="1" applyFill="1" applyBorder="1" applyAlignment="1">
      <alignment vertical="center"/>
    </xf>
    <xf numFmtId="0" fontId="3" fillId="1542" borderId="1361" xfId="0" applyFont="1" applyFill="1" applyBorder="1" applyAlignment="1">
      <alignment vertical="center"/>
    </xf>
    <xf numFmtId="0" fontId="3" fillId="1543" borderId="1362" xfId="0" applyFont="1" applyFill="1" applyBorder="1" applyAlignment="1">
      <alignment vertical="center"/>
    </xf>
    <xf numFmtId="0" fontId="3" fillId="1544" borderId="1363" xfId="0" applyFont="1" applyFill="1" applyBorder="1" applyAlignment="1">
      <alignment vertical="center"/>
    </xf>
    <xf numFmtId="4" fontId="3" fillId="1545" borderId="1364" xfId="0" applyNumberFormat="1" applyFont="1" applyFill="1" applyBorder="1" applyAlignment="1">
      <alignment vertical="center"/>
    </xf>
    <xf numFmtId="4" fontId="3" fillId="1546" borderId="1365" xfId="0" applyNumberFormat="1" applyFont="1" applyFill="1" applyBorder="1" applyAlignment="1">
      <alignment vertical="center"/>
    </xf>
    <xf numFmtId="4" fontId="3" fillId="1547" borderId="1366" xfId="0" applyNumberFormat="1" applyFont="1" applyFill="1" applyBorder="1" applyAlignment="1">
      <alignment vertical="center"/>
    </xf>
    <xf numFmtId="0" fontId="3" fillId="1548" borderId="1367" xfId="0" applyFont="1" applyFill="1" applyBorder="1" applyAlignment="1">
      <alignment vertical="center"/>
    </xf>
    <xf numFmtId="0" fontId="3" fillId="1549" borderId="1368" xfId="0" applyFont="1" applyFill="1" applyBorder="1" applyAlignment="1">
      <alignment vertical="center"/>
    </xf>
    <xf numFmtId="0" fontId="3" fillId="1551" borderId="1369" xfId="0" applyFont="1" applyFill="1" applyBorder="1" applyAlignment="1">
      <alignment vertical="center"/>
    </xf>
    <xf numFmtId="0" fontId="3" fillId="1552" borderId="1370" xfId="0" applyFont="1" applyFill="1" applyBorder="1" applyAlignment="1">
      <alignment vertical="center"/>
    </xf>
    <xf numFmtId="0" fontId="3" fillId="1553" borderId="1371" xfId="0" applyFont="1" applyFill="1" applyBorder="1" applyAlignment="1">
      <alignment vertical="center"/>
    </xf>
    <xf numFmtId="4" fontId="3" fillId="1554" borderId="1372" xfId="0" applyNumberFormat="1" applyFont="1" applyFill="1" applyBorder="1" applyAlignment="1">
      <alignment vertical="center"/>
    </xf>
    <xf numFmtId="4" fontId="3" fillId="1555" borderId="1373" xfId="0" applyNumberFormat="1" applyFont="1" applyFill="1" applyBorder="1" applyAlignment="1">
      <alignment vertical="center"/>
    </xf>
    <xf numFmtId="4" fontId="3" fillId="1556" borderId="1374" xfId="0" applyNumberFormat="1" applyFont="1" applyFill="1" applyBorder="1" applyAlignment="1">
      <alignment vertical="center"/>
    </xf>
    <xf numFmtId="0" fontId="3" fillId="1557" borderId="1375" xfId="0" applyFont="1" applyFill="1" applyBorder="1" applyAlignment="1">
      <alignment vertical="center"/>
    </xf>
    <xf numFmtId="0" fontId="3" fillId="1558" borderId="1376" xfId="0" applyFont="1" applyFill="1" applyBorder="1" applyAlignment="1">
      <alignment vertical="center"/>
    </xf>
    <xf numFmtId="0" fontId="3" fillId="1560" borderId="1377" xfId="0" applyFont="1" applyFill="1" applyBorder="1" applyAlignment="1">
      <alignment vertical="center"/>
    </xf>
    <xf numFmtId="0" fontId="3" fillId="1561" borderId="1378" xfId="0" applyFont="1" applyFill="1" applyBorder="1" applyAlignment="1">
      <alignment vertical="center"/>
    </xf>
    <xf numFmtId="0" fontId="3" fillId="1562" borderId="1379" xfId="0" applyFont="1" applyFill="1" applyBorder="1" applyAlignment="1">
      <alignment vertical="center"/>
    </xf>
    <xf numFmtId="4" fontId="3" fillId="1563" borderId="1380" xfId="0" applyNumberFormat="1" applyFont="1" applyFill="1" applyBorder="1" applyAlignment="1">
      <alignment vertical="center"/>
    </xf>
    <xf numFmtId="4" fontId="3" fillId="1564" borderId="1381" xfId="0" applyNumberFormat="1" applyFont="1" applyFill="1" applyBorder="1" applyAlignment="1">
      <alignment vertical="center"/>
    </xf>
    <xf numFmtId="4" fontId="3" fillId="1565" borderId="1382" xfId="0" applyNumberFormat="1" applyFont="1" applyFill="1" applyBorder="1" applyAlignment="1">
      <alignment vertical="center"/>
    </xf>
    <xf numFmtId="0" fontId="3" fillId="1566" borderId="1383" xfId="0" applyFont="1" applyFill="1" applyBorder="1" applyAlignment="1">
      <alignment vertical="center"/>
    </xf>
    <xf numFmtId="0" fontId="3" fillId="1567" borderId="1384" xfId="0" applyFont="1" applyFill="1" applyBorder="1" applyAlignment="1">
      <alignment vertical="center"/>
    </xf>
    <xf numFmtId="0" fontId="3" fillId="1569" borderId="1385" xfId="0" applyFont="1" applyFill="1" applyBorder="1" applyAlignment="1">
      <alignment vertical="center"/>
    </xf>
    <xf numFmtId="0" fontId="3" fillId="1570" borderId="1386" xfId="0" applyFont="1" applyFill="1" applyBorder="1" applyAlignment="1">
      <alignment vertical="center"/>
    </xf>
    <xf numFmtId="0" fontId="3" fillId="1571" borderId="1387" xfId="0" applyFont="1" applyFill="1" applyBorder="1" applyAlignment="1">
      <alignment vertical="center"/>
    </xf>
    <xf numFmtId="4" fontId="3" fillId="1572" borderId="1388" xfId="0" applyNumberFormat="1" applyFont="1" applyFill="1" applyBorder="1" applyAlignment="1">
      <alignment vertical="center"/>
    </xf>
    <xf numFmtId="4" fontId="3" fillId="1573" borderId="1389" xfId="0" applyNumberFormat="1" applyFont="1" applyFill="1" applyBorder="1" applyAlignment="1">
      <alignment vertical="center"/>
    </xf>
    <xf numFmtId="4" fontId="3" fillId="1574" borderId="1390" xfId="0" applyNumberFormat="1" applyFont="1" applyFill="1" applyBorder="1" applyAlignment="1">
      <alignment vertical="center"/>
    </xf>
    <xf numFmtId="0" fontId="3" fillId="1575" borderId="1391" xfId="0" applyFont="1" applyFill="1" applyBorder="1" applyAlignment="1">
      <alignment vertical="center"/>
    </xf>
    <xf numFmtId="0" fontId="3" fillId="1576" borderId="1392" xfId="0" applyFont="1" applyFill="1" applyBorder="1" applyAlignment="1">
      <alignment vertical="center"/>
    </xf>
    <xf numFmtId="0" fontId="3" fillId="1578" borderId="1393" xfId="0" applyFont="1" applyFill="1" applyBorder="1" applyAlignment="1">
      <alignment vertical="center"/>
    </xf>
    <xf numFmtId="0" fontId="3" fillId="1579" borderId="1394" xfId="0" applyFont="1" applyFill="1" applyBorder="1" applyAlignment="1">
      <alignment vertical="center"/>
    </xf>
    <xf numFmtId="0" fontId="3" fillId="1580" borderId="1395" xfId="0" applyFont="1" applyFill="1" applyBorder="1" applyAlignment="1">
      <alignment vertical="center"/>
    </xf>
    <xf numFmtId="4" fontId="3" fillId="1581" borderId="1396" xfId="0" applyNumberFormat="1" applyFont="1" applyFill="1" applyBorder="1" applyAlignment="1">
      <alignment vertical="center"/>
    </xf>
    <xf numFmtId="4" fontId="3" fillId="1582" borderId="1397" xfId="0" applyNumberFormat="1" applyFont="1" applyFill="1" applyBorder="1" applyAlignment="1">
      <alignment vertical="center"/>
    </xf>
    <xf numFmtId="4" fontId="3" fillId="1583" borderId="1398" xfId="0" applyNumberFormat="1" applyFont="1" applyFill="1" applyBorder="1" applyAlignment="1">
      <alignment vertical="center"/>
    </xf>
    <xf numFmtId="0" fontId="3" fillId="1584" borderId="1399" xfId="0" applyFont="1" applyFill="1" applyBorder="1" applyAlignment="1">
      <alignment vertical="center"/>
    </xf>
    <xf numFmtId="0" fontId="3" fillId="1585" borderId="1400" xfId="0" applyFont="1" applyFill="1" applyBorder="1" applyAlignment="1">
      <alignment vertical="center"/>
    </xf>
    <xf numFmtId="0" fontId="3" fillId="1587" borderId="1401" xfId="0" applyFont="1" applyFill="1" applyBorder="1" applyAlignment="1">
      <alignment vertical="center"/>
    </xf>
    <xf numFmtId="0" fontId="3" fillId="1588" borderId="1402" xfId="0" applyFont="1" applyFill="1" applyBorder="1" applyAlignment="1">
      <alignment vertical="center"/>
    </xf>
    <xf numFmtId="0" fontId="3" fillId="1589" borderId="1403" xfId="0" applyFont="1" applyFill="1" applyBorder="1" applyAlignment="1">
      <alignment vertical="center"/>
    </xf>
    <xf numFmtId="4" fontId="3" fillId="1590" borderId="1404" xfId="0" applyNumberFormat="1" applyFont="1" applyFill="1" applyBorder="1" applyAlignment="1">
      <alignment vertical="center"/>
    </xf>
    <xf numFmtId="4" fontId="3" fillId="1591" borderId="1405" xfId="0" applyNumberFormat="1" applyFont="1" applyFill="1" applyBorder="1" applyAlignment="1">
      <alignment vertical="center"/>
    </xf>
    <xf numFmtId="4" fontId="3" fillId="1592" borderId="1406" xfId="0" applyNumberFormat="1" applyFont="1" applyFill="1" applyBorder="1" applyAlignment="1">
      <alignment vertical="center"/>
    </xf>
    <xf numFmtId="0" fontId="3" fillId="1593" borderId="1407" xfId="0" applyFont="1" applyFill="1" applyBorder="1" applyAlignment="1">
      <alignment vertical="center"/>
    </xf>
    <xf numFmtId="0" fontId="3" fillId="1594" borderId="1408" xfId="0" applyFont="1" applyFill="1" applyBorder="1" applyAlignment="1">
      <alignment vertical="center"/>
    </xf>
    <xf numFmtId="0" fontId="3" fillId="1596" borderId="1409" xfId="0" applyFont="1" applyFill="1" applyBorder="1" applyAlignment="1">
      <alignment vertical="center"/>
    </xf>
    <xf numFmtId="0" fontId="3" fillId="1597" borderId="1410" xfId="0" applyFont="1" applyFill="1" applyBorder="1" applyAlignment="1">
      <alignment vertical="center"/>
    </xf>
    <xf numFmtId="0" fontId="3" fillId="1598" borderId="1411" xfId="0" applyFont="1" applyFill="1" applyBorder="1" applyAlignment="1">
      <alignment vertical="center"/>
    </xf>
    <xf numFmtId="4" fontId="3" fillId="1599" borderId="1412" xfId="0" applyNumberFormat="1" applyFont="1" applyFill="1" applyBorder="1" applyAlignment="1">
      <alignment vertical="center"/>
    </xf>
    <xf numFmtId="4" fontId="3" fillId="1600" borderId="1413" xfId="0" applyNumberFormat="1" applyFont="1" applyFill="1" applyBorder="1" applyAlignment="1">
      <alignment vertical="center"/>
    </xf>
    <xf numFmtId="4" fontId="3" fillId="1601" borderId="1414" xfId="0" applyNumberFormat="1" applyFont="1" applyFill="1" applyBorder="1" applyAlignment="1">
      <alignment vertical="center"/>
    </xf>
    <xf numFmtId="0" fontId="3" fillId="1602" borderId="1415" xfId="0" applyFont="1" applyFill="1" applyBorder="1" applyAlignment="1">
      <alignment vertical="center"/>
    </xf>
    <xf numFmtId="0" fontId="3" fillId="1603" borderId="1416" xfId="0" applyFont="1" applyFill="1" applyBorder="1" applyAlignment="1">
      <alignment vertical="center"/>
    </xf>
    <xf numFmtId="0" fontId="3" fillId="1605" borderId="1417" xfId="0" applyFont="1" applyFill="1" applyBorder="1" applyAlignment="1">
      <alignment vertical="center"/>
    </xf>
    <xf numFmtId="0" fontId="3" fillId="1606" borderId="1418" xfId="0" applyFont="1" applyFill="1" applyBorder="1" applyAlignment="1">
      <alignment vertical="center"/>
    </xf>
    <xf numFmtId="0" fontId="3" fillId="1607" borderId="1419" xfId="0" applyFont="1" applyFill="1" applyBorder="1" applyAlignment="1">
      <alignment vertical="center"/>
    </xf>
    <xf numFmtId="4" fontId="3" fillId="1608" borderId="1420" xfId="0" applyNumberFormat="1" applyFont="1" applyFill="1" applyBorder="1" applyAlignment="1">
      <alignment vertical="center"/>
    </xf>
    <xf numFmtId="4" fontId="3" fillId="1609" borderId="1421" xfId="0" applyNumberFormat="1" applyFont="1" applyFill="1" applyBorder="1" applyAlignment="1">
      <alignment vertical="center"/>
    </xf>
    <xf numFmtId="4" fontId="3" fillId="1610" borderId="1422" xfId="0" applyNumberFormat="1" applyFont="1" applyFill="1" applyBorder="1" applyAlignment="1">
      <alignment vertical="center"/>
    </xf>
    <xf numFmtId="0" fontId="3" fillId="1611" borderId="1423" xfId="0" applyFont="1" applyFill="1" applyBorder="1" applyAlignment="1">
      <alignment vertical="center"/>
    </xf>
    <xf numFmtId="0" fontId="3" fillId="1612" borderId="1424" xfId="0" applyFont="1" applyFill="1" applyBorder="1" applyAlignment="1">
      <alignment vertical="center"/>
    </xf>
    <xf numFmtId="0" fontId="3" fillId="1614" borderId="1425" xfId="0" applyFont="1" applyFill="1" applyBorder="1" applyAlignment="1">
      <alignment vertical="center"/>
    </xf>
    <xf numFmtId="0" fontId="3" fillId="1615" borderId="1426" xfId="0" applyFont="1" applyFill="1" applyBorder="1" applyAlignment="1">
      <alignment vertical="center"/>
    </xf>
    <xf numFmtId="0" fontId="3" fillId="1616" borderId="1427" xfId="0" applyFont="1" applyFill="1" applyBorder="1" applyAlignment="1">
      <alignment vertical="center"/>
    </xf>
    <xf numFmtId="4" fontId="3" fillId="1617" borderId="1428" xfId="0" applyNumberFormat="1" applyFont="1" applyFill="1" applyBorder="1" applyAlignment="1">
      <alignment vertical="center"/>
    </xf>
    <xf numFmtId="4" fontId="3" fillId="1618" borderId="1429" xfId="0" applyNumberFormat="1" applyFont="1" applyFill="1" applyBorder="1" applyAlignment="1">
      <alignment vertical="center"/>
    </xf>
    <xf numFmtId="4" fontId="3" fillId="1619" borderId="1430" xfId="0" applyNumberFormat="1" applyFont="1" applyFill="1" applyBorder="1" applyAlignment="1">
      <alignment vertical="center"/>
    </xf>
    <xf numFmtId="0" fontId="3" fillId="1620" borderId="1431" xfId="0" applyFont="1" applyFill="1" applyBorder="1" applyAlignment="1">
      <alignment vertical="center"/>
    </xf>
    <xf numFmtId="0" fontId="3" fillId="1621" borderId="1432" xfId="0" applyFont="1" applyFill="1" applyBorder="1" applyAlignment="1">
      <alignment vertical="center"/>
    </xf>
    <xf numFmtId="0" fontId="3" fillId="1623" borderId="1433" xfId="0" applyFont="1" applyFill="1" applyBorder="1" applyAlignment="1">
      <alignment vertical="center"/>
    </xf>
    <xf numFmtId="0" fontId="3" fillId="1624" borderId="1434" xfId="0" applyFont="1" applyFill="1" applyBorder="1" applyAlignment="1">
      <alignment vertical="center"/>
    </xf>
    <xf numFmtId="0" fontId="3" fillId="1625" borderId="1435" xfId="0" applyFont="1" applyFill="1" applyBorder="1" applyAlignment="1">
      <alignment vertical="center"/>
    </xf>
    <xf numFmtId="4" fontId="3" fillId="1626" borderId="1436" xfId="0" applyNumberFormat="1" applyFont="1" applyFill="1" applyBorder="1" applyAlignment="1">
      <alignment vertical="center"/>
    </xf>
    <xf numFmtId="4" fontId="3" fillId="1627" borderId="1437" xfId="0" applyNumberFormat="1" applyFont="1" applyFill="1" applyBorder="1" applyAlignment="1">
      <alignment vertical="center"/>
    </xf>
    <xf numFmtId="4" fontId="3" fillId="1628" borderId="1438" xfId="0" applyNumberFormat="1" applyFont="1" applyFill="1" applyBorder="1" applyAlignment="1">
      <alignment vertical="center"/>
    </xf>
    <xf numFmtId="0" fontId="3" fillId="1629" borderId="1439" xfId="0" applyFont="1" applyFill="1" applyBorder="1" applyAlignment="1">
      <alignment vertical="center"/>
    </xf>
    <xf numFmtId="0" fontId="3" fillId="1630" borderId="1440" xfId="0" applyFont="1" applyFill="1" applyBorder="1" applyAlignment="1">
      <alignment vertical="center"/>
    </xf>
    <xf numFmtId="0" fontId="3" fillId="1632" borderId="1441" xfId="0" applyFont="1" applyFill="1" applyBorder="1" applyAlignment="1">
      <alignment vertical="center"/>
    </xf>
    <xf numFmtId="0" fontId="3" fillId="1633" borderId="1442" xfId="0" applyFont="1" applyFill="1" applyBorder="1" applyAlignment="1">
      <alignment vertical="center"/>
    </xf>
    <xf numFmtId="0" fontId="3" fillId="1634" borderId="1443" xfId="0" applyFont="1" applyFill="1" applyBorder="1" applyAlignment="1">
      <alignment vertical="center"/>
    </xf>
    <xf numFmtId="4" fontId="3" fillId="1635" borderId="1444" xfId="0" applyNumberFormat="1" applyFont="1" applyFill="1" applyBorder="1" applyAlignment="1">
      <alignment vertical="center"/>
    </xf>
    <xf numFmtId="4" fontId="3" fillId="1636" borderId="1445" xfId="0" applyNumberFormat="1" applyFont="1" applyFill="1" applyBorder="1" applyAlignment="1">
      <alignment vertical="center"/>
    </xf>
    <xf numFmtId="4" fontId="3" fillId="1637" borderId="1446" xfId="0" applyNumberFormat="1" applyFont="1" applyFill="1" applyBorder="1" applyAlignment="1">
      <alignment vertical="center"/>
    </xf>
    <xf numFmtId="0" fontId="3" fillId="1638" borderId="1447" xfId="0" applyFont="1" applyFill="1" applyBorder="1" applyAlignment="1">
      <alignment vertical="center"/>
    </xf>
    <xf numFmtId="0" fontId="3" fillId="1639" borderId="1448" xfId="0" applyFont="1" applyFill="1" applyBorder="1" applyAlignment="1">
      <alignment vertical="center"/>
    </xf>
    <xf numFmtId="0" fontId="3" fillId="1641" borderId="1449" xfId="0" applyFont="1" applyFill="1" applyBorder="1" applyAlignment="1">
      <alignment vertical="center"/>
    </xf>
    <xf numFmtId="0" fontId="3" fillId="1642" borderId="1450" xfId="0" applyFont="1" applyFill="1" applyBorder="1" applyAlignment="1">
      <alignment vertical="center"/>
    </xf>
    <xf numFmtId="0" fontId="3" fillId="1643" borderId="1451" xfId="0" applyFont="1" applyFill="1" applyBorder="1" applyAlignment="1">
      <alignment vertical="center"/>
    </xf>
    <xf numFmtId="4" fontId="3" fillId="1644" borderId="1452" xfId="0" applyNumberFormat="1" applyFont="1" applyFill="1" applyBorder="1" applyAlignment="1">
      <alignment vertical="center"/>
    </xf>
    <xf numFmtId="4" fontId="3" fillId="1645" borderId="1453" xfId="0" applyNumberFormat="1" applyFont="1" applyFill="1" applyBorder="1" applyAlignment="1">
      <alignment vertical="center"/>
    </xf>
    <xf numFmtId="4" fontId="3" fillId="1646" borderId="1454" xfId="0" applyNumberFormat="1" applyFont="1" applyFill="1" applyBorder="1" applyAlignment="1">
      <alignment vertical="center"/>
    </xf>
    <xf numFmtId="0" fontId="3" fillId="1647" borderId="1455" xfId="0" applyFont="1" applyFill="1" applyBorder="1" applyAlignment="1">
      <alignment vertical="center"/>
    </xf>
    <xf numFmtId="0" fontId="3" fillId="1648" borderId="1456" xfId="0" applyFont="1" applyFill="1" applyBorder="1" applyAlignment="1">
      <alignment vertical="center"/>
    </xf>
    <xf numFmtId="0" fontId="3" fillId="1650" borderId="1457" xfId="0" applyFont="1" applyFill="1" applyBorder="1" applyAlignment="1">
      <alignment vertical="center"/>
    </xf>
    <xf numFmtId="0" fontId="3" fillId="1651" borderId="1458" xfId="0" applyFont="1" applyFill="1" applyBorder="1" applyAlignment="1">
      <alignment vertical="center"/>
    </xf>
    <xf numFmtId="0" fontId="3" fillId="1652" borderId="1459" xfId="0" applyFont="1" applyFill="1" applyBorder="1" applyAlignment="1">
      <alignment vertical="center"/>
    </xf>
    <xf numFmtId="4" fontId="3" fillId="1653" borderId="1460" xfId="0" applyNumberFormat="1" applyFont="1" applyFill="1" applyBorder="1" applyAlignment="1">
      <alignment vertical="center"/>
    </xf>
    <xf numFmtId="4" fontId="3" fillId="1654" borderId="1461" xfId="0" applyNumberFormat="1" applyFont="1" applyFill="1" applyBorder="1" applyAlignment="1">
      <alignment vertical="center"/>
    </xf>
    <xf numFmtId="4" fontId="3" fillId="1655" borderId="1462" xfId="0" applyNumberFormat="1" applyFont="1" applyFill="1" applyBorder="1" applyAlignment="1">
      <alignment vertical="center"/>
    </xf>
    <xf numFmtId="0" fontId="3" fillId="1656" borderId="1463" xfId="0" applyFont="1" applyFill="1" applyBorder="1" applyAlignment="1">
      <alignment vertical="center"/>
    </xf>
    <xf numFmtId="0" fontId="3" fillId="1657" borderId="1464" xfId="0" applyFont="1" applyFill="1" applyBorder="1" applyAlignment="1">
      <alignment vertical="center"/>
    </xf>
    <xf numFmtId="0" fontId="3" fillId="1659" borderId="1465" xfId="0" applyFont="1" applyFill="1" applyBorder="1" applyAlignment="1">
      <alignment vertical="center"/>
    </xf>
    <xf numFmtId="0" fontId="3" fillId="1660" borderId="1466" xfId="0" applyFont="1" applyFill="1" applyBorder="1" applyAlignment="1">
      <alignment vertical="center"/>
    </xf>
    <xf numFmtId="0" fontId="3" fillId="1661" borderId="1467" xfId="0" applyFont="1" applyFill="1" applyBorder="1" applyAlignment="1">
      <alignment vertical="center"/>
    </xf>
    <xf numFmtId="4" fontId="3" fillId="1662" borderId="1468" xfId="0" applyNumberFormat="1" applyFont="1" applyFill="1" applyBorder="1" applyAlignment="1">
      <alignment vertical="center"/>
    </xf>
    <xf numFmtId="4" fontId="3" fillId="1663" borderId="1469" xfId="0" applyNumberFormat="1" applyFont="1" applyFill="1" applyBorder="1" applyAlignment="1">
      <alignment vertical="center"/>
    </xf>
    <xf numFmtId="4" fontId="3" fillId="1664" borderId="1470" xfId="0" applyNumberFormat="1" applyFont="1" applyFill="1" applyBorder="1" applyAlignment="1">
      <alignment vertical="center"/>
    </xf>
    <xf numFmtId="0" fontId="3" fillId="1665" borderId="1471" xfId="0" applyFont="1" applyFill="1" applyBorder="1" applyAlignment="1">
      <alignment vertical="center"/>
    </xf>
    <xf numFmtId="0" fontId="3" fillId="1666" borderId="1472" xfId="0" applyFont="1" applyFill="1" applyBorder="1" applyAlignment="1">
      <alignment vertical="center"/>
    </xf>
    <xf numFmtId="0" fontId="3" fillId="1668" borderId="1473" xfId="0" applyFont="1" applyFill="1" applyBorder="1" applyAlignment="1">
      <alignment vertical="center"/>
    </xf>
    <xf numFmtId="0" fontId="3" fillId="1669" borderId="1474" xfId="0" applyFont="1" applyFill="1" applyBorder="1" applyAlignment="1">
      <alignment vertical="center"/>
    </xf>
    <xf numFmtId="0" fontId="3" fillId="1670" borderId="1475" xfId="0" applyFont="1" applyFill="1" applyBorder="1" applyAlignment="1">
      <alignment vertical="center"/>
    </xf>
    <xf numFmtId="4" fontId="3" fillId="1671" borderId="1476" xfId="0" applyNumberFormat="1" applyFont="1" applyFill="1" applyBorder="1" applyAlignment="1">
      <alignment vertical="center"/>
    </xf>
    <xf numFmtId="4" fontId="3" fillId="1672" borderId="1477" xfId="0" applyNumberFormat="1" applyFont="1" applyFill="1" applyBorder="1" applyAlignment="1">
      <alignment vertical="center"/>
    </xf>
    <xf numFmtId="4" fontId="3" fillId="1673" borderId="1478" xfId="0" applyNumberFormat="1" applyFont="1" applyFill="1" applyBorder="1" applyAlignment="1">
      <alignment vertical="center"/>
    </xf>
    <xf numFmtId="0" fontId="3" fillId="1674" borderId="1479" xfId="0" applyFont="1" applyFill="1" applyBorder="1" applyAlignment="1">
      <alignment vertical="center"/>
    </xf>
    <xf numFmtId="0" fontId="3" fillId="1675" borderId="1480" xfId="0" applyFont="1" applyFill="1" applyBorder="1" applyAlignment="1">
      <alignment vertical="center"/>
    </xf>
    <xf numFmtId="0" fontId="3" fillId="1677" borderId="1481" xfId="0" applyFont="1" applyFill="1" applyBorder="1" applyAlignment="1">
      <alignment vertical="center"/>
    </xf>
    <xf numFmtId="0" fontId="3" fillId="1678" borderId="1482" xfId="0" applyFont="1" applyFill="1" applyBorder="1" applyAlignment="1">
      <alignment vertical="center"/>
    </xf>
    <xf numFmtId="0" fontId="3" fillId="1679" borderId="1483" xfId="0" applyFont="1" applyFill="1" applyBorder="1" applyAlignment="1">
      <alignment vertical="center"/>
    </xf>
    <xf numFmtId="4" fontId="3" fillId="1680" borderId="1484" xfId="0" applyNumberFormat="1" applyFont="1" applyFill="1" applyBorder="1" applyAlignment="1">
      <alignment vertical="center"/>
    </xf>
    <xf numFmtId="4" fontId="3" fillId="1681" borderId="1485" xfId="0" applyNumberFormat="1" applyFont="1" applyFill="1" applyBorder="1" applyAlignment="1">
      <alignment vertical="center"/>
    </xf>
    <xf numFmtId="4" fontId="3" fillId="1682" borderId="1486" xfId="0" applyNumberFormat="1" applyFont="1" applyFill="1" applyBorder="1" applyAlignment="1">
      <alignment vertical="center"/>
    </xf>
    <xf numFmtId="0" fontId="3" fillId="1683" borderId="1487" xfId="0" applyFont="1" applyFill="1" applyBorder="1" applyAlignment="1">
      <alignment vertical="center"/>
    </xf>
    <xf numFmtId="0" fontId="3" fillId="1684" borderId="1488" xfId="0" applyFont="1" applyFill="1" applyBorder="1" applyAlignment="1">
      <alignment vertical="center"/>
    </xf>
    <xf numFmtId="0" fontId="3" fillId="1686" borderId="1489" xfId="0" applyFont="1" applyFill="1" applyBorder="1" applyAlignment="1">
      <alignment vertical="center"/>
    </xf>
    <xf numFmtId="0" fontId="3" fillId="1687" borderId="1490" xfId="0" applyFont="1" applyFill="1" applyBorder="1" applyAlignment="1">
      <alignment vertical="center"/>
    </xf>
    <xf numFmtId="0" fontId="3" fillId="1688" borderId="1491" xfId="0" applyFont="1" applyFill="1" applyBorder="1" applyAlignment="1">
      <alignment vertical="center"/>
    </xf>
    <xf numFmtId="4" fontId="3" fillId="1689" borderId="1492" xfId="0" applyNumberFormat="1" applyFont="1" applyFill="1" applyBorder="1" applyAlignment="1">
      <alignment vertical="center"/>
    </xf>
    <xf numFmtId="4" fontId="3" fillId="1690" borderId="1493" xfId="0" applyNumberFormat="1" applyFont="1" applyFill="1" applyBorder="1" applyAlignment="1">
      <alignment vertical="center"/>
    </xf>
    <xf numFmtId="4" fontId="3" fillId="1691" borderId="1494" xfId="0" applyNumberFormat="1" applyFont="1" applyFill="1" applyBorder="1" applyAlignment="1">
      <alignment vertical="center"/>
    </xf>
    <xf numFmtId="0" fontId="3" fillId="1692" borderId="1495" xfId="0" applyFont="1" applyFill="1" applyBorder="1" applyAlignment="1">
      <alignment vertical="center"/>
    </xf>
    <xf numFmtId="0" fontId="3" fillId="1693" borderId="1496" xfId="0" applyFont="1" applyFill="1" applyBorder="1" applyAlignment="1">
      <alignment vertical="center"/>
    </xf>
    <xf numFmtId="0" fontId="3" fillId="1695" borderId="1497" xfId="0" applyFont="1" applyFill="1" applyBorder="1" applyAlignment="1">
      <alignment vertical="center"/>
    </xf>
    <xf numFmtId="0" fontId="3" fillId="1696" borderId="1498" xfId="0" applyFont="1" applyFill="1" applyBorder="1" applyAlignment="1">
      <alignment vertical="center"/>
    </xf>
    <xf numFmtId="0" fontId="3" fillId="1697" borderId="1499" xfId="0" applyFont="1" applyFill="1" applyBorder="1" applyAlignment="1">
      <alignment vertical="center"/>
    </xf>
    <xf numFmtId="4" fontId="3" fillId="1698" borderId="1500" xfId="0" applyNumberFormat="1" applyFont="1" applyFill="1" applyBorder="1" applyAlignment="1">
      <alignment vertical="center"/>
    </xf>
    <xf numFmtId="4" fontId="3" fillId="1699" borderId="1501" xfId="0" applyNumberFormat="1" applyFont="1" applyFill="1" applyBorder="1" applyAlignment="1">
      <alignment vertical="center"/>
    </xf>
    <xf numFmtId="4" fontId="3" fillId="1700" borderId="1502" xfId="0" applyNumberFormat="1" applyFont="1" applyFill="1" applyBorder="1" applyAlignment="1">
      <alignment vertical="center"/>
    </xf>
    <xf numFmtId="0" fontId="3" fillId="1701" borderId="1503" xfId="0" applyFont="1" applyFill="1" applyBorder="1" applyAlignment="1">
      <alignment vertical="center"/>
    </xf>
    <xf numFmtId="0" fontId="3" fillId="1702" borderId="1504" xfId="0" applyFont="1" applyFill="1" applyBorder="1" applyAlignment="1">
      <alignment vertical="center"/>
    </xf>
    <xf numFmtId="0" fontId="3" fillId="1704" borderId="1505" xfId="0" applyFont="1" applyFill="1" applyBorder="1" applyAlignment="1">
      <alignment vertical="center"/>
    </xf>
    <xf numFmtId="0" fontId="3" fillId="1705" borderId="1506" xfId="0" applyFont="1" applyFill="1" applyBorder="1" applyAlignment="1">
      <alignment vertical="center"/>
    </xf>
    <xf numFmtId="0" fontId="3" fillId="1706" borderId="1507" xfId="0" applyFont="1" applyFill="1" applyBorder="1" applyAlignment="1">
      <alignment vertical="center"/>
    </xf>
    <xf numFmtId="4" fontId="3" fillId="1707" borderId="1508" xfId="0" applyNumberFormat="1" applyFont="1" applyFill="1" applyBorder="1" applyAlignment="1">
      <alignment vertical="center"/>
    </xf>
    <xf numFmtId="4" fontId="3" fillId="1708" borderId="1509" xfId="0" applyNumberFormat="1" applyFont="1" applyFill="1" applyBorder="1" applyAlignment="1">
      <alignment vertical="center"/>
    </xf>
    <xf numFmtId="4" fontId="3" fillId="1709" borderId="1510" xfId="0" applyNumberFormat="1" applyFont="1" applyFill="1" applyBorder="1" applyAlignment="1">
      <alignment vertical="center"/>
    </xf>
    <xf numFmtId="0" fontId="3" fillId="1710" borderId="1511" xfId="0" applyFont="1" applyFill="1" applyBorder="1" applyAlignment="1">
      <alignment vertical="center"/>
    </xf>
    <xf numFmtId="0" fontId="3" fillId="1711" borderId="1512" xfId="0" applyFont="1" applyFill="1" applyBorder="1" applyAlignment="1">
      <alignment vertical="center"/>
    </xf>
    <xf numFmtId="0" fontId="3" fillId="1713" borderId="1513" xfId="0" applyFont="1" applyFill="1" applyBorder="1" applyAlignment="1">
      <alignment vertical="center"/>
    </xf>
    <xf numFmtId="0" fontId="3" fillId="1714" borderId="1514" xfId="0" applyFont="1" applyFill="1" applyBorder="1" applyAlignment="1">
      <alignment vertical="center"/>
    </xf>
    <xf numFmtId="0" fontId="3" fillId="1715" borderId="1515" xfId="0" applyFont="1" applyFill="1" applyBorder="1" applyAlignment="1">
      <alignment vertical="center"/>
    </xf>
    <xf numFmtId="4" fontId="3" fillId="1716" borderId="1516" xfId="0" applyNumberFormat="1" applyFont="1" applyFill="1" applyBorder="1" applyAlignment="1">
      <alignment vertical="center"/>
    </xf>
    <xf numFmtId="4" fontId="3" fillId="1717" borderId="1517" xfId="0" applyNumberFormat="1" applyFont="1" applyFill="1" applyBorder="1" applyAlignment="1">
      <alignment vertical="center"/>
    </xf>
    <xf numFmtId="4" fontId="3" fillId="1718" borderId="1518" xfId="0" applyNumberFormat="1" applyFont="1" applyFill="1" applyBorder="1" applyAlignment="1">
      <alignment vertical="center"/>
    </xf>
    <xf numFmtId="0" fontId="3" fillId="1719" borderId="1519" xfId="0" applyFont="1" applyFill="1" applyBorder="1" applyAlignment="1">
      <alignment vertical="center"/>
    </xf>
    <xf numFmtId="0" fontId="3" fillId="1720" borderId="1520" xfId="0" applyFont="1" applyFill="1" applyBorder="1" applyAlignment="1">
      <alignment vertical="center"/>
    </xf>
    <xf numFmtId="0" fontId="3" fillId="1722" borderId="1521" xfId="0" applyFont="1" applyFill="1" applyBorder="1" applyAlignment="1">
      <alignment vertical="center"/>
    </xf>
    <xf numFmtId="0" fontId="3" fillId="1723" borderId="1522" xfId="0" applyFont="1" applyFill="1" applyBorder="1" applyAlignment="1">
      <alignment vertical="center"/>
    </xf>
    <xf numFmtId="0" fontId="3" fillId="1724" borderId="1523" xfId="0" applyFont="1" applyFill="1" applyBorder="1" applyAlignment="1">
      <alignment vertical="center"/>
    </xf>
    <xf numFmtId="4" fontId="3" fillId="1725" borderId="1524" xfId="0" applyNumberFormat="1" applyFont="1" applyFill="1" applyBorder="1" applyAlignment="1">
      <alignment vertical="center"/>
    </xf>
    <xf numFmtId="4" fontId="3" fillId="1726" borderId="1525" xfId="0" applyNumberFormat="1" applyFont="1" applyFill="1" applyBorder="1" applyAlignment="1">
      <alignment vertical="center"/>
    </xf>
    <xf numFmtId="4" fontId="3" fillId="1727" borderId="1526" xfId="0" applyNumberFormat="1" applyFont="1" applyFill="1" applyBorder="1" applyAlignment="1">
      <alignment vertical="center"/>
    </xf>
    <xf numFmtId="0" fontId="3" fillId="1728" borderId="1527" xfId="0" applyFont="1" applyFill="1" applyBorder="1" applyAlignment="1">
      <alignment vertical="center"/>
    </xf>
    <xf numFmtId="0" fontId="3" fillId="1729" borderId="1528" xfId="0" applyFont="1" applyFill="1" applyBorder="1" applyAlignment="1">
      <alignment vertical="center"/>
    </xf>
    <xf numFmtId="0" fontId="3" fillId="1731" borderId="1529" xfId="0" applyFont="1" applyFill="1" applyBorder="1" applyAlignment="1">
      <alignment vertical="center"/>
    </xf>
    <xf numFmtId="0" fontId="3" fillId="1732" borderId="1530" xfId="0" applyFont="1" applyFill="1" applyBorder="1" applyAlignment="1">
      <alignment vertical="center"/>
    </xf>
    <xf numFmtId="0" fontId="3" fillId="1733" borderId="1531" xfId="0" applyFont="1" applyFill="1" applyBorder="1" applyAlignment="1">
      <alignment vertical="center"/>
    </xf>
    <xf numFmtId="4" fontId="3" fillId="1734" borderId="1532" xfId="0" applyNumberFormat="1" applyFont="1" applyFill="1" applyBorder="1" applyAlignment="1">
      <alignment vertical="center"/>
    </xf>
    <xf numFmtId="4" fontId="3" fillId="1735" borderId="1533" xfId="0" applyNumberFormat="1" applyFont="1" applyFill="1" applyBorder="1" applyAlignment="1">
      <alignment vertical="center"/>
    </xf>
    <xf numFmtId="4" fontId="3" fillId="1736" borderId="1534" xfId="0" applyNumberFormat="1" applyFont="1" applyFill="1" applyBorder="1" applyAlignment="1">
      <alignment vertical="center"/>
    </xf>
    <xf numFmtId="0" fontId="3" fillId="1737" borderId="1535" xfId="0" applyFont="1" applyFill="1" applyBorder="1" applyAlignment="1">
      <alignment vertical="center"/>
    </xf>
    <xf numFmtId="0" fontId="3" fillId="1738" borderId="1536" xfId="0" applyFont="1" applyFill="1" applyBorder="1" applyAlignment="1">
      <alignment vertical="center"/>
    </xf>
    <xf numFmtId="0" fontId="3" fillId="1740" borderId="1537" xfId="0" applyFont="1" applyFill="1" applyBorder="1" applyAlignment="1">
      <alignment vertical="center"/>
    </xf>
    <xf numFmtId="0" fontId="3" fillId="1741" borderId="1538" xfId="0" applyFont="1" applyFill="1" applyBorder="1" applyAlignment="1">
      <alignment vertical="center"/>
    </xf>
    <xf numFmtId="0" fontId="3" fillId="1742" borderId="1539" xfId="0" applyFont="1" applyFill="1" applyBorder="1" applyAlignment="1">
      <alignment vertical="center"/>
    </xf>
    <xf numFmtId="4" fontId="3" fillId="1743" borderId="1540" xfId="0" applyNumberFormat="1" applyFont="1" applyFill="1" applyBorder="1" applyAlignment="1">
      <alignment vertical="center"/>
    </xf>
    <xf numFmtId="4" fontId="3" fillId="1744" borderId="1541" xfId="0" applyNumberFormat="1" applyFont="1" applyFill="1" applyBorder="1" applyAlignment="1">
      <alignment vertical="center"/>
    </xf>
    <xf numFmtId="4" fontId="3" fillId="1745" borderId="1542" xfId="0" applyNumberFormat="1" applyFont="1" applyFill="1" applyBorder="1" applyAlignment="1">
      <alignment vertical="center"/>
    </xf>
    <xf numFmtId="0" fontId="3" fillId="1746" borderId="1543" xfId="0" applyFont="1" applyFill="1" applyBorder="1" applyAlignment="1">
      <alignment vertical="center"/>
    </xf>
    <xf numFmtId="0" fontId="3" fillId="1747" borderId="1544" xfId="0" applyFont="1" applyFill="1" applyBorder="1" applyAlignment="1">
      <alignment vertical="center"/>
    </xf>
    <xf numFmtId="0" fontId="3" fillId="1749" borderId="1545" xfId="0" applyFont="1" applyFill="1" applyBorder="1" applyAlignment="1">
      <alignment vertical="center"/>
    </xf>
    <xf numFmtId="0" fontId="3" fillId="1750" borderId="1546" xfId="0" applyFont="1" applyFill="1" applyBorder="1" applyAlignment="1">
      <alignment vertical="center"/>
    </xf>
    <xf numFmtId="0" fontId="3" fillId="1751" borderId="1547" xfId="0" applyFont="1" applyFill="1" applyBorder="1" applyAlignment="1">
      <alignment vertical="center"/>
    </xf>
    <xf numFmtId="4" fontId="3" fillId="1752" borderId="1548" xfId="0" applyNumberFormat="1" applyFont="1" applyFill="1" applyBorder="1" applyAlignment="1">
      <alignment vertical="center"/>
    </xf>
    <xf numFmtId="4" fontId="3" fillId="1753" borderId="1549" xfId="0" applyNumberFormat="1" applyFont="1" applyFill="1" applyBorder="1" applyAlignment="1">
      <alignment vertical="center"/>
    </xf>
    <xf numFmtId="4" fontId="3" fillId="1754" borderId="1550" xfId="0" applyNumberFormat="1" applyFont="1" applyFill="1" applyBorder="1" applyAlignment="1">
      <alignment vertical="center"/>
    </xf>
    <xf numFmtId="0" fontId="3" fillId="1755" borderId="1551" xfId="0" applyFont="1" applyFill="1" applyBorder="1" applyAlignment="1">
      <alignment vertical="center"/>
    </xf>
    <xf numFmtId="0" fontId="3" fillId="1756" borderId="1552" xfId="0" applyFont="1" applyFill="1" applyBorder="1" applyAlignment="1">
      <alignment vertical="center"/>
    </xf>
    <xf numFmtId="0" fontId="3" fillId="1758" borderId="1553" xfId="0" applyFont="1" applyFill="1" applyBorder="1" applyAlignment="1">
      <alignment vertical="center"/>
    </xf>
    <xf numFmtId="0" fontId="3" fillId="1759" borderId="1554" xfId="0" applyFont="1" applyFill="1" applyBorder="1" applyAlignment="1">
      <alignment vertical="center"/>
    </xf>
    <xf numFmtId="0" fontId="3" fillId="1760" borderId="1555" xfId="0" applyFont="1" applyFill="1" applyBorder="1" applyAlignment="1">
      <alignment vertical="center"/>
    </xf>
    <xf numFmtId="4" fontId="3" fillId="1761" borderId="1556" xfId="0" applyNumberFormat="1" applyFont="1" applyFill="1" applyBorder="1" applyAlignment="1">
      <alignment vertical="center"/>
    </xf>
    <xf numFmtId="4" fontId="3" fillId="1762" borderId="1557" xfId="0" applyNumberFormat="1" applyFont="1" applyFill="1" applyBorder="1" applyAlignment="1">
      <alignment vertical="center"/>
    </xf>
    <xf numFmtId="4" fontId="3" fillId="1763" borderId="1558" xfId="0" applyNumberFormat="1" applyFont="1" applyFill="1" applyBorder="1" applyAlignment="1">
      <alignment vertical="center"/>
    </xf>
    <xf numFmtId="0" fontId="3" fillId="1764" borderId="1559" xfId="0" applyFont="1" applyFill="1" applyBorder="1" applyAlignment="1">
      <alignment vertical="center"/>
    </xf>
    <xf numFmtId="0" fontId="3" fillId="1765" borderId="1560" xfId="0" applyFont="1" applyFill="1" applyBorder="1" applyAlignment="1">
      <alignment vertical="center"/>
    </xf>
    <xf numFmtId="0" fontId="3" fillId="1767" borderId="1561" xfId="0" applyFont="1" applyFill="1" applyBorder="1" applyAlignment="1">
      <alignment vertical="center"/>
    </xf>
    <xf numFmtId="0" fontId="3" fillId="1768" borderId="1562" xfId="0" applyFont="1" applyFill="1" applyBorder="1" applyAlignment="1">
      <alignment vertical="center"/>
    </xf>
    <xf numFmtId="0" fontId="3" fillId="1769" borderId="1563" xfId="0" applyFont="1" applyFill="1" applyBorder="1" applyAlignment="1">
      <alignment vertical="center"/>
    </xf>
    <xf numFmtId="4" fontId="3" fillId="1770" borderId="1564" xfId="0" applyNumberFormat="1" applyFont="1" applyFill="1" applyBorder="1" applyAlignment="1">
      <alignment vertical="center"/>
    </xf>
    <xf numFmtId="4" fontId="3" fillId="1771" borderId="1565" xfId="0" applyNumberFormat="1" applyFont="1" applyFill="1" applyBorder="1" applyAlignment="1">
      <alignment vertical="center"/>
    </xf>
    <xf numFmtId="4" fontId="3" fillId="1772" borderId="1566" xfId="0" applyNumberFormat="1" applyFont="1" applyFill="1" applyBorder="1" applyAlignment="1">
      <alignment vertical="center"/>
    </xf>
    <xf numFmtId="0" fontId="3" fillId="1773" borderId="1567" xfId="0" applyFont="1" applyFill="1" applyBorder="1" applyAlignment="1">
      <alignment vertical="center"/>
    </xf>
    <xf numFmtId="0" fontId="3" fillId="1774" borderId="1568" xfId="0" applyFont="1" applyFill="1" applyBorder="1" applyAlignment="1">
      <alignment vertical="center"/>
    </xf>
    <xf numFmtId="0" fontId="3" fillId="1776" borderId="1569" xfId="0" applyFont="1" applyFill="1" applyBorder="1" applyAlignment="1">
      <alignment vertical="center"/>
    </xf>
    <xf numFmtId="0" fontId="3" fillId="1777" borderId="1570" xfId="0" applyFont="1" applyFill="1" applyBorder="1" applyAlignment="1">
      <alignment vertical="center"/>
    </xf>
    <xf numFmtId="0" fontId="3" fillId="1778" borderId="1571" xfId="0" applyFont="1" applyFill="1" applyBorder="1" applyAlignment="1">
      <alignment vertical="center"/>
    </xf>
    <xf numFmtId="4" fontId="3" fillId="1779" borderId="1572" xfId="0" applyNumberFormat="1" applyFont="1" applyFill="1" applyBorder="1" applyAlignment="1">
      <alignment vertical="center"/>
    </xf>
    <xf numFmtId="4" fontId="3" fillId="1780" borderId="1573" xfId="0" applyNumberFormat="1" applyFont="1" applyFill="1" applyBorder="1" applyAlignment="1">
      <alignment vertical="center"/>
    </xf>
    <xf numFmtId="4" fontId="3" fillId="1781" borderId="1574" xfId="0" applyNumberFormat="1" applyFont="1" applyFill="1" applyBorder="1" applyAlignment="1">
      <alignment vertical="center"/>
    </xf>
    <xf numFmtId="0" fontId="3" fillId="1782" borderId="1575" xfId="0" applyFont="1" applyFill="1" applyBorder="1" applyAlignment="1">
      <alignment vertical="center"/>
    </xf>
    <xf numFmtId="0" fontId="3" fillId="1783" borderId="1576" xfId="0" applyFont="1" applyFill="1" applyBorder="1" applyAlignment="1">
      <alignment vertical="center"/>
    </xf>
    <xf numFmtId="0" fontId="3" fillId="1785" borderId="1577" xfId="0" applyFont="1" applyFill="1" applyBorder="1" applyAlignment="1">
      <alignment vertical="center"/>
    </xf>
    <xf numFmtId="0" fontId="3" fillId="1786" borderId="1578" xfId="0" applyFont="1" applyFill="1" applyBorder="1" applyAlignment="1">
      <alignment vertical="center"/>
    </xf>
    <xf numFmtId="0" fontId="3" fillId="1787" borderId="1579" xfId="0" applyFont="1" applyFill="1" applyBorder="1" applyAlignment="1">
      <alignment vertical="center"/>
    </xf>
    <xf numFmtId="4" fontId="3" fillId="1788" borderId="1580" xfId="0" applyNumberFormat="1" applyFont="1" applyFill="1" applyBorder="1" applyAlignment="1">
      <alignment vertical="center"/>
    </xf>
    <xf numFmtId="4" fontId="3" fillId="1789" borderId="1581" xfId="0" applyNumberFormat="1" applyFont="1" applyFill="1" applyBorder="1" applyAlignment="1">
      <alignment vertical="center"/>
    </xf>
    <xf numFmtId="4" fontId="3" fillId="1790" borderId="1582" xfId="0" applyNumberFormat="1" applyFont="1" applyFill="1" applyBorder="1" applyAlignment="1">
      <alignment vertical="center"/>
    </xf>
    <xf numFmtId="0" fontId="3" fillId="1791" borderId="1583" xfId="0" applyFont="1" applyFill="1" applyBorder="1" applyAlignment="1">
      <alignment vertical="center"/>
    </xf>
    <xf numFmtId="0" fontId="3" fillId="1792" borderId="1584" xfId="0" applyFont="1" applyFill="1" applyBorder="1" applyAlignment="1">
      <alignment vertical="center"/>
    </xf>
    <xf numFmtId="0" fontId="3" fillId="1794" borderId="1585" xfId="0" applyFont="1" applyFill="1" applyBorder="1" applyAlignment="1">
      <alignment vertical="center"/>
    </xf>
    <xf numFmtId="0" fontId="3" fillId="1795" borderId="1586" xfId="0" applyFont="1" applyFill="1" applyBorder="1" applyAlignment="1">
      <alignment vertical="center"/>
    </xf>
    <xf numFmtId="0" fontId="3" fillId="1796" borderId="1587" xfId="0" applyFont="1" applyFill="1" applyBorder="1" applyAlignment="1">
      <alignment vertical="center"/>
    </xf>
    <xf numFmtId="4" fontId="3" fillId="1797" borderId="1588" xfId="0" applyNumberFormat="1" applyFont="1" applyFill="1" applyBorder="1" applyAlignment="1">
      <alignment vertical="center"/>
    </xf>
    <xf numFmtId="4" fontId="3" fillId="1798" borderId="1589" xfId="0" applyNumberFormat="1" applyFont="1" applyFill="1" applyBorder="1" applyAlignment="1">
      <alignment vertical="center"/>
    </xf>
    <xf numFmtId="4" fontId="3" fillId="1799" borderId="1590" xfId="0" applyNumberFormat="1" applyFont="1" applyFill="1" applyBorder="1" applyAlignment="1">
      <alignment vertical="center"/>
    </xf>
    <xf numFmtId="0" fontId="3" fillId="1800" borderId="1591" xfId="0" applyFont="1" applyFill="1" applyBorder="1" applyAlignment="1">
      <alignment vertical="center"/>
    </xf>
    <xf numFmtId="0" fontId="3" fillId="1801" borderId="1592" xfId="0" applyFont="1" applyFill="1" applyBorder="1" applyAlignment="1">
      <alignment vertical="center"/>
    </xf>
    <xf numFmtId="0" fontId="3" fillId="1803" borderId="1593" xfId="0" applyFont="1" applyFill="1" applyBorder="1" applyAlignment="1">
      <alignment vertical="center"/>
    </xf>
    <xf numFmtId="0" fontId="3" fillId="1805" borderId="1595" xfId="0" applyFont="1" applyFill="1" applyBorder="1" applyAlignment="1">
      <alignment vertical="center"/>
    </xf>
    <xf numFmtId="4" fontId="3" fillId="1806" borderId="1596" xfId="0" applyNumberFormat="1" applyFont="1" applyFill="1" applyBorder="1" applyAlignment="1">
      <alignment vertical="center"/>
    </xf>
    <xf numFmtId="4" fontId="3" fillId="1807" borderId="1597" xfId="0" applyNumberFormat="1" applyFont="1" applyFill="1" applyBorder="1" applyAlignment="1">
      <alignment vertical="center"/>
    </xf>
    <xf numFmtId="4" fontId="3" fillId="1808" borderId="1598" xfId="0" applyNumberFormat="1" applyFont="1" applyFill="1" applyBorder="1" applyAlignment="1">
      <alignment vertical="center"/>
    </xf>
    <xf numFmtId="0" fontId="3" fillId="1809" borderId="1599" xfId="0" applyFont="1" applyFill="1" applyBorder="1" applyAlignment="1">
      <alignment vertical="center"/>
    </xf>
    <xf numFmtId="0" fontId="3" fillId="1810" borderId="1600" xfId="0" applyFont="1" applyFill="1" applyBorder="1" applyAlignment="1">
      <alignment vertical="center"/>
    </xf>
    <xf numFmtId="0" fontId="3" fillId="1812" borderId="1601" xfId="0" applyFont="1" applyFill="1" applyBorder="1" applyAlignment="1">
      <alignment vertical="center"/>
    </xf>
    <xf numFmtId="0" fontId="3" fillId="1814" borderId="1603" xfId="0" applyFont="1" applyFill="1" applyBorder="1" applyAlignment="1">
      <alignment vertical="center"/>
    </xf>
    <xf numFmtId="4" fontId="3" fillId="1815" borderId="1604" xfId="0" applyNumberFormat="1" applyFont="1" applyFill="1" applyBorder="1" applyAlignment="1">
      <alignment vertical="center"/>
    </xf>
    <xf numFmtId="4" fontId="3" fillId="1816" borderId="1605" xfId="0" applyNumberFormat="1" applyFont="1" applyFill="1" applyBorder="1" applyAlignment="1">
      <alignment vertical="center"/>
    </xf>
    <xf numFmtId="4" fontId="3" fillId="1817" borderId="1606" xfId="0" applyNumberFormat="1" applyFont="1" applyFill="1" applyBorder="1" applyAlignment="1">
      <alignment vertical="center"/>
    </xf>
    <xf numFmtId="0" fontId="3" fillId="1818" borderId="1607" xfId="0" applyFont="1" applyFill="1" applyBorder="1" applyAlignment="1">
      <alignment vertical="center"/>
    </xf>
    <xf numFmtId="0" fontId="3" fillId="1819" borderId="1608" xfId="0" applyFont="1" applyFill="1" applyBorder="1" applyAlignment="1">
      <alignment vertical="center"/>
    </xf>
    <xf numFmtId="0" fontId="3" fillId="1821" borderId="1609" xfId="0" applyFont="1" applyFill="1" applyBorder="1" applyAlignment="1">
      <alignment vertical="center"/>
    </xf>
    <xf numFmtId="0" fontId="3" fillId="1822" borderId="1610" xfId="0" applyFont="1" applyFill="1" applyBorder="1" applyAlignment="1">
      <alignment vertical="center"/>
    </xf>
    <xf numFmtId="0" fontId="3" fillId="1823" borderId="1611" xfId="0" applyFont="1" applyFill="1" applyBorder="1" applyAlignment="1">
      <alignment vertical="center"/>
    </xf>
    <xf numFmtId="4" fontId="3" fillId="1824" borderId="1612" xfId="0" applyNumberFormat="1" applyFont="1" applyFill="1" applyBorder="1" applyAlignment="1">
      <alignment vertical="center"/>
    </xf>
    <xf numFmtId="4" fontId="3" fillId="1825" borderId="1613" xfId="0" applyNumberFormat="1" applyFont="1" applyFill="1" applyBorder="1" applyAlignment="1">
      <alignment vertical="center"/>
    </xf>
    <xf numFmtId="4" fontId="3" fillId="1826" borderId="1614" xfId="0" applyNumberFormat="1" applyFont="1" applyFill="1" applyBorder="1" applyAlignment="1">
      <alignment vertical="center"/>
    </xf>
    <xf numFmtId="0" fontId="3" fillId="1827" borderId="1615" xfId="0" applyFont="1" applyFill="1" applyBorder="1" applyAlignment="1">
      <alignment vertical="center"/>
    </xf>
    <xf numFmtId="0" fontId="3" fillId="1828" borderId="1616" xfId="0" applyFont="1" applyFill="1" applyBorder="1" applyAlignment="1">
      <alignment vertical="center"/>
    </xf>
    <xf numFmtId="0" fontId="3" fillId="1830" borderId="1617" xfId="0" applyFont="1" applyFill="1" applyBorder="1" applyAlignment="1">
      <alignment vertical="center"/>
    </xf>
    <xf numFmtId="0" fontId="3" fillId="1831" borderId="1618" xfId="0" applyFont="1" applyFill="1" applyBorder="1" applyAlignment="1">
      <alignment vertical="center"/>
    </xf>
    <xf numFmtId="0" fontId="3" fillId="1832" borderId="1619" xfId="0" applyFont="1" applyFill="1" applyBorder="1" applyAlignment="1">
      <alignment vertical="center"/>
    </xf>
    <xf numFmtId="4" fontId="3" fillId="1833" borderId="1620" xfId="0" applyNumberFormat="1" applyFont="1" applyFill="1" applyBorder="1" applyAlignment="1">
      <alignment vertical="center"/>
    </xf>
    <xf numFmtId="4" fontId="3" fillId="1834" borderId="1621" xfId="0" applyNumberFormat="1" applyFont="1" applyFill="1" applyBorder="1" applyAlignment="1">
      <alignment vertical="center"/>
    </xf>
    <xf numFmtId="4" fontId="3" fillId="1835" borderId="1622" xfId="0" applyNumberFormat="1" applyFont="1" applyFill="1" applyBorder="1" applyAlignment="1">
      <alignment vertical="center"/>
    </xf>
    <xf numFmtId="0" fontId="3" fillId="1836" borderId="1623" xfId="0" applyFont="1" applyFill="1" applyBorder="1" applyAlignment="1">
      <alignment vertical="center"/>
    </xf>
    <xf numFmtId="0" fontId="3" fillId="1837" borderId="1624" xfId="0" applyFont="1" applyFill="1" applyBorder="1" applyAlignment="1">
      <alignment vertical="center"/>
    </xf>
    <xf numFmtId="0" fontId="3" fillId="1839" borderId="1625" xfId="0" applyFont="1" applyFill="1" applyBorder="1" applyAlignment="1">
      <alignment vertical="center"/>
    </xf>
    <xf numFmtId="0" fontId="3" fillId="1840" borderId="1626" xfId="0" applyFont="1" applyFill="1" applyBorder="1" applyAlignment="1">
      <alignment vertical="center"/>
    </xf>
    <xf numFmtId="0" fontId="3" fillId="1841" borderId="1627" xfId="0" applyFont="1" applyFill="1" applyBorder="1" applyAlignment="1">
      <alignment vertical="center"/>
    </xf>
    <xf numFmtId="4" fontId="3" fillId="1842" borderId="1628" xfId="0" applyNumberFormat="1" applyFont="1" applyFill="1" applyBorder="1" applyAlignment="1">
      <alignment vertical="center"/>
    </xf>
    <xf numFmtId="4" fontId="3" fillId="1843" borderId="1629" xfId="0" applyNumberFormat="1" applyFont="1" applyFill="1" applyBorder="1" applyAlignment="1">
      <alignment vertical="center"/>
    </xf>
    <xf numFmtId="4" fontId="3" fillId="1844" borderId="1630" xfId="0" applyNumberFormat="1" applyFont="1" applyFill="1" applyBorder="1" applyAlignment="1">
      <alignment vertical="center"/>
    </xf>
    <xf numFmtId="0" fontId="3" fillId="1845" borderId="1631" xfId="0" applyFont="1" applyFill="1" applyBorder="1" applyAlignment="1">
      <alignment vertical="center"/>
    </xf>
    <xf numFmtId="0" fontId="3" fillId="1846" borderId="1632" xfId="0" applyFont="1" applyFill="1" applyBorder="1" applyAlignment="1">
      <alignment vertical="center"/>
    </xf>
    <xf numFmtId="0" fontId="3" fillId="1848" borderId="1633" xfId="0" applyFont="1" applyFill="1" applyBorder="1" applyAlignment="1">
      <alignment vertical="center"/>
    </xf>
    <xf numFmtId="0" fontId="3" fillId="1849" borderId="1634" xfId="0" applyFont="1" applyFill="1" applyBorder="1" applyAlignment="1">
      <alignment vertical="center"/>
    </xf>
    <xf numFmtId="0" fontId="3" fillId="1850" borderId="1635" xfId="0" applyFont="1" applyFill="1" applyBorder="1" applyAlignment="1">
      <alignment vertical="center"/>
    </xf>
    <xf numFmtId="4" fontId="3" fillId="1851" borderId="1636" xfId="0" applyNumberFormat="1" applyFont="1" applyFill="1" applyBorder="1" applyAlignment="1">
      <alignment vertical="center"/>
    </xf>
    <xf numFmtId="4" fontId="3" fillId="1852" borderId="1637" xfId="0" applyNumberFormat="1" applyFont="1" applyFill="1" applyBorder="1" applyAlignment="1">
      <alignment vertical="center"/>
    </xf>
    <xf numFmtId="4" fontId="3" fillId="1853" borderId="1638" xfId="0" applyNumberFormat="1" applyFont="1" applyFill="1" applyBorder="1" applyAlignment="1">
      <alignment vertical="center"/>
    </xf>
    <xf numFmtId="0" fontId="3" fillId="1854" borderId="1639" xfId="0" applyFont="1" applyFill="1" applyBorder="1" applyAlignment="1">
      <alignment vertical="center"/>
    </xf>
    <xf numFmtId="0" fontId="3" fillId="1855" borderId="1640" xfId="0" applyFont="1" applyFill="1" applyBorder="1" applyAlignment="1">
      <alignment vertical="center"/>
    </xf>
    <xf numFmtId="0" fontId="3" fillId="1857" borderId="1641" xfId="0" applyFont="1" applyFill="1" applyBorder="1" applyAlignment="1">
      <alignment vertical="center"/>
    </xf>
    <xf numFmtId="0" fontId="3" fillId="1858" borderId="1642" xfId="0" applyFont="1" applyFill="1" applyBorder="1" applyAlignment="1">
      <alignment vertical="center"/>
    </xf>
    <xf numFmtId="0" fontId="3" fillId="1859" borderId="1643" xfId="0" applyFont="1" applyFill="1" applyBorder="1" applyAlignment="1">
      <alignment vertical="center"/>
    </xf>
    <xf numFmtId="4" fontId="3" fillId="1860" borderId="1644" xfId="0" applyNumberFormat="1" applyFont="1" applyFill="1" applyBorder="1" applyAlignment="1">
      <alignment vertical="center"/>
    </xf>
    <xf numFmtId="4" fontId="3" fillId="1861" borderId="1645" xfId="0" applyNumberFormat="1" applyFont="1" applyFill="1" applyBorder="1" applyAlignment="1">
      <alignment vertical="center"/>
    </xf>
    <xf numFmtId="4" fontId="3" fillId="1862" borderId="1646" xfId="0" applyNumberFormat="1" applyFont="1" applyFill="1" applyBorder="1" applyAlignment="1">
      <alignment vertical="center"/>
    </xf>
    <xf numFmtId="0" fontId="3" fillId="1863" borderId="1647" xfId="0" applyFont="1" applyFill="1" applyBorder="1" applyAlignment="1">
      <alignment vertical="center"/>
    </xf>
    <xf numFmtId="0" fontId="3" fillId="1864" borderId="1648" xfId="0" applyFont="1" applyFill="1" applyBorder="1" applyAlignment="1">
      <alignment vertical="center"/>
    </xf>
    <xf numFmtId="0" fontId="3" fillId="1866" borderId="1649" xfId="0" applyFont="1" applyFill="1" applyBorder="1" applyAlignment="1">
      <alignment vertical="center"/>
    </xf>
    <xf numFmtId="0" fontId="3" fillId="1867" borderId="1650" xfId="0" applyFont="1" applyFill="1" applyBorder="1" applyAlignment="1">
      <alignment vertical="center"/>
    </xf>
    <xf numFmtId="0" fontId="3" fillId="1868" borderId="1651" xfId="0" applyFont="1" applyFill="1" applyBorder="1" applyAlignment="1">
      <alignment vertical="center"/>
    </xf>
    <xf numFmtId="4" fontId="3" fillId="1869" borderId="1652" xfId="0" applyNumberFormat="1" applyFont="1" applyFill="1" applyBorder="1" applyAlignment="1">
      <alignment vertical="center"/>
    </xf>
    <xf numFmtId="4" fontId="3" fillId="1870" borderId="1653" xfId="0" applyNumberFormat="1" applyFont="1" applyFill="1" applyBorder="1" applyAlignment="1">
      <alignment vertical="center"/>
    </xf>
    <xf numFmtId="4" fontId="3" fillId="1871" borderId="1654" xfId="0" applyNumberFormat="1" applyFont="1" applyFill="1" applyBorder="1" applyAlignment="1">
      <alignment vertical="center"/>
    </xf>
    <xf numFmtId="0" fontId="3" fillId="1872" borderId="1655" xfId="0" applyFont="1" applyFill="1" applyBorder="1" applyAlignment="1">
      <alignment vertical="center"/>
    </xf>
    <xf numFmtId="0" fontId="3" fillId="1873" borderId="1656" xfId="0" applyFont="1" applyFill="1" applyBorder="1" applyAlignment="1">
      <alignment vertical="center"/>
    </xf>
    <xf numFmtId="0" fontId="3" fillId="1875" borderId="1657" xfId="0" applyFont="1" applyFill="1" applyBorder="1" applyAlignment="1">
      <alignment vertical="center"/>
    </xf>
    <xf numFmtId="0" fontId="3" fillId="1876" borderId="1658" xfId="0" applyFont="1" applyFill="1" applyBorder="1" applyAlignment="1">
      <alignment vertical="center"/>
    </xf>
    <xf numFmtId="0" fontId="3" fillId="1877" borderId="1659" xfId="0" applyFont="1" applyFill="1" applyBorder="1" applyAlignment="1">
      <alignment vertical="center"/>
    </xf>
    <xf numFmtId="4" fontId="3" fillId="1878" borderId="1660" xfId="0" applyNumberFormat="1" applyFont="1" applyFill="1" applyBorder="1" applyAlignment="1">
      <alignment vertical="center"/>
    </xf>
    <xf numFmtId="4" fontId="3" fillId="1879" borderId="1661" xfId="0" applyNumberFormat="1" applyFont="1" applyFill="1" applyBorder="1" applyAlignment="1">
      <alignment vertical="center"/>
    </xf>
    <xf numFmtId="4" fontId="3" fillId="1880" borderId="1662" xfId="0" applyNumberFormat="1" applyFont="1" applyFill="1" applyBorder="1" applyAlignment="1">
      <alignment vertical="center"/>
    </xf>
    <xf numFmtId="0" fontId="3" fillId="1881" borderId="1663" xfId="0" applyFont="1" applyFill="1" applyBorder="1" applyAlignment="1">
      <alignment vertical="center"/>
    </xf>
    <xf numFmtId="0" fontId="3" fillId="1882" borderId="1664" xfId="0" applyFont="1" applyFill="1" applyBorder="1" applyAlignment="1">
      <alignment vertical="center"/>
    </xf>
    <xf numFmtId="0" fontId="3" fillId="1884" borderId="1665" xfId="0" applyFont="1" applyFill="1" applyBorder="1" applyAlignment="1">
      <alignment vertical="center"/>
    </xf>
    <xf numFmtId="0" fontId="3" fillId="1885" borderId="1666" xfId="0" applyFont="1" applyFill="1" applyBorder="1" applyAlignment="1">
      <alignment vertical="center"/>
    </xf>
    <xf numFmtId="0" fontId="3" fillId="1886" borderId="1667" xfId="0" applyFont="1" applyFill="1" applyBorder="1" applyAlignment="1">
      <alignment vertical="center"/>
    </xf>
    <xf numFmtId="4" fontId="3" fillId="1887" borderId="1668" xfId="0" applyNumberFormat="1" applyFont="1" applyFill="1" applyBorder="1" applyAlignment="1">
      <alignment vertical="center"/>
    </xf>
    <xf numFmtId="4" fontId="3" fillId="1888" borderId="1669" xfId="0" applyNumberFormat="1" applyFont="1" applyFill="1" applyBorder="1" applyAlignment="1">
      <alignment vertical="center"/>
    </xf>
    <xf numFmtId="4" fontId="3" fillId="1889" borderId="1670" xfId="0" applyNumberFormat="1" applyFont="1" applyFill="1" applyBorder="1" applyAlignment="1">
      <alignment vertical="center"/>
    </xf>
    <xf numFmtId="0" fontId="3" fillId="1890" borderId="1671" xfId="0" applyFont="1" applyFill="1" applyBorder="1" applyAlignment="1">
      <alignment vertical="center"/>
    </xf>
    <xf numFmtId="0" fontId="3" fillId="1891" borderId="1672" xfId="0" applyFont="1" applyFill="1" applyBorder="1" applyAlignment="1">
      <alignment vertical="center"/>
    </xf>
    <xf numFmtId="0" fontId="3" fillId="1893" borderId="1673" xfId="0" applyFont="1" applyFill="1" applyBorder="1" applyAlignment="1">
      <alignment vertical="center"/>
    </xf>
    <xf numFmtId="0" fontId="3" fillId="1894" borderId="1674" xfId="0" applyFont="1" applyFill="1" applyBorder="1" applyAlignment="1">
      <alignment vertical="center"/>
    </xf>
    <xf numFmtId="0" fontId="3" fillId="1895" borderId="1675" xfId="0" applyFont="1" applyFill="1" applyBorder="1" applyAlignment="1">
      <alignment vertical="center"/>
    </xf>
    <xf numFmtId="4" fontId="3" fillId="1896" borderId="1676" xfId="0" applyNumberFormat="1" applyFont="1" applyFill="1" applyBorder="1" applyAlignment="1">
      <alignment vertical="center"/>
    </xf>
    <xf numFmtId="4" fontId="3" fillId="1897" borderId="1677" xfId="0" applyNumberFormat="1" applyFont="1" applyFill="1" applyBorder="1" applyAlignment="1">
      <alignment vertical="center"/>
    </xf>
    <xf numFmtId="4" fontId="3" fillId="1898" borderId="1678" xfId="0" applyNumberFormat="1" applyFont="1" applyFill="1" applyBorder="1" applyAlignment="1">
      <alignment vertical="center"/>
    </xf>
    <xf numFmtId="0" fontId="3" fillId="1899" borderId="1679" xfId="0" applyFont="1" applyFill="1" applyBorder="1" applyAlignment="1">
      <alignment vertical="center"/>
    </xf>
    <xf numFmtId="0" fontId="3" fillId="1900" borderId="1680" xfId="0" applyFont="1" applyFill="1" applyBorder="1" applyAlignment="1">
      <alignment vertical="center"/>
    </xf>
    <xf numFmtId="0" fontId="3" fillId="1902" borderId="1681" xfId="0" applyFont="1" applyFill="1" applyBorder="1" applyAlignment="1">
      <alignment vertical="center"/>
    </xf>
    <xf numFmtId="0" fontId="3" fillId="1903" borderId="1682" xfId="0" applyFont="1" applyFill="1" applyBorder="1" applyAlignment="1">
      <alignment vertical="center"/>
    </xf>
    <xf numFmtId="0" fontId="3" fillId="1904" borderId="1683" xfId="0" applyFont="1" applyFill="1" applyBorder="1" applyAlignment="1">
      <alignment vertical="center"/>
    </xf>
    <xf numFmtId="4" fontId="3" fillId="1905" borderId="1684" xfId="0" applyNumberFormat="1" applyFont="1" applyFill="1" applyBorder="1" applyAlignment="1">
      <alignment vertical="center"/>
    </xf>
    <xf numFmtId="4" fontId="3" fillId="1906" borderId="1685" xfId="0" applyNumberFormat="1" applyFont="1" applyFill="1" applyBorder="1" applyAlignment="1">
      <alignment vertical="center"/>
    </xf>
    <xf numFmtId="4" fontId="3" fillId="1907" borderId="1686" xfId="0" applyNumberFormat="1" applyFont="1" applyFill="1" applyBorder="1" applyAlignment="1">
      <alignment vertical="center"/>
    </xf>
    <xf numFmtId="0" fontId="3" fillId="1908" borderId="1687" xfId="0" applyFont="1" applyFill="1" applyBorder="1" applyAlignment="1">
      <alignment vertical="center"/>
    </xf>
    <xf numFmtId="0" fontId="3" fillId="1909" borderId="1688" xfId="0" applyFont="1" applyFill="1" applyBorder="1" applyAlignment="1">
      <alignment vertical="center"/>
    </xf>
    <xf numFmtId="0" fontId="3" fillId="1911" borderId="1689" xfId="0" applyFont="1" applyFill="1" applyBorder="1" applyAlignment="1">
      <alignment vertical="center"/>
    </xf>
    <xf numFmtId="0" fontId="3" fillId="1912" borderId="1690" xfId="0" applyFont="1" applyFill="1" applyBorder="1" applyAlignment="1">
      <alignment vertical="center"/>
    </xf>
    <xf numFmtId="0" fontId="3" fillId="1913" borderId="1691" xfId="0" applyFont="1" applyFill="1" applyBorder="1" applyAlignment="1">
      <alignment vertical="center"/>
    </xf>
    <xf numFmtId="4" fontId="3" fillId="1914" borderId="1692" xfId="0" applyNumberFormat="1" applyFont="1" applyFill="1" applyBorder="1" applyAlignment="1">
      <alignment vertical="center"/>
    </xf>
    <xf numFmtId="4" fontId="3" fillId="1915" borderId="1693" xfId="0" applyNumberFormat="1" applyFont="1" applyFill="1" applyBorder="1" applyAlignment="1">
      <alignment vertical="center"/>
    </xf>
    <xf numFmtId="4" fontId="3" fillId="1916" borderId="1694" xfId="0" applyNumberFormat="1" applyFont="1" applyFill="1" applyBorder="1" applyAlignment="1">
      <alignment vertical="center"/>
    </xf>
    <xf numFmtId="0" fontId="3" fillId="1917" borderId="1695" xfId="0" applyFont="1" applyFill="1" applyBorder="1" applyAlignment="1">
      <alignment vertical="center"/>
    </xf>
    <xf numFmtId="0" fontId="3" fillId="1918" borderId="1696" xfId="0" applyFont="1" applyFill="1" applyBorder="1" applyAlignment="1">
      <alignment vertical="center"/>
    </xf>
    <xf numFmtId="0" fontId="3" fillId="1920" borderId="1697" xfId="0" applyFont="1" applyFill="1" applyBorder="1" applyAlignment="1">
      <alignment vertical="center"/>
    </xf>
    <xf numFmtId="0" fontId="3" fillId="1921" borderId="1698" xfId="0" applyFont="1" applyFill="1" applyBorder="1" applyAlignment="1">
      <alignment vertical="center"/>
    </xf>
    <xf numFmtId="0" fontId="3" fillId="1922" borderId="1699" xfId="0" applyFont="1" applyFill="1" applyBorder="1" applyAlignment="1">
      <alignment vertical="center"/>
    </xf>
    <xf numFmtId="4" fontId="3" fillId="1923" borderId="1700" xfId="0" applyNumberFormat="1" applyFont="1" applyFill="1" applyBorder="1" applyAlignment="1">
      <alignment vertical="center"/>
    </xf>
    <xf numFmtId="4" fontId="3" fillId="1924" borderId="1701" xfId="0" applyNumberFormat="1" applyFont="1" applyFill="1" applyBorder="1" applyAlignment="1">
      <alignment vertical="center"/>
    </xf>
    <xf numFmtId="4" fontId="3" fillId="1925" borderId="1702" xfId="0" applyNumberFormat="1" applyFont="1" applyFill="1" applyBorder="1" applyAlignment="1">
      <alignment vertical="center"/>
    </xf>
    <xf numFmtId="0" fontId="3" fillId="1926" borderId="1703" xfId="0" applyFont="1" applyFill="1" applyBorder="1" applyAlignment="1">
      <alignment vertical="center"/>
    </xf>
    <xf numFmtId="0" fontId="3" fillId="1927" borderId="1704" xfId="0" applyFont="1" applyFill="1" applyBorder="1" applyAlignment="1">
      <alignment vertical="center"/>
    </xf>
    <xf numFmtId="0" fontId="3" fillId="1929" borderId="1705" xfId="0" applyFont="1" applyFill="1" applyBorder="1" applyAlignment="1">
      <alignment vertical="center"/>
    </xf>
    <xf numFmtId="0" fontId="3" fillId="1930" borderId="1706" xfId="0" applyFont="1" applyFill="1" applyBorder="1" applyAlignment="1">
      <alignment vertical="center"/>
    </xf>
    <xf numFmtId="0" fontId="3" fillId="1931" borderId="1707" xfId="0" applyFont="1" applyFill="1" applyBorder="1" applyAlignment="1">
      <alignment vertical="center"/>
    </xf>
    <xf numFmtId="4" fontId="3" fillId="1932" borderId="1708" xfId="0" applyNumberFormat="1" applyFont="1" applyFill="1" applyBorder="1" applyAlignment="1">
      <alignment vertical="center"/>
    </xf>
    <xf numFmtId="4" fontId="3" fillId="1933" borderId="1709" xfId="0" applyNumberFormat="1" applyFont="1" applyFill="1" applyBorder="1" applyAlignment="1">
      <alignment vertical="center"/>
    </xf>
    <xf numFmtId="4" fontId="3" fillId="1934" borderId="1710" xfId="0" applyNumberFormat="1" applyFont="1" applyFill="1" applyBorder="1" applyAlignment="1">
      <alignment vertical="center"/>
    </xf>
    <xf numFmtId="0" fontId="3" fillId="1935" borderId="1711" xfId="0" applyFont="1" applyFill="1" applyBorder="1" applyAlignment="1">
      <alignment vertical="center"/>
    </xf>
    <xf numFmtId="0" fontId="3" fillId="1936" borderId="1712" xfId="0" applyFont="1" applyFill="1" applyBorder="1" applyAlignment="1">
      <alignment vertical="center"/>
    </xf>
    <xf numFmtId="0" fontId="3" fillId="1938" borderId="1713" xfId="0" applyFont="1" applyFill="1" applyBorder="1" applyAlignment="1">
      <alignment vertical="center"/>
    </xf>
    <xf numFmtId="0" fontId="3" fillId="1939" borderId="1714" xfId="0" applyFont="1" applyFill="1" applyBorder="1" applyAlignment="1">
      <alignment vertical="center"/>
    </xf>
    <xf numFmtId="0" fontId="3" fillId="1940" borderId="1715" xfId="0" applyFont="1" applyFill="1" applyBorder="1" applyAlignment="1">
      <alignment vertical="center"/>
    </xf>
    <xf numFmtId="4" fontId="3" fillId="1941" borderId="1716" xfId="0" applyNumberFormat="1" applyFont="1" applyFill="1" applyBorder="1" applyAlignment="1">
      <alignment vertical="center"/>
    </xf>
    <xf numFmtId="4" fontId="3" fillId="1942" borderId="1717" xfId="0" applyNumberFormat="1" applyFont="1" applyFill="1" applyBorder="1" applyAlignment="1">
      <alignment vertical="center"/>
    </xf>
    <xf numFmtId="4" fontId="3" fillId="1943" borderId="1718" xfId="0" applyNumberFormat="1" applyFont="1" applyFill="1" applyBorder="1" applyAlignment="1">
      <alignment vertical="center"/>
    </xf>
    <xf numFmtId="0" fontId="3" fillId="1944" borderId="1719" xfId="0" applyFont="1" applyFill="1" applyBorder="1" applyAlignment="1">
      <alignment vertical="center"/>
    </xf>
    <xf numFmtId="0" fontId="3" fillId="1945" borderId="1720" xfId="0" applyFont="1" applyFill="1" applyBorder="1" applyAlignment="1">
      <alignment vertical="center"/>
    </xf>
    <xf numFmtId="0" fontId="3" fillId="1947" borderId="1721" xfId="0" applyFont="1" applyFill="1" applyBorder="1" applyAlignment="1">
      <alignment vertical="center"/>
    </xf>
    <xf numFmtId="0" fontId="3" fillId="1948" borderId="1722" xfId="0" applyFont="1" applyFill="1" applyBorder="1" applyAlignment="1">
      <alignment vertical="center"/>
    </xf>
    <xf numFmtId="0" fontId="3" fillId="1949" borderId="1723" xfId="0" applyFont="1" applyFill="1" applyBorder="1" applyAlignment="1">
      <alignment vertical="center"/>
    </xf>
    <xf numFmtId="4" fontId="3" fillId="1950" borderId="1724" xfId="0" applyNumberFormat="1" applyFont="1" applyFill="1" applyBorder="1" applyAlignment="1">
      <alignment vertical="center"/>
    </xf>
    <xf numFmtId="4" fontId="3" fillId="1951" borderId="1725" xfId="0" applyNumberFormat="1" applyFont="1" applyFill="1" applyBorder="1" applyAlignment="1">
      <alignment vertical="center"/>
    </xf>
    <xf numFmtId="4" fontId="3" fillId="1952" borderId="1726" xfId="0" applyNumberFormat="1" applyFont="1" applyFill="1" applyBorder="1" applyAlignment="1">
      <alignment vertical="center"/>
    </xf>
    <xf numFmtId="0" fontId="3" fillId="1953" borderId="1727" xfId="0" applyFont="1" applyFill="1" applyBorder="1" applyAlignment="1">
      <alignment vertical="center"/>
    </xf>
    <xf numFmtId="0" fontId="3" fillId="1954" borderId="1728" xfId="0" applyFont="1" applyFill="1" applyBorder="1" applyAlignment="1">
      <alignment vertical="center"/>
    </xf>
    <xf numFmtId="0" fontId="3" fillId="1956" borderId="1729" xfId="0" applyFont="1" applyFill="1" applyBorder="1" applyAlignment="1">
      <alignment vertical="center"/>
    </xf>
    <xf numFmtId="0" fontId="3" fillId="1957" borderId="1730" xfId="0" applyFont="1" applyFill="1" applyBorder="1" applyAlignment="1">
      <alignment vertical="center"/>
    </xf>
    <xf numFmtId="0" fontId="3" fillId="1958" borderId="1731" xfId="0" applyFont="1" applyFill="1" applyBorder="1" applyAlignment="1">
      <alignment vertical="center"/>
    </xf>
    <xf numFmtId="4" fontId="3" fillId="1959" borderId="1732" xfId="0" applyNumberFormat="1" applyFont="1" applyFill="1" applyBorder="1" applyAlignment="1">
      <alignment vertical="center"/>
    </xf>
    <xf numFmtId="4" fontId="3" fillId="1960" borderId="1733" xfId="0" applyNumberFormat="1" applyFont="1" applyFill="1" applyBorder="1" applyAlignment="1">
      <alignment vertical="center"/>
    </xf>
    <xf numFmtId="4" fontId="3" fillId="1961" borderId="1734" xfId="0" applyNumberFormat="1" applyFont="1" applyFill="1" applyBorder="1" applyAlignment="1">
      <alignment vertical="center"/>
    </xf>
    <xf numFmtId="0" fontId="3" fillId="1962" borderId="1735" xfId="0" applyFont="1" applyFill="1" applyBorder="1" applyAlignment="1">
      <alignment vertical="center"/>
    </xf>
    <xf numFmtId="0" fontId="3" fillId="1963" borderId="1736" xfId="0" applyFont="1" applyFill="1" applyBorder="1" applyAlignment="1">
      <alignment vertical="center"/>
    </xf>
    <xf numFmtId="0" fontId="3" fillId="1965" borderId="1737" xfId="0" applyFont="1" applyFill="1" applyBorder="1" applyAlignment="1">
      <alignment vertical="center"/>
    </xf>
    <xf numFmtId="0" fontId="3" fillId="1966" borderId="1738" xfId="0" applyFont="1" applyFill="1" applyBorder="1" applyAlignment="1">
      <alignment vertical="center"/>
    </xf>
    <xf numFmtId="0" fontId="3" fillId="1967" borderId="1739" xfId="0" applyFont="1" applyFill="1" applyBorder="1" applyAlignment="1">
      <alignment vertical="center"/>
    </xf>
    <xf numFmtId="4" fontId="3" fillId="1968" borderId="1740" xfId="0" applyNumberFormat="1" applyFont="1" applyFill="1" applyBorder="1" applyAlignment="1">
      <alignment vertical="center"/>
    </xf>
    <xf numFmtId="4" fontId="3" fillId="1969" borderId="1741" xfId="0" applyNumberFormat="1" applyFont="1" applyFill="1" applyBorder="1" applyAlignment="1">
      <alignment vertical="center"/>
    </xf>
    <xf numFmtId="4" fontId="3" fillId="1970" borderId="1742" xfId="0" applyNumberFormat="1" applyFont="1" applyFill="1" applyBorder="1" applyAlignment="1">
      <alignment vertical="center"/>
    </xf>
    <xf numFmtId="0" fontId="3" fillId="1971" borderId="1743" xfId="0" applyFont="1" applyFill="1" applyBorder="1" applyAlignment="1">
      <alignment vertical="center"/>
    </xf>
    <xf numFmtId="0" fontId="3" fillId="1972" borderId="1744" xfId="0" applyFont="1" applyFill="1" applyBorder="1" applyAlignment="1">
      <alignment vertical="center"/>
    </xf>
    <xf numFmtId="0" fontId="3" fillId="1974" borderId="1745" xfId="0" applyFont="1" applyFill="1" applyBorder="1" applyAlignment="1">
      <alignment vertical="center"/>
    </xf>
    <xf numFmtId="0" fontId="3" fillId="1975" borderId="1746" xfId="0" applyFont="1" applyFill="1" applyBorder="1" applyAlignment="1">
      <alignment vertical="center"/>
    </xf>
    <xf numFmtId="0" fontId="3" fillId="1976" borderId="1747" xfId="0" applyFont="1" applyFill="1" applyBorder="1" applyAlignment="1">
      <alignment vertical="center"/>
    </xf>
    <xf numFmtId="4" fontId="3" fillId="1977" borderId="1748" xfId="0" applyNumberFormat="1" applyFont="1" applyFill="1" applyBorder="1" applyAlignment="1">
      <alignment vertical="center"/>
    </xf>
    <xf numFmtId="4" fontId="3" fillId="1978" borderId="1749" xfId="0" applyNumberFormat="1" applyFont="1" applyFill="1" applyBorder="1" applyAlignment="1">
      <alignment vertical="center"/>
    </xf>
    <xf numFmtId="4" fontId="3" fillId="1979" borderId="1750" xfId="0" applyNumberFormat="1" applyFont="1" applyFill="1" applyBorder="1" applyAlignment="1">
      <alignment vertical="center"/>
    </xf>
    <xf numFmtId="0" fontId="3" fillId="1980" borderId="1751" xfId="0" applyFont="1" applyFill="1" applyBorder="1" applyAlignment="1">
      <alignment vertical="center"/>
    </xf>
    <xf numFmtId="0" fontId="3" fillId="1981" borderId="1752" xfId="0" applyFont="1" applyFill="1" applyBorder="1" applyAlignment="1">
      <alignment vertical="center"/>
    </xf>
    <xf numFmtId="0" fontId="3" fillId="1983" borderId="1753" xfId="0" applyFont="1" applyFill="1" applyBorder="1" applyAlignment="1">
      <alignment vertical="center"/>
    </xf>
    <xf numFmtId="0" fontId="3" fillId="1984" borderId="1754" xfId="0" applyFont="1" applyFill="1" applyBorder="1" applyAlignment="1">
      <alignment vertical="center"/>
    </xf>
    <xf numFmtId="0" fontId="3" fillId="1985" borderId="1755" xfId="0" applyFont="1" applyFill="1" applyBorder="1" applyAlignment="1">
      <alignment vertical="center"/>
    </xf>
    <xf numFmtId="4" fontId="3" fillId="1986" borderId="1756" xfId="0" applyNumberFormat="1" applyFont="1" applyFill="1" applyBorder="1" applyAlignment="1">
      <alignment vertical="center"/>
    </xf>
    <xf numFmtId="4" fontId="3" fillId="1987" borderId="1757" xfId="0" applyNumberFormat="1" applyFont="1" applyFill="1" applyBorder="1" applyAlignment="1">
      <alignment vertical="center"/>
    </xf>
    <xf numFmtId="4" fontId="3" fillId="1988" borderId="1758" xfId="0" applyNumberFormat="1" applyFont="1" applyFill="1" applyBorder="1" applyAlignment="1">
      <alignment vertical="center"/>
    </xf>
    <xf numFmtId="0" fontId="3" fillId="1989" borderId="1759" xfId="0" applyFont="1" applyFill="1" applyBorder="1" applyAlignment="1">
      <alignment vertical="center"/>
    </xf>
    <xf numFmtId="0" fontId="3" fillId="1990" borderId="1760" xfId="0" applyFont="1" applyFill="1" applyBorder="1" applyAlignment="1">
      <alignment vertical="center"/>
    </xf>
    <xf numFmtId="0" fontId="3" fillId="1992" borderId="1761" xfId="0" applyFont="1" applyFill="1" applyBorder="1" applyAlignment="1">
      <alignment vertical="center"/>
    </xf>
    <xf numFmtId="0" fontId="3" fillId="1993" borderId="1762" xfId="0" applyFont="1" applyFill="1" applyBorder="1" applyAlignment="1">
      <alignment vertical="center"/>
    </xf>
    <xf numFmtId="0" fontId="3" fillId="1994" borderId="1763" xfId="0" applyFont="1" applyFill="1" applyBorder="1" applyAlignment="1">
      <alignment vertical="center"/>
    </xf>
    <xf numFmtId="4" fontId="3" fillId="1995" borderId="1764" xfId="0" applyNumberFormat="1" applyFont="1" applyFill="1" applyBorder="1" applyAlignment="1">
      <alignment vertical="center"/>
    </xf>
    <xf numFmtId="4" fontId="3" fillId="1996" borderId="1765" xfId="0" applyNumberFormat="1" applyFont="1" applyFill="1" applyBorder="1" applyAlignment="1">
      <alignment vertical="center"/>
    </xf>
    <xf numFmtId="4" fontId="3" fillId="1997" borderId="1766" xfId="0" applyNumberFormat="1" applyFont="1" applyFill="1" applyBorder="1" applyAlignment="1">
      <alignment vertical="center"/>
    </xf>
    <xf numFmtId="0" fontId="3" fillId="1998" borderId="1767" xfId="0" applyFont="1" applyFill="1" applyBorder="1" applyAlignment="1">
      <alignment vertical="center"/>
    </xf>
    <xf numFmtId="0" fontId="3" fillId="1999" borderId="1768" xfId="0" applyFont="1" applyFill="1" applyBorder="1" applyAlignment="1">
      <alignment vertical="center"/>
    </xf>
    <xf numFmtId="0" fontId="3" fillId="2001" borderId="1769" xfId="0" applyFont="1" applyFill="1" applyBorder="1" applyAlignment="1">
      <alignment vertical="center"/>
    </xf>
    <xf numFmtId="0" fontId="3" fillId="2002" borderId="1770" xfId="0" applyFont="1" applyFill="1" applyBorder="1" applyAlignment="1">
      <alignment vertical="center"/>
    </xf>
    <xf numFmtId="0" fontId="3" fillId="2003" borderId="1771" xfId="0" applyFont="1" applyFill="1" applyBorder="1" applyAlignment="1">
      <alignment vertical="center"/>
    </xf>
    <xf numFmtId="4" fontId="3" fillId="2004" borderId="1772" xfId="0" applyNumberFormat="1" applyFont="1" applyFill="1" applyBorder="1" applyAlignment="1">
      <alignment vertical="center"/>
    </xf>
    <xf numFmtId="4" fontId="3" fillId="2005" borderId="1773" xfId="0" applyNumberFormat="1" applyFont="1" applyFill="1" applyBorder="1" applyAlignment="1">
      <alignment vertical="center"/>
    </xf>
    <xf numFmtId="4" fontId="3" fillId="2006" borderId="1774" xfId="0" applyNumberFormat="1" applyFont="1" applyFill="1" applyBorder="1" applyAlignment="1">
      <alignment vertical="center"/>
    </xf>
    <xf numFmtId="0" fontId="3" fillId="2007" borderId="1775" xfId="0" applyFont="1" applyFill="1" applyBorder="1" applyAlignment="1">
      <alignment vertical="center"/>
    </xf>
    <xf numFmtId="0" fontId="3" fillId="2008" borderId="1776" xfId="0" applyFont="1" applyFill="1" applyBorder="1" applyAlignment="1">
      <alignment vertical="center"/>
    </xf>
    <xf numFmtId="0" fontId="3" fillId="2010" borderId="1777" xfId="0" applyFont="1" applyFill="1" applyBorder="1" applyAlignment="1">
      <alignment vertical="center"/>
    </xf>
    <xf numFmtId="0" fontId="3" fillId="2011" borderId="1778" xfId="0" applyFont="1" applyFill="1" applyBorder="1" applyAlignment="1">
      <alignment vertical="center"/>
    </xf>
    <xf numFmtId="0" fontId="3" fillId="2012" borderId="1779" xfId="0" applyFont="1" applyFill="1" applyBorder="1" applyAlignment="1">
      <alignment vertical="center"/>
    </xf>
    <xf numFmtId="4" fontId="3" fillId="2013" borderId="1780" xfId="0" applyNumberFormat="1" applyFont="1" applyFill="1" applyBorder="1" applyAlignment="1">
      <alignment vertical="center"/>
    </xf>
    <xf numFmtId="4" fontId="3" fillId="2014" borderId="1781" xfId="0" applyNumberFormat="1" applyFont="1" applyFill="1" applyBorder="1" applyAlignment="1">
      <alignment vertical="center"/>
    </xf>
    <xf numFmtId="4" fontId="3" fillId="2015" borderId="1782" xfId="0" applyNumberFormat="1" applyFont="1" applyFill="1" applyBorder="1" applyAlignment="1">
      <alignment vertical="center"/>
    </xf>
    <xf numFmtId="0" fontId="3" fillId="2016" borderId="1783" xfId="0" applyFont="1" applyFill="1" applyBorder="1" applyAlignment="1">
      <alignment vertical="center"/>
    </xf>
    <xf numFmtId="0" fontId="3" fillId="2017" borderId="1784" xfId="0" applyFont="1" applyFill="1" applyBorder="1" applyAlignment="1">
      <alignment vertical="center"/>
    </xf>
    <xf numFmtId="0" fontId="3" fillId="2019" borderId="1785" xfId="0" applyFont="1" applyFill="1" applyBorder="1" applyAlignment="1">
      <alignment vertical="center"/>
    </xf>
    <xf numFmtId="0" fontId="3" fillId="2020" borderId="1786" xfId="0" applyFont="1" applyFill="1" applyBorder="1" applyAlignment="1">
      <alignment vertical="center"/>
    </xf>
    <xf numFmtId="0" fontId="3" fillId="2021" borderId="1787" xfId="0" applyFont="1" applyFill="1" applyBorder="1" applyAlignment="1">
      <alignment vertical="center"/>
    </xf>
    <xf numFmtId="4" fontId="3" fillId="2022" borderId="1788" xfId="0" applyNumberFormat="1" applyFont="1" applyFill="1" applyBorder="1" applyAlignment="1">
      <alignment vertical="center"/>
    </xf>
    <xf numFmtId="4" fontId="3" fillId="2023" borderId="1789" xfId="0" applyNumberFormat="1" applyFont="1" applyFill="1" applyBorder="1" applyAlignment="1">
      <alignment vertical="center"/>
    </xf>
    <xf numFmtId="4" fontId="3" fillId="2024" borderId="1790" xfId="0" applyNumberFormat="1" applyFont="1" applyFill="1" applyBorder="1" applyAlignment="1">
      <alignment vertical="center"/>
    </xf>
    <xf numFmtId="0" fontId="3" fillId="2025" borderId="1791" xfId="0" applyFont="1" applyFill="1" applyBorder="1" applyAlignment="1">
      <alignment vertical="center"/>
    </xf>
    <xf numFmtId="0" fontId="3" fillId="2026" borderId="1792" xfId="0" applyFont="1" applyFill="1" applyBorder="1" applyAlignment="1">
      <alignment vertical="center"/>
    </xf>
    <xf numFmtId="0" fontId="3" fillId="2028" borderId="1793" xfId="0" applyFont="1" applyFill="1" applyBorder="1" applyAlignment="1">
      <alignment vertical="center"/>
    </xf>
    <xf numFmtId="0" fontId="3" fillId="2029" borderId="1794" xfId="0" applyFont="1" applyFill="1" applyBorder="1" applyAlignment="1">
      <alignment vertical="center"/>
    </xf>
    <xf numFmtId="0" fontId="3" fillId="2030" borderId="1795" xfId="0" applyFont="1" applyFill="1" applyBorder="1" applyAlignment="1">
      <alignment vertical="center"/>
    </xf>
    <xf numFmtId="4" fontId="3" fillId="2031" borderId="1796" xfId="0" applyNumberFormat="1" applyFont="1" applyFill="1" applyBorder="1" applyAlignment="1">
      <alignment vertical="center"/>
    </xf>
    <xf numFmtId="4" fontId="3" fillId="2032" borderId="1797" xfId="0" applyNumberFormat="1" applyFont="1" applyFill="1" applyBorder="1" applyAlignment="1">
      <alignment vertical="center"/>
    </xf>
    <xf numFmtId="4" fontId="3" fillId="2033" borderId="1798" xfId="0" applyNumberFormat="1" applyFont="1" applyFill="1" applyBorder="1" applyAlignment="1">
      <alignment vertical="center"/>
    </xf>
    <xf numFmtId="0" fontId="3" fillId="2034" borderId="1799" xfId="0" applyFont="1" applyFill="1" applyBorder="1" applyAlignment="1">
      <alignment vertical="center"/>
    </xf>
    <xf numFmtId="0" fontId="3" fillId="2035" borderId="1800" xfId="0" applyFont="1" applyFill="1" applyBorder="1" applyAlignment="1">
      <alignment vertical="center"/>
    </xf>
    <xf numFmtId="0" fontId="3" fillId="2037" borderId="1801" xfId="0" applyFont="1" applyFill="1" applyBorder="1" applyAlignment="1">
      <alignment vertical="center"/>
    </xf>
    <xf numFmtId="0" fontId="3" fillId="2038" borderId="1802" xfId="0" applyFont="1" applyFill="1" applyBorder="1" applyAlignment="1">
      <alignment vertical="center"/>
    </xf>
    <xf numFmtId="0" fontId="3" fillId="2039" borderId="1803" xfId="0" applyFont="1" applyFill="1" applyBorder="1" applyAlignment="1">
      <alignment vertical="center"/>
    </xf>
    <xf numFmtId="4" fontId="3" fillId="2040" borderId="1804" xfId="0" applyNumberFormat="1" applyFont="1" applyFill="1" applyBorder="1" applyAlignment="1">
      <alignment vertical="center"/>
    </xf>
    <xf numFmtId="4" fontId="3" fillId="2041" borderId="1805" xfId="0" applyNumberFormat="1" applyFont="1" applyFill="1" applyBorder="1" applyAlignment="1">
      <alignment vertical="center"/>
    </xf>
    <xf numFmtId="4" fontId="3" fillId="2042" borderId="1806" xfId="0" applyNumberFormat="1" applyFont="1" applyFill="1" applyBorder="1" applyAlignment="1">
      <alignment vertical="center"/>
    </xf>
    <xf numFmtId="0" fontId="3" fillId="2043" borderId="1807" xfId="0" applyFont="1" applyFill="1" applyBorder="1" applyAlignment="1">
      <alignment vertical="center"/>
    </xf>
    <xf numFmtId="0" fontId="3" fillId="2044" borderId="1808" xfId="0" applyFont="1" applyFill="1" applyBorder="1" applyAlignment="1">
      <alignment vertical="center"/>
    </xf>
    <xf numFmtId="0" fontId="3" fillId="2046" borderId="1809" xfId="0" applyFont="1" applyFill="1" applyBorder="1" applyAlignment="1">
      <alignment vertical="center"/>
    </xf>
    <xf numFmtId="0" fontId="3" fillId="2047" borderId="1810" xfId="0" applyFont="1" applyFill="1" applyBorder="1" applyAlignment="1">
      <alignment vertical="center"/>
    </xf>
    <xf numFmtId="0" fontId="3" fillId="2048" borderId="1811" xfId="0" applyFont="1" applyFill="1" applyBorder="1" applyAlignment="1">
      <alignment vertical="center"/>
    </xf>
    <xf numFmtId="4" fontId="3" fillId="2049" borderId="1812" xfId="0" applyNumberFormat="1" applyFont="1" applyFill="1" applyBorder="1" applyAlignment="1">
      <alignment vertical="center"/>
    </xf>
    <xf numFmtId="4" fontId="3" fillId="2050" borderId="1813" xfId="0" applyNumberFormat="1" applyFont="1" applyFill="1" applyBorder="1" applyAlignment="1">
      <alignment vertical="center"/>
    </xf>
    <xf numFmtId="4" fontId="3" fillId="2051" borderId="1814" xfId="0" applyNumberFormat="1" applyFont="1" applyFill="1" applyBorder="1" applyAlignment="1">
      <alignment vertical="center"/>
    </xf>
    <xf numFmtId="0" fontId="3" fillId="2052" borderId="1815" xfId="0" applyFont="1" applyFill="1" applyBorder="1" applyAlignment="1">
      <alignment vertical="center"/>
    </xf>
    <xf numFmtId="0" fontId="3" fillId="2053" borderId="1816" xfId="0" applyFont="1" applyFill="1" applyBorder="1" applyAlignment="1">
      <alignment vertical="center"/>
    </xf>
    <xf numFmtId="0" fontId="3" fillId="2055" borderId="1817" xfId="0" applyFont="1" applyFill="1" applyBorder="1" applyAlignment="1">
      <alignment vertical="center"/>
    </xf>
    <xf numFmtId="0" fontId="3" fillId="2056" borderId="1818" xfId="0" applyFont="1" applyFill="1" applyBorder="1" applyAlignment="1">
      <alignment vertical="center"/>
    </xf>
    <xf numFmtId="0" fontId="3" fillId="2057" borderId="1819" xfId="0" applyFont="1" applyFill="1" applyBorder="1" applyAlignment="1">
      <alignment vertical="center"/>
    </xf>
    <xf numFmtId="4" fontId="3" fillId="2058" borderId="1820" xfId="0" applyNumberFormat="1" applyFont="1" applyFill="1" applyBorder="1" applyAlignment="1">
      <alignment vertical="center"/>
    </xf>
    <xf numFmtId="4" fontId="3" fillId="2059" borderId="1821" xfId="0" applyNumberFormat="1" applyFont="1" applyFill="1" applyBorder="1" applyAlignment="1">
      <alignment vertical="center"/>
    </xf>
    <xf numFmtId="4" fontId="3" fillId="2060" borderId="1822" xfId="0" applyNumberFormat="1" applyFont="1" applyFill="1" applyBorder="1" applyAlignment="1">
      <alignment vertical="center"/>
    </xf>
    <xf numFmtId="0" fontId="3" fillId="2061" borderId="1823" xfId="0" applyFont="1" applyFill="1" applyBorder="1" applyAlignment="1">
      <alignment vertical="center"/>
    </xf>
    <xf numFmtId="0" fontId="3" fillId="2062" borderId="1824" xfId="0" applyFont="1" applyFill="1" applyBorder="1" applyAlignment="1">
      <alignment vertical="center"/>
    </xf>
    <xf numFmtId="0" fontId="3" fillId="2064" borderId="1825" xfId="0" applyFont="1" applyFill="1" applyBorder="1" applyAlignment="1">
      <alignment vertical="center"/>
    </xf>
    <xf numFmtId="0" fontId="3" fillId="2065" borderId="1826" xfId="0" applyFont="1" applyFill="1" applyBorder="1" applyAlignment="1">
      <alignment vertical="center"/>
    </xf>
    <xf numFmtId="0" fontId="3" fillId="2066" borderId="1827" xfId="0" applyFont="1" applyFill="1" applyBorder="1" applyAlignment="1">
      <alignment vertical="center"/>
    </xf>
    <xf numFmtId="4" fontId="3" fillId="2067" borderId="1828" xfId="0" applyNumberFormat="1" applyFont="1" applyFill="1" applyBorder="1" applyAlignment="1">
      <alignment vertical="center"/>
    </xf>
    <xf numFmtId="4" fontId="3" fillId="2068" borderId="1829" xfId="0" applyNumberFormat="1" applyFont="1" applyFill="1" applyBorder="1" applyAlignment="1">
      <alignment vertical="center"/>
    </xf>
    <xf numFmtId="4" fontId="3" fillId="2069" borderId="1830" xfId="0" applyNumberFormat="1" applyFont="1" applyFill="1" applyBorder="1" applyAlignment="1">
      <alignment vertical="center"/>
    </xf>
    <xf numFmtId="0" fontId="3" fillId="2070" borderId="1831" xfId="0" applyFont="1" applyFill="1" applyBorder="1" applyAlignment="1">
      <alignment vertical="center"/>
    </xf>
    <xf numFmtId="0" fontId="3" fillId="2071" borderId="1832" xfId="0" applyFont="1" applyFill="1" applyBorder="1" applyAlignment="1">
      <alignment vertical="center"/>
    </xf>
    <xf numFmtId="0" fontId="3" fillId="2073" borderId="1833" xfId="0" applyFont="1" applyFill="1" applyBorder="1" applyAlignment="1">
      <alignment vertical="center"/>
    </xf>
    <xf numFmtId="0" fontId="3" fillId="2074" borderId="1834" xfId="0" applyFont="1" applyFill="1" applyBorder="1" applyAlignment="1">
      <alignment vertical="center"/>
    </xf>
    <xf numFmtId="0" fontId="3" fillId="2075" borderId="1835" xfId="0" applyFont="1" applyFill="1" applyBorder="1" applyAlignment="1">
      <alignment vertical="center"/>
    </xf>
    <xf numFmtId="4" fontId="3" fillId="2076" borderId="1836" xfId="0" applyNumberFormat="1" applyFont="1" applyFill="1" applyBorder="1" applyAlignment="1">
      <alignment vertical="center"/>
    </xf>
    <xf numFmtId="4" fontId="3" fillId="2077" borderId="1837" xfId="0" applyNumberFormat="1" applyFont="1" applyFill="1" applyBorder="1" applyAlignment="1">
      <alignment vertical="center"/>
    </xf>
    <xf numFmtId="4" fontId="3" fillId="2078" borderId="1838" xfId="0" applyNumberFormat="1" applyFont="1" applyFill="1" applyBorder="1" applyAlignment="1">
      <alignment vertical="center"/>
    </xf>
    <xf numFmtId="0" fontId="3" fillId="2079" borderId="1839" xfId="0" applyFont="1" applyFill="1" applyBorder="1" applyAlignment="1">
      <alignment vertical="center"/>
    </xf>
    <xf numFmtId="0" fontId="3" fillId="2080" borderId="1840" xfId="0" applyFont="1" applyFill="1" applyBorder="1" applyAlignment="1">
      <alignment vertical="center"/>
    </xf>
    <xf numFmtId="0" fontId="3" fillId="2082" borderId="1841" xfId="0" applyFont="1" applyFill="1" applyBorder="1" applyAlignment="1">
      <alignment vertical="center"/>
    </xf>
    <xf numFmtId="0" fontId="3" fillId="2083" borderId="1842" xfId="0" applyFont="1" applyFill="1" applyBorder="1" applyAlignment="1">
      <alignment vertical="center"/>
    </xf>
    <xf numFmtId="0" fontId="3" fillId="2084" borderId="1843" xfId="0" applyFont="1" applyFill="1" applyBorder="1" applyAlignment="1">
      <alignment vertical="center"/>
    </xf>
    <xf numFmtId="4" fontId="3" fillId="2085" borderId="1844" xfId="0" applyNumberFormat="1" applyFont="1" applyFill="1" applyBorder="1" applyAlignment="1">
      <alignment vertical="center"/>
    </xf>
    <xf numFmtId="4" fontId="3" fillId="2086" borderId="1845" xfId="0" applyNumberFormat="1" applyFont="1" applyFill="1" applyBorder="1" applyAlignment="1">
      <alignment vertical="center"/>
    </xf>
    <xf numFmtId="4" fontId="3" fillId="2087" borderId="1846" xfId="0" applyNumberFormat="1" applyFont="1" applyFill="1" applyBorder="1" applyAlignment="1">
      <alignment vertical="center"/>
    </xf>
    <xf numFmtId="0" fontId="3" fillId="2088" borderId="1847" xfId="0" applyFont="1" applyFill="1" applyBorder="1" applyAlignment="1">
      <alignment vertical="center"/>
    </xf>
    <xf numFmtId="0" fontId="3" fillId="2089" borderId="1848" xfId="0" applyFont="1" applyFill="1" applyBorder="1" applyAlignment="1">
      <alignment vertical="center"/>
    </xf>
    <xf numFmtId="0" fontId="3" fillId="2091" borderId="1849" xfId="0" applyFont="1" applyFill="1" applyBorder="1" applyAlignment="1">
      <alignment vertical="center"/>
    </xf>
    <xf numFmtId="0" fontId="3" fillId="2092" borderId="1850" xfId="0" applyFont="1" applyFill="1" applyBorder="1" applyAlignment="1">
      <alignment vertical="center"/>
    </xf>
    <xf numFmtId="0" fontId="3" fillId="2093" borderId="1851" xfId="0" applyFont="1" applyFill="1" applyBorder="1" applyAlignment="1">
      <alignment vertical="center"/>
    </xf>
    <xf numFmtId="4" fontId="3" fillId="2094" borderId="1852" xfId="0" applyNumberFormat="1" applyFont="1" applyFill="1" applyBorder="1" applyAlignment="1">
      <alignment vertical="center"/>
    </xf>
    <xf numFmtId="4" fontId="3" fillId="2095" borderId="1853" xfId="0" applyNumberFormat="1" applyFont="1" applyFill="1" applyBorder="1" applyAlignment="1">
      <alignment vertical="center"/>
    </xf>
    <xf numFmtId="4" fontId="3" fillId="2096" borderId="1854" xfId="0" applyNumberFormat="1" applyFont="1" applyFill="1" applyBorder="1" applyAlignment="1">
      <alignment vertical="center"/>
    </xf>
    <xf numFmtId="0" fontId="3" fillId="2097" borderId="1855" xfId="0" applyFont="1" applyFill="1" applyBorder="1" applyAlignment="1">
      <alignment vertical="center"/>
    </xf>
    <xf numFmtId="0" fontId="3" fillId="2098" borderId="1856" xfId="0" applyFont="1" applyFill="1" applyBorder="1" applyAlignment="1">
      <alignment vertical="center"/>
    </xf>
    <xf numFmtId="0" fontId="3" fillId="2100" borderId="1857" xfId="0" applyFont="1" applyFill="1" applyBorder="1" applyAlignment="1">
      <alignment vertical="center"/>
    </xf>
    <xf numFmtId="0" fontId="3" fillId="2101" borderId="1858" xfId="0" applyFont="1" applyFill="1" applyBorder="1" applyAlignment="1">
      <alignment vertical="center"/>
    </xf>
    <xf numFmtId="0" fontId="3" fillId="2102" borderId="1859" xfId="0" applyFont="1" applyFill="1" applyBorder="1" applyAlignment="1">
      <alignment vertical="center"/>
    </xf>
    <xf numFmtId="4" fontId="3" fillId="2103" borderId="1860" xfId="0" applyNumberFormat="1" applyFont="1" applyFill="1" applyBorder="1" applyAlignment="1">
      <alignment vertical="center"/>
    </xf>
    <xf numFmtId="4" fontId="3" fillId="2104" borderId="1861" xfId="0" applyNumberFormat="1" applyFont="1" applyFill="1" applyBorder="1" applyAlignment="1">
      <alignment vertical="center"/>
    </xf>
    <xf numFmtId="4" fontId="3" fillId="2105" borderId="1862" xfId="0" applyNumberFormat="1" applyFont="1" applyFill="1" applyBorder="1" applyAlignment="1">
      <alignment vertical="center"/>
    </xf>
    <xf numFmtId="0" fontId="3" fillId="2106" borderId="1863" xfId="0" applyFont="1" applyFill="1" applyBorder="1" applyAlignment="1">
      <alignment vertical="center"/>
    </xf>
    <xf numFmtId="0" fontId="3" fillId="2107" borderId="1864" xfId="0" applyFont="1" applyFill="1" applyBorder="1" applyAlignment="1">
      <alignment vertical="center"/>
    </xf>
    <xf numFmtId="0" fontId="3" fillId="2109" borderId="1865" xfId="0" applyFont="1" applyFill="1" applyBorder="1" applyAlignment="1">
      <alignment vertical="center"/>
    </xf>
    <xf numFmtId="0" fontId="3" fillId="2110" borderId="1866" xfId="0" applyFont="1" applyFill="1" applyBorder="1" applyAlignment="1">
      <alignment vertical="center"/>
    </xf>
    <xf numFmtId="0" fontId="3" fillId="2111" borderId="1867" xfId="0" applyFont="1" applyFill="1" applyBorder="1" applyAlignment="1">
      <alignment vertical="center"/>
    </xf>
    <xf numFmtId="4" fontId="3" fillId="2112" borderId="1868" xfId="0" applyNumberFormat="1" applyFont="1" applyFill="1" applyBorder="1" applyAlignment="1">
      <alignment vertical="center"/>
    </xf>
    <xf numFmtId="4" fontId="3" fillId="2113" borderId="1869" xfId="0" applyNumberFormat="1" applyFont="1" applyFill="1" applyBorder="1" applyAlignment="1">
      <alignment vertical="center"/>
    </xf>
    <xf numFmtId="4" fontId="3" fillId="2114" borderId="1870" xfId="0" applyNumberFormat="1" applyFont="1" applyFill="1" applyBorder="1" applyAlignment="1">
      <alignment vertical="center"/>
    </xf>
    <xf numFmtId="0" fontId="3" fillId="2115" borderId="1871" xfId="0" applyFont="1" applyFill="1" applyBorder="1" applyAlignment="1">
      <alignment vertical="center"/>
    </xf>
    <xf numFmtId="0" fontId="3" fillId="2116" borderId="1872" xfId="0" applyFont="1" applyFill="1" applyBorder="1" applyAlignment="1">
      <alignment vertical="center"/>
    </xf>
    <xf numFmtId="0" fontId="3" fillId="2118" borderId="1873" xfId="0" applyFont="1" applyFill="1" applyBorder="1" applyAlignment="1">
      <alignment vertical="center"/>
    </xf>
    <xf numFmtId="0" fontId="3" fillId="2119" borderId="1874" xfId="0" applyFont="1" applyFill="1" applyBorder="1" applyAlignment="1">
      <alignment vertical="center"/>
    </xf>
    <xf numFmtId="0" fontId="3" fillId="2120" borderId="1875" xfId="0" applyFont="1" applyFill="1" applyBorder="1" applyAlignment="1">
      <alignment vertical="center"/>
    </xf>
    <xf numFmtId="4" fontId="3" fillId="2121" borderId="1876" xfId="0" applyNumberFormat="1" applyFont="1" applyFill="1" applyBorder="1" applyAlignment="1">
      <alignment vertical="center"/>
    </xf>
    <xf numFmtId="4" fontId="3" fillId="2122" borderId="1877" xfId="0" applyNumberFormat="1" applyFont="1" applyFill="1" applyBorder="1" applyAlignment="1">
      <alignment vertical="center"/>
    </xf>
    <xf numFmtId="4" fontId="3" fillId="2123" borderId="1878" xfId="0" applyNumberFormat="1" applyFont="1" applyFill="1" applyBorder="1" applyAlignment="1">
      <alignment vertical="center"/>
    </xf>
    <xf numFmtId="0" fontId="3" fillId="2124" borderId="1879" xfId="0" applyFont="1" applyFill="1" applyBorder="1" applyAlignment="1">
      <alignment vertical="center"/>
    </xf>
    <xf numFmtId="0" fontId="3" fillId="2125" borderId="1880" xfId="0" applyFont="1" applyFill="1" applyBorder="1" applyAlignment="1">
      <alignment vertical="center"/>
    </xf>
    <xf numFmtId="0" fontId="3" fillId="2127" borderId="1881" xfId="0" applyFont="1" applyFill="1" applyBorder="1" applyAlignment="1">
      <alignment vertical="center"/>
    </xf>
    <xf numFmtId="0" fontId="3" fillId="2128" borderId="1882" xfId="0" applyFont="1" applyFill="1" applyBorder="1" applyAlignment="1">
      <alignment vertical="center"/>
    </xf>
    <xf numFmtId="0" fontId="3" fillId="2129" borderId="1883" xfId="0" applyFont="1" applyFill="1" applyBorder="1" applyAlignment="1">
      <alignment vertical="center"/>
    </xf>
    <xf numFmtId="4" fontId="3" fillId="2130" borderId="1884" xfId="0" applyNumberFormat="1" applyFont="1" applyFill="1" applyBorder="1" applyAlignment="1">
      <alignment vertical="center"/>
    </xf>
    <xf numFmtId="4" fontId="3" fillId="2131" borderId="1885" xfId="0" applyNumberFormat="1" applyFont="1" applyFill="1" applyBorder="1" applyAlignment="1">
      <alignment vertical="center"/>
    </xf>
    <xf numFmtId="4" fontId="3" fillId="2132" borderId="1886" xfId="0" applyNumberFormat="1" applyFont="1" applyFill="1" applyBorder="1" applyAlignment="1">
      <alignment vertical="center"/>
    </xf>
    <xf numFmtId="0" fontId="3" fillId="2133" borderId="1887" xfId="0" applyFont="1" applyFill="1" applyBorder="1" applyAlignment="1">
      <alignment vertical="center"/>
    </xf>
    <xf numFmtId="0" fontId="3" fillId="2134" borderId="1888" xfId="0" applyFont="1" applyFill="1" applyBorder="1" applyAlignment="1">
      <alignment vertical="center"/>
    </xf>
    <xf numFmtId="0" fontId="3" fillId="2136" borderId="1889" xfId="0" applyFont="1" applyFill="1" applyBorder="1" applyAlignment="1">
      <alignment vertical="center"/>
    </xf>
    <xf numFmtId="0" fontId="3" fillId="2137" borderId="1890" xfId="0" applyFont="1" applyFill="1" applyBorder="1" applyAlignment="1">
      <alignment vertical="center"/>
    </xf>
    <xf numFmtId="0" fontId="3" fillId="2138" borderId="1891" xfId="0" applyFont="1" applyFill="1" applyBorder="1" applyAlignment="1">
      <alignment vertical="center"/>
    </xf>
    <xf numFmtId="4" fontId="3" fillId="2139" borderId="1892" xfId="0" applyNumberFormat="1" applyFont="1" applyFill="1" applyBorder="1" applyAlignment="1">
      <alignment vertical="center"/>
    </xf>
    <xf numFmtId="4" fontId="3" fillId="2140" borderId="1893" xfId="0" applyNumberFormat="1" applyFont="1" applyFill="1" applyBorder="1" applyAlignment="1">
      <alignment vertical="center"/>
    </xf>
    <xf numFmtId="4" fontId="3" fillId="2141" borderId="1894" xfId="0" applyNumberFormat="1" applyFont="1" applyFill="1" applyBorder="1" applyAlignment="1">
      <alignment vertical="center"/>
    </xf>
    <xf numFmtId="0" fontId="3" fillId="2142" borderId="1895" xfId="0" applyFont="1" applyFill="1" applyBorder="1" applyAlignment="1">
      <alignment vertical="center"/>
    </xf>
    <xf numFmtId="0" fontId="3" fillId="2143" borderId="1896" xfId="0" applyFont="1" applyFill="1" applyBorder="1" applyAlignment="1">
      <alignment vertical="center"/>
    </xf>
    <xf numFmtId="0" fontId="3" fillId="2145" borderId="1897" xfId="0" applyFont="1" applyFill="1" applyBorder="1" applyAlignment="1">
      <alignment vertical="center"/>
    </xf>
    <xf numFmtId="0" fontId="3" fillId="2146" borderId="1898" xfId="0" applyFont="1" applyFill="1" applyBorder="1" applyAlignment="1">
      <alignment vertical="center"/>
    </xf>
    <xf numFmtId="0" fontId="3" fillId="2147" borderId="1899" xfId="0" applyFont="1" applyFill="1" applyBorder="1" applyAlignment="1">
      <alignment vertical="center"/>
    </xf>
    <xf numFmtId="4" fontId="3" fillId="2148" borderId="1900" xfId="0" applyNumberFormat="1" applyFont="1" applyFill="1" applyBorder="1" applyAlignment="1">
      <alignment vertical="center"/>
    </xf>
    <xf numFmtId="4" fontId="3" fillId="2149" borderId="1901" xfId="0" applyNumberFormat="1" applyFont="1" applyFill="1" applyBorder="1" applyAlignment="1">
      <alignment vertical="center"/>
    </xf>
    <xf numFmtId="4" fontId="3" fillId="2150" borderId="1902" xfId="0" applyNumberFormat="1" applyFont="1" applyFill="1" applyBorder="1" applyAlignment="1">
      <alignment vertical="center"/>
    </xf>
    <xf numFmtId="0" fontId="3" fillId="2151" borderId="1903" xfId="0" applyFont="1" applyFill="1" applyBorder="1" applyAlignment="1">
      <alignment vertical="center"/>
    </xf>
    <xf numFmtId="0" fontId="3" fillId="2152" borderId="1904" xfId="0" applyFont="1" applyFill="1" applyBorder="1" applyAlignment="1">
      <alignment vertical="center"/>
    </xf>
    <xf numFmtId="0" fontId="3" fillId="2154" borderId="1905" xfId="0" applyFont="1" applyFill="1" applyBorder="1" applyAlignment="1">
      <alignment vertical="center"/>
    </xf>
    <xf numFmtId="0" fontId="3" fillId="2155" borderId="1906" xfId="0" applyFont="1" applyFill="1" applyBorder="1" applyAlignment="1">
      <alignment vertical="center"/>
    </xf>
    <xf numFmtId="0" fontId="3" fillId="2156" borderId="1907" xfId="0" applyFont="1" applyFill="1" applyBorder="1" applyAlignment="1">
      <alignment vertical="center"/>
    </xf>
    <xf numFmtId="4" fontId="3" fillId="2157" borderId="1908" xfId="0" applyNumberFormat="1" applyFont="1" applyFill="1" applyBorder="1" applyAlignment="1">
      <alignment vertical="center"/>
    </xf>
    <xf numFmtId="4" fontId="3" fillId="2158" borderId="1909" xfId="0" applyNumberFormat="1" applyFont="1" applyFill="1" applyBorder="1" applyAlignment="1">
      <alignment vertical="center"/>
    </xf>
    <xf numFmtId="4" fontId="3" fillId="2159" borderId="1910" xfId="0" applyNumberFormat="1" applyFont="1" applyFill="1" applyBorder="1" applyAlignment="1">
      <alignment vertical="center"/>
    </xf>
    <xf numFmtId="0" fontId="3" fillId="2160" borderId="1911" xfId="0" applyFont="1" applyFill="1" applyBorder="1" applyAlignment="1">
      <alignment vertical="center"/>
    </xf>
    <xf numFmtId="0" fontId="3" fillId="2161" borderId="1912" xfId="0" applyFont="1" applyFill="1" applyBorder="1" applyAlignment="1">
      <alignment vertical="center"/>
    </xf>
    <xf numFmtId="0" fontId="3" fillId="2163" borderId="1913" xfId="0" applyFont="1" applyFill="1" applyBorder="1" applyAlignment="1">
      <alignment vertical="center"/>
    </xf>
    <xf numFmtId="0" fontId="3" fillId="2164" borderId="1914" xfId="0" applyFont="1" applyFill="1" applyBorder="1" applyAlignment="1">
      <alignment vertical="center"/>
    </xf>
    <xf numFmtId="0" fontId="3" fillId="2165" borderId="1915" xfId="0" applyFont="1" applyFill="1" applyBorder="1" applyAlignment="1">
      <alignment vertical="center"/>
    </xf>
    <xf numFmtId="4" fontId="3" fillId="2166" borderId="1916" xfId="0" applyNumberFormat="1" applyFont="1" applyFill="1" applyBorder="1" applyAlignment="1">
      <alignment vertical="center"/>
    </xf>
    <xf numFmtId="4" fontId="3" fillId="2167" borderId="1917" xfId="0" applyNumberFormat="1" applyFont="1" applyFill="1" applyBorder="1" applyAlignment="1">
      <alignment vertical="center"/>
    </xf>
    <xf numFmtId="4" fontId="3" fillId="2168" borderId="1918" xfId="0" applyNumberFormat="1" applyFont="1" applyFill="1" applyBorder="1" applyAlignment="1">
      <alignment vertical="center"/>
    </xf>
    <xf numFmtId="0" fontId="3" fillId="2169" borderId="1919" xfId="0" applyFont="1" applyFill="1" applyBorder="1" applyAlignment="1">
      <alignment vertical="center"/>
    </xf>
    <xf numFmtId="0" fontId="3" fillId="2170" borderId="1920" xfId="0" applyFont="1" applyFill="1" applyBorder="1" applyAlignment="1">
      <alignment vertical="center"/>
    </xf>
    <xf numFmtId="0" fontId="3" fillId="2172" borderId="1921" xfId="0" applyFont="1" applyFill="1" applyBorder="1" applyAlignment="1">
      <alignment vertical="center"/>
    </xf>
    <xf numFmtId="0" fontId="3" fillId="2173" borderId="1922" xfId="0" applyFont="1" applyFill="1" applyBorder="1" applyAlignment="1">
      <alignment vertical="center"/>
    </xf>
    <xf numFmtId="0" fontId="3" fillId="2174" borderId="1923" xfId="0" applyFont="1" applyFill="1" applyBorder="1" applyAlignment="1">
      <alignment vertical="center"/>
    </xf>
    <xf numFmtId="4" fontId="3" fillId="2175" borderId="1924" xfId="0" applyNumberFormat="1" applyFont="1" applyFill="1" applyBorder="1" applyAlignment="1">
      <alignment vertical="center"/>
    </xf>
    <xf numFmtId="4" fontId="3" fillId="2176" borderId="1925" xfId="0" applyNumberFormat="1" applyFont="1" applyFill="1" applyBorder="1" applyAlignment="1">
      <alignment vertical="center"/>
    </xf>
    <xf numFmtId="4" fontId="3" fillId="2177" borderId="1926" xfId="0" applyNumberFormat="1" applyFont="1" applyFill="1" applyBorder="1" applyAlignment="1">
      <alignment vertical="center"/>
    </xf>
    <xf numFmtId="0" fontId="3" fillId="2178" borderId="1927" xfId="0" applyFont="1" applyFill="1" applyBorder="1" applyAlignment="1">
      <alignment vertical="center"/>
    </xf>
    <xf numFmtId="0" fontId="3" fillId="2179" borderId="1928" xfId="0" applyFont="1" applyFill="1" applyBorder="1" applyAlignment="1">
      <alignment vertical="center"/>
    </xf>
    <xf numFmtId="0" fontId="3" fillId="2181" borderId="1929" xfId="0" applyFont="1" applyFill="1" applyBorder="1" applyAlignment="1">
      <alignment vertical="center"/>
    </xf>
    <xf numFmtId="0" fontId="3" fillId="2182" borderId="1930" xfId="0" applyFont="1" applyFill="1" applyBorder="1" applyAlignment="1">
      <alignment vertical="center"/>
    </xf>
    <xf numFmtId="0" fontId="3" fillId="2183" borderId="1931" xfId="0" applyFont="1" applyFill="1" applyBorder="1" applyAlignment="1">
      <alignment vertical="center"/>
    </xf>
    <xf numFmtId="4" fontId="3" fillId="2184" borderId="1932" xfId="0" applyNumberFormat="1" applyFont="1" applyFill="1" applyBorder="1" applyAlignment="1">
      <alignment vertical="center"/>
    </xf>
    <xf numFmtId="4" fontId="3" fillId="2185" borderId="1933" xfId="0" applyNumberFormat="1" applyFont="1" applyFill="1" applyBorder="1" applyAlignment="1">
      <alignment vertical="center"/>
    </xf>
    <xf numFmtId="4" fontId="3" fillId="2186" borderId="1934" xfId="0" applyNumberFormat="1" applyFont="1" applyFill="1" applyBorder="1" applyAlignment="1">
      <alignment vertical="center"/>
    </xf>
    <xf numFmtId="0" fontId="3" fillId="2187" borderId="1935" xfId="0" applyFont="1" applyFill="1" applyBorder="1" applyAlignment="1">
      <alignment vertical="center"/>
    </xf>
    <xf numFmtId="0" fontId="3" fillId="2188" borderId="1936" xfId="0" applyFont="1" applyFill="1" applyBorder="1" applyAlignment="1">
      <alignment vertical="center"/>
    </xf>
    <xf numFmtId="0" fontId="3" fillId="2190" borderId="1937" xfId="0" applyFont="1" applyFill="1" applyBorder="1" applyAlignment="1">
      <alignment vertical="center"/>
    </xf>
    <xf numFmtId="0" fontId="3" fillId="2191" borderId="1938" xfId="0" applyFont="1" applyFill="1" applyBorder="1" applyAlignment="1">
      <alignment vertical="center"/>
    </xf>
    <xf numFmtId="0" fontId="3" fillId="2192" borderId="1939" xfId="0" applyFont="1" applyFill="1" applyBorder="1" applyAlignment="1">
      <alignment vertical="center"/>
    </xf>
    <xf numFmtId="4" fontId="3" fillId="2193" borderId="1940" xfId="0" applyNumberFormat="1" applyFont="1" applyFill="1" applyBorder="1" applyAlignment="1">
      <alignment vertical="center"/>
    </xf>
    <xf numFmtId="4" fontId="3" fillId="2194" borderId="1941" xfId="0" applyNumberFormat="1" applyFont="1" applyFill="1" applyBorder="1" applyAlignment="1">
      <alignment vertical="center"/>
    </xf>
    <xf numFmtId="4" fontId="3" fillId="2195" borderId="1942" xfId="0" applyNumberFormat="1" applyFont="1" applyFill="1" applyBorder="1" applyAlignment="1">
      <alignment vertical="center"/>
    </xf>
    <xf numFmtId="0" fontId="3" fillId="2196" borderId="1943" xfId="0" applyFont="1" applyFill="1" applyBorder="1" applyAlignment="1">
      <alignment vertical="center"/>
    </xf>
    <xf numFmtId="0" fontId="3" fillId="2197" borderId="1944" xfId="0" applyFont="1" applyFill="1" applyBorder="1" applyAlignment="1">
      <alignment vertical="center"/>
    </xf>
    <xf numFmtId="0" fontId="3" fillId="2199" borderId="1945" xfId="0" applyFont="1" applyFill="1" applyBorder="1" applyAlignment="1">
      <alignment vertical="center"/>
    </xf>
    <xf numFmtId="0" fontId="3" fillId="2200" borderId="1946" xfId="0" applyFont="1" applyFill="1" applyBorder="1" applyAlignment="1">
      <alignment vertical="center"/>
    </xf>
    <xf numFmtId="0" fontId="3" fillId="2201" borderId="1947" xfId="0" applyFont="1" applyFill="1" applyBorder="1" applyAlignment="1">
      <alignment vertical="center"/>
    </xf>
    <xf numFmtId="4" fontId="3" fillId="2202" borderId="1948" xfId="0" applyNumberFormat="1" applyFont="1" applyFill="1" applyBorder="1" applyAlignment="1">
      <alignment vertical="center"/>
    </xf>
    <xf numFmtId="4" fontId="3" fillId="2203" borderId="1949" xfId="0" applyNumberFormat="1" applyFont="1" applyFill="1" applyBorder="1" applyAlignment="1">
      <alignment vertical="center"/>
    </xf>
    <xf numFmtId="4" fontId="3" fillId="2204" borderId="1950" xfId="0" applyNumberFormat="1" applyFont="1" applyFill="1" applyBorder="1" applyAlignment="1">
      <alignment vertical="center"/>
    </xf>
    <xf numFmtId="0" fontId="3" fillId="2205" borderId="1951" xfId="0" applyFont="1" applyFill="1" applyBorder="1" applyAlignment="1">
      <alignment vertical="center"/>
    </xf>
    <xf numFmtId="0" fontId="3" fillId="2206" borderId="1952" xfId="0" applyFont="1" applyFill="1" applyBorder="1" applyAlignment="1">
      <alignment vertical="center"/>
    </xf>
    <xf numFmtId="0" fontId="3" fillId="2208" borderId="1953" xfId="0" applyFont="1" applyFill="1" applyBorder="1" applyAlignment="1">
      <alignment vertical="center"/>
    </xf>
    <xf numFmtId="0" fontId="3" fillId="2209" borderId="1954" xfId="0" applyFont="1" applyFill="1" applyBorder="1" applyAlignment="1">
      <alignment vertical="center"/>
    </xf>
    <xf numFmtId="0" fontId="3" fillId="2210" borderId="1955" xfId="0" applyFont="1" applyFill="1" applyBorder="1" applyAlignment="1">
      <alignment vertical="center"/>
    </xf>
    <xf numFmtId="4" fontId="3" fillId="2211" borderId="1956" xfId="0" applyNumberFormat="1" applyFont="1" applyFill="1" applyBorder="1" applyAlignment="1">
      <alignment vertical="center"/>
    </xf>
    <xf numFmtId="4" fontId="3" fillId="2212" borderId="1957" xfId="0" applyNumberFormat="1" applyFont="1" applyFill="1" applyBorder="1" applyAlignment="1">
      <alignment vertical="center"/>
    </xf>
    <xf numFmtId="4" fontId="3" fillId="2213" borderId="1958" xfId="0" applyNumberFormat="1" applyFont="1" applyFill="1" applyBorder="1" applyAlignment="1">
      <alignment vertical="center"/>
    </xf>
    <xf numFmtId="0" fontId="3" fillId="2214" borderId="1959" xfId="0" applyFont="1" applyFill="1" applyBorder="1" applyAlignment="1">
      <alignment vertical="center"/>
    </xf>
    <xf numFmtId="0" fontId="3" fillId="2215" borderId="1960" xfId="0" applyFont="1" applyFill="1" applyBorder="1" applyAlignment="1">
      <alignment vertical="center"/>
    </xf>
    <xf numFmtId="0" fontId="3" fillId="2217" borderId="1961" xfId="0" applyFont="1" applyFill="1" applyBorder="1" applyAlignment="1">
      <alignment vertical="center"/>
    </xf>
    <xf numFmtId="0" fontId="3" fillId="2218" borderId="1962" xfId="0" applyFont="1" applyFill="1" applyBorder="1" applyAlignment="1">
      <alignment vertical="center"/>
    </xf>
    <xf numFmtId="0" fontId="3" fillId="2219" borderId="1963" xfId="0" applyFont="1" applyFill="1" applyBorder="1" applyAlignment="1">
      <alignment vertical="center"/>
    </xf>
    <xf numFmtId="4" fontId="3" fillId="2220" borderId="1964" xfId="0" applyNumberFormat="1" applyFont="1" applyFill="1" applyBorder="1" applyAlignment="1">
      <alignment vertical="center"/>
    </xf>
    <xf numFmtId="4" fontId="3" fillId="2221" borderId="1965" xfId="0" applyNumberFormat="1" applyFont="1" applyFill="1" applyBorder="1" applyAlignment="1">
      <alignment vertical="center"/>
    </xf>
    <xf numFmtId="4" fontId="3" fillId="2222" borderId="1966" xfId="0" applyNumberFormat="1" applyFont="1" applyFill="1" applyBorder="1" applyAlignment="1">
      <alignment vertical="center"/>
    </xf>
    <xf numFmtId="0" fontId="3" fillId="2223" borderId="1967" xfId="0" applyFont="1" applyFill="1" applyBorder="1" applyAlignment="1">
      <alignment vertical="center"/>
    </xf>
    <xf numFmtId="0" fontId="3" fillId="2224" borderId="1968" xfId="0" applyFont="1" applyFill="1" applyBorder="1" applyAlignment="1">
      <alignment vertical="center"/>
    </xf>
    <xf numFmtId="0" fontId="3" fillId="2226" borderId="1969" xfId="0" applyFont="1" applyFill="1" applyBorder="1" applyAlignment="1">
      <alignment vertical="center"/>
    </xf>
    <xf numFmtId="0" fontId="3" fillId="2227" borderId="1970" xfId="0" applyFont="1" applyFill="1" applyBorder="1" applyAlignment="1">
      <alignment vertical="center"/>
    </xf>
    <xf numFmtId="0" fontId="3" fillId="2228" borderId="1971" xfId="0" applyFont="1" applyFill="1" applyBorder="1" applyAlignment="1">
      <alignment vertical="center"/>
    </xf>
    <xf numFmtId="4" fontId="3" fillId="2229" borderId="1972" xfId="0" applyNumberFormat="1" applyFont="1" applyFill="1" applyBorder="1" applyAlignment="1">
      <alignment vertical="center"/>
    </xf>
    <xf numFmtId="4" fontId="3" fillId="2230" borderId="1973" xfId="0" applyNumberFormat="1" applyFont="1" applyFill="1" applyBorder="1" applyAlignment="1">
      <alignment vertical="center"/>
    </xf>
    <xf numFmtId="4" fontId="3" fillId="2231" borderId="1974" xfId="0" applyNumberFormat="1" applyFont="1" applyFill="1" applyBorder="1" applyAlignment="1">
      <alignment vertical="center"/>
    </xf>
    <xf numFmtId="0" fontId="3" fillId="2232" borderId="1975" xfId="0" applyFont="1" applyFill="1" applyBorder="1" applyAlignment="1">
      <alignment vertical="center"/>
    </xf>
    <xf numFmtId="0" fontId="3" fillId="2233" borderId="1976" xfId="0" applyFont="1" applyFill="1" applyBorder="1" applyAlignment="1">
      <alignment vertical="center"/>
    </xf>
    <xf numFmtId="0" fontId="3" fillId="2235" borderId="1977" xfId="0" applyFont="1" applyFill="1" applyBorder="1" applyAlignment="1">
      <alignment vertical="center"/>
    </xf>
    <xf numFmtId="0" fontId="3" fillId="2236" borderId="1978" xfId="0" applyFont="1" applyFill="1" applyBorder="1" applyAlignment="1">
      <alignment vertical="center"/>
    </xf>
    <xf numFmtId="0" fontId="3" fillId="2237" borderId="1979" xfId="0" applyFont="1" applyFill="1" applyBorder="1" applyAlignment="1">
      <alignment vertical="center"/>
    </xf>
    <xf numFmtId="4" fontId="3" fillId="2238" borderId="1980" xfId="0" applyNumberFormat="1" applyFont="1" applyFill="1" applyBorder="1" applyAlignment="1">
      <alignment vertical="center"/>
    </xf>
    <xf numFmtId="4" fontId="3" fillId="2239" borderId="1981" xfId="0" applyNumberFormat="1" applyFont="1" applyFill="1" applyBorder="1" applyAlignment="1">
      <alignment vertical="center"/>
    </xf>
    <xf numFmtId="4" fontId="3" fillId="2240" borderId="1982" xfId="0" applyNumberFormat="1" applyFont="1" applyFill="1" applyBorder="1" applyAlignment="1">
      <alignment vertical="center"/>
    </xf>
    <xf numFmtId="0" fontId="3" fillId="2241" borderId="1983" xfId="0" applyFont="1" applyFill="1" applyBorder="1" applyAlignment="1">
      <alignment vertical="center"/>
    </xf>
    <xf numFmtId="0" fontId="3" fillId="2242" borderId="1984" xfId="0" applyFont="1" applyFill="1" applyBorder="1" applyAlignment="1">
      <alignment vertical="center"/>
    </xf>
    <xf numFmtId="0" fontId="3" fillId="2244" borderId="1985" xfId="0" applyFont="1" applyFill="1" applyBorder="1" applyAlignment="1">
      <alignment vertical="center"/>
    </xf>
    <xf numFmtId="0" fontId="3" fillId="2245" borderId="1986" xfId="0" applyFont="1" applyFill="1" applyBorder="1" applyAlignment="1">
      <alignment vertical="center"/>
    </xf>
    <xf numFmtId="0" fontId="3" fillId="2246" borderId="1987" xfId="0" applyFont="1" applyFill="1" applyBorder="1" applyAlignment="1">
      <alignment vertical="center"/>
    </xf>
    <xf numFmtId="4" fontId="3" fillId="2247" borderId="1988" xfId="0" applyNumberFormat="1" applyFont="1" applyFill="1" applyBorder="1" applyAlignment="1">
      <alignment vertical="center"/>
    </xf>
    <xf numFmtId="4" fontId="3" fillId="2248" borderId="1989" xfId="0" applyNumberFormat="1" applyFont="1" applyFill="1" applyBorder="1" applyAlignment="1">
      <alignment vertical="center"/>
    </xf>
    <xf numFmtId="4" fontId="3" fillId="2249" borderId="1990" xfId="0" applyNumberFormat="1" applyFont="1" applyFill="1" applyBorder="1" applyAlignment="1">
      <alignment vertical="center"/>
    </xf>
    <xf numFmtId="0" fontId="3" fillId="2250" borderId="1991" xfId="0" applyFont="1" applyFill="1" applyBorder="1" applyAlignment="1">
      <alignment vertical="center"/>
    </xf>
    <xf numFmtId="0" fontId="3" fillId="2251" borderId="1992" xfId="0" applyFont="1" applyFill="1" applyBorder="1" applyAlignment="1">
      <alignment vertical="center"/>
    </xf>
    <xf numFmtId="0" fontId="3" fillId="2253" borderId="1993" xfId="0" applyFont="1" applyFill="1" applyBorder="1" applyAlignment="1">
      <alignment vertical="center"/>
    </xf>
    <xf numFmtId="0" fontId="3" fillId="2254" borderId="1994" xfId="0" applyFont="1" applyFill="1" applyBorder="1" applyAlignment="1">
      <alignment vertical="center"/>
    </xf>
    <xf numFmtId="0" fontId="3" fillId="2255" borderId="1995" xfId="0" applyFont="1" applyFill="1" applyBorder="1" applyAlignment="1">
      <alignment vertical="center"/>
    </xf>
    <xf numFmtId="4" fontId="3" fillId="2256" borderId="1996" xfId="0" applyNumberFormat="1" applyFont="1" applyFill="1" applyBorder="1" applyAlignment="1">
      <alignment vertical="center"/>
    </xf>
    <xf numFmtId="4" fontId="3" fillId="2257" borderId="1997" xfId="0" applyNumberFormat="1" applyFont="1" applyFill="1" applyBorder="1" applyAlignment="1">
      <alignment vertical="center"/>
    </xf>
    <xf numFmtId="4" fontId="3" fillId="2258" borderId="1998" xfId="0" applyNumberFormat="1" applyFont="1" applyFill="1" applyBorder="1" applyAlignment="1">
      <alignment vertical="center"/>
    </xf>
    <xf numFmtId="0" fontId="3" fillId="2259" borderId="1999" xfId="0" applyFont="1" applyFill="1" applyBorder="1" applyAlignment="1">
      <alignment vertical="center"/>
    </xf>
    <xf numFmtId="0" fontId="3" fillId="2260" borderId="2000" xfId="0" applyFont="1" applyFill="1" applyBorder="1" applyAlignment="1">
      <alignment vertical="center"/>
    </xf>
    <xf numFmtId="0" fontId="3" fillId="2262" borderId="2001" xfId="0" applyFont="1" applyFill="1" applyBorder="1" applyAlignment="1">
      <alignment vertical="center"/>
    </xf>
    <xf numFmtId="0" fontId="3" fillId="2263" borderId="2002" xfId="0" applyFont="1" applyFill="1" applyBorder="1" applyAlignment="1">
      <alignment vertical="center"/>
    </xf>
    <xf numFmtId="0" fontId="3" fillId="2264" borderId="2003" xfId="0" applyFont="1" applyFill="1" applyBorder="1" applyAlignment="1">
      <alignment vertical="center"/>
    </xf>
    <xf numFmtId="4" fontId="3" fillId="2265" borderId="2004" xfId="0" applyNumberFormat="1" applyFont="1" applyFill="1" applyBorder="1" applyAlignment="1">
      <alignment vertical="center"/>
    </xf>
    <xf numFmtId="4" fontId="3" fillId="2266" borderId="2005" xfId="0" applyNumberFormat="1" applyFont="1" applyFill="1" applyBorder="1" applyAlignment="1">
      <alignment vertical="center"/>
    </xf>
    <xf numFmtId="4" fontId="3" fillId="2267" borderId="2006" xfId="0" applyNumberFormat="1" applyFont="1" applyFill="1" applyBorder="1" applyAlignment="1">
      <alignment vertical="center"/>
    </xf>
    <xf numFmtId="0" fontId="3" fillId="2268" borderId="2007" xfId="0" applyFont="1" applyFill="1" applyBorder="1" applyAlignment="1">
      <alignment vertical="center"/>
    </xf>
    <xf numFmtId="0" fontId="3" fillId="2269" borderId="2008" xfId="0" applyFont="1" applyFill="1" applyBorder="1" applyAlignment="1">
      <alignment vertical="center"/>
    </xf>
    <xf numFmtId="0" fontId="3" fillId="2271" borderId="2009" xfId="0" applyFont="1" applyFill="1" applyBorder="1" applyAlignment="1">
      <alignment vertical="center"/>
    </xf>
    <xf numFmtId="0" fontId="3" fillId="2272" borderId="2010" xfId="0" applyFont="1" applyFill="1" applyBorder="1" applyAlignment="1">
      <alignment vertical="center"/>
    </xf>
    <xf numFmtId="0" fontId="3" fillId="2273" borderId="2011" xfId="0" applyFont="1" applyFill="1" applyBorder="1" applyAlignment="1">
      <alignment vertical="center"/>
    </xf>
    <xf numFmtId="4" fontId="3" fillId="2274" borderId="2012" xfId="0" applyNumberFormat="1" applyFont="1" applyFill="1" applyBorder="1" applyAlignment="1">
      <alignment vertical="center"/>
    </xf>
    <xf numFmtId="4" fontId="3" fillId="2275" borderId="2013" xfId="0" applyNumberFormat="1" applyFont="1" applyFill="1" applyBorder="1" applyAlignment="1">
      <alignment vertical="center"/>
    </xf>
    <xf numFmtId="4" fontId="3" fillId="2276" borderId="2014" xfId="0" applyNumberFormat="1" applyFont="1" applyFill="1" applyBorder="1" applyAlignment="1">
      <alignment vertical="center"/>
    </xf>
    <xf numFmtId="0" fontId="3" fillId="2277" borderId="2015" xfId="0" applyFont="1" applyFill="1" applyBorder="1" applyAlignment="1">
      <alignment vertical="center"/>
    </xf>
    <xf numFmtId="0" fontId="3" fillId="2278" borderId="2016" xfId="0" applyFont="1" applyFill="1" applyBorder="1" applyAlignment="1">
      <alignment vertical="center"/>
    </xf>
    <xf numFmtId="0" fontId="3" fillId="2280" borderId="2017" xfId="0" applyFont="1" applyFill="1" applyBorder="1" applyAlignment="1">
      <alignment vertical="center"/>
    </xf>
    <xf numFmtId="0" fontId="3" fillId="2281" borderId="2018" xfId="0" applyFont="1" applyFill="1" applyBorder="1" applyAlignment="1">
      <alignment vertical="center"/>
    </xf>
    <xf numFmtId="0" fontId="3" fillId="2282" borderId="2019" xfId="0" applyFont="1" applyFill="1" applyBorder="1" applyAlignment="1">
      <alignment vertical="center"/>
    </xf>
    <xf numFmtId="4" fontId="3" fillId="2283" borderId="2020" xfId="0" applyNumberFormat="1" applyFont="1" applyFill="1" applyBorder="1" applyAlignment="1">
      <alignment vertical="center"/>
    </xf>
    <xf numFmtId="4" fontId="3" fillId="2284" borderId="2021" xfId="0" applyNumberFormat="1" applyFont="1" applyFill="1" applyBorder="1" applyAlignment="1">
      <alignment vertical="center"/>
    </xf>
    <xf numFmtId="4" fontId="3" fillId="2285" borderId="2022" xfId="0" applyNumberFormat="1" applyFont="1" applyFill="1" applyBorder="1" applyAlignment="1">
      <alignment vertical="center"/>
    </xf>
    <xf numFmtId="0" fontId="3" fillId="2286" borderId="2023" xfId="0" applyFont="1" applyFill="1" applyBorder="1" applyAlignment="1">
      <alignment vertical="center"/>
    </xf>
    <xf numFmtId="0" fontId="3" fillId="2287" borderId="2024" xfId="0" applyFont="1" applyFill="1" applyBorder="1" applyAlignment="1">
      <alignment vertical="center"/>
    </xf>
    <xf numFmtId="0" fontId="3" fillId="2289" borderId="2025" xfId="0" applyFont="1" applyFill="1" applyBorder="1" applyAlignment="1">
      <alignment vertical="center"/>
    </xf>
    <xf numFmtId="0" fontId="3" fillId="2290" borderId="2026" xfId="0" applyFont="1" applyFill="1" applyBorder="1" applyAlignment="1">
      <alignment vertical="center"/>
    </xf>
    <xf numFmtId="0" fontId="3" fillId="2291" borderId="2027" xfId="0" applyFont="1" applyFill="1" applyBorder="1" applyAlignment="1">
      <alignment vertical="center"/>
    </xf>
    <xf numFmtId="4" fontId="3" fillId="2292" borderId="2028" xfId="0" applyNumberFormat="1" applyFont="1" applyFill="1" applyBorder="1" applyAlignment="1">
      <alignment vertical="center"/>
    </xf>
    <xf numFmtId="4" fontId="3" fillId="2293" borderId="2029" xfId="0" applyNumberFormat="1" applyFont="1" applyFill="1" applyBorder="1" applyAlignment="1">
      <alignment vertical="center"/>
    </xf>
    <xf numFmtId="4" fontId="3" fillId="2294" borderId="2030" xfId="0" applyNumberFormat="1" applyFont="1" applyFill="1" applyBorder="1" applyAlignment="1">
      <alignment vertical="center"/>
    </xf>
    <xf numFmtId="0" fontId="3" fillId="2295" borderId="2031" xfId="0" applyFont="1" applyFill="1" applyBorder="1" applyAlignment="1">
      <alignment vertical="center"/>
    </xf>
    <xf numFmtId="0" fontId="3" fillId="2296" borderId="2032" xfId="0" applyFont="1" applyFill="1" applyBorder="1" applyAlignment="1">
      <alignment vertical="center"/>
    </xf>
    <xf numFmtId="0" fontId="3" fillId="2298" borderId="2033" xfId="0" applyFont="1" applyFill="1" applyBorder="1" applyAlignment="1">
      <alignment vertical="center"/>
    </xf>
    <xf numFmtId="0" fontId="3" fillId="2299" borderId="2034" xfId="0" applyFont="1" applyFill="1" applyBorder="1" applyAlignment="1">
      <alignment vertical="center"/>
    </xf>
    <xf numFmtId="0" fontId="3" fillId="2300" borderId="2035" xfId="0" applyFont="1" applyFill="1" applyBorder="1" applyAlignment="1">
      <alignment vertical="center"/>
    </xf>
    <xf numFmtId="4" fontId="3" fillId="2301" borderId="2036" xfId="0" applyNumberFormat="1" applyFont="1" applyFill="1" applyBorder="1" applyAlignment="1">
      <alignment vertical="center"/>
    </xf>
    <xf numFmtId="4" fontId="3" fillId="2302" borderId="2037" xfId="0" applyNumberFormat="1" applyFont="1" applyFill="1" applyBorder="1" applyAlignment="1">
      <alignment vertical="center"/>
    </xf>
    <xf numFmtId="4" fontId="3" fillId="2303" borderId="2038" xfId="0" applyNumberFormat="1" applyFont="1" applyFill="1" applyBorder="1" applyAlignment="1">
      <alignment vertical="center"/>
    </xf>
    <xf numFmtId="0" fontId="3" fillId="2304" borderId="2039" xfId="0" applyFont="1" applyFill="1" applyBorder="1" applyAlignment="1">
      <alignment vertical="center"/>
    </xf>
    <xf numFmtId="0" fontId="3" fillId="2305" borderId="2040" xfId="0" applyFont="1" applyFill="1" applyBorder="1" applyAlignment="1">
      <alignment vertical="center"/>
    </xf>
    <xf numFmtId="0" fontId="3" fillId="2307" borderId="2041" xfId="0" applyFont="1" applyFill="1" applyBorder="1" applyAlignment="1">
      <alignment vertical="center"/>
    </xf>
    <xf numFmtId="0" fontId="3" fillId="2308" borderId="2042" xfId="0" applyFont="1" applyFill="1" applyBorder="1" applyAlignment="1">
      <alignment vertical="center"/>
    </xf>
    <xf numFmtId="0" fontId="3" fillId="2309" borderId="2043" xfId="0" applyFont="1" applyFill="1" applyBorder="1" applyAlignment="1">
      <alignment vertical="center"/>
    </xf>
    <xf numFmtId="4" fontId="3" fillId="2310" borderId="2044" xfId="0" applyNumberFormat="1" applyFont="1" applyFill="1" applyBorder="1" applyAlignment="1">
      <alignment vertical="center"/>
    </xf>
    <xf numFmtId="4" fontId="3" fillId="2311" borderId="2045" xfId="0" applyNumberFormat="1" applyFont="1" applyFill="1" applyBorder="1" applyAlignment="1">
      <alignment vertical="center"/>
    </xf>
    <xf numFmtId="4" fontId="3" fillId="2312" borderId="2046" xfId="0" applyNumberFormat="1" applyFont="1" applyFill="1" applyBorder="1" applyAlignment="1">
      <alignment vertical="center"/>
    </xf>
    <xf numFmtId="0" fontId="3" fillId="2313" borderId="2047" xfId="0" applyFont="1" applyFill="1" applyBorder="1" applyAlignment="1">
      <alignment vertical="center"/>
    </xf>
    <xf numFmtId="0" fontId="3" fillId="2314" borderId="2048" xfId="0" applyFont="1" applyFill="1" applyBorder="1" applyAlignment="1">
      <alignment vertical="center"/>
    </xf>
    <xf numFmtId="0" fontId="3" fillId="2316" borderId="2049" xfId="0" applyFont="1" applyFill="1" applyBorder="1" applyAlignment="1">
      <alignment vertical="center"/>
    </xf>
    <xf numFmtId="0" fontId="3" fillId="2317" borderId="2050" xfId="0" applyFont="1" applyFill="1" applyBorder="1" applyAlignment="1">
      <alignment vertical="center"/>
    </xf>
    <xf numFmtId="0" fontId="3" fillId="2318" borderId="2051" xfId="0" applyFont="1" applyFill="1" applyBorder="1" applyAlignment="1">
      <alignment vertical="center"/>
    </xf>
    <xf numFmtId="4" fontId="3" fillId="2319" borderId="2052" xfId="0" applyNumberFormat="1" applyFont="1" applyFill="1" applyBorder="1" applyAlignment="1">
      <alignment vertical="center"/>
    </xf>
    <xf numFmtId="4" fontId="3" fillId="2320" borderId="2053" xfId="0" applyNumberFormat="1" applyFont="1" applyFill="1" applyBorder="1" applyAlignment="1">
      <alignment vertical="center"/>
    </xf>
    <xf numFmtId="4" fontId="3" fillId="2321" borderId="2054" xfId="0" applyNumberFormat="1" applyFont="1" applyFill="1" applyBorder="1" applyAlignment="1">
      <alignment vertical="center"/>
    </xf>
    <xf numFmtId="0" fontId="3" fillId="2322" borderId="2055" xfId="0" applyFont="1" applyFill="1" applyBorder="1" applyAlignment="1">
      <alignment vertical="center"/>
    </xf>
    <xf numFmtId="0" fontId="3" fillId="2323" borderId="2056" xfId="0" applyFont="1" applyFill="1" applyBorder="1" applyAlignment="1">
      <alignment vertical="center"/>
    </xf>
    <xf numFmtId="0" fontId="3" fillId="2325" borderId="2057" xfId="0" applyFont="1" applyFill="1" applyBorder="1" applyAlignment="1">
      <alignment vertical="center"/>
    </xf>
    <xf numFmtId="0" fontId="3" fillId="2326" borderId="2058" xfId="0" applyFont="1" applyFill="1" applyBorder="1" applyAlignment="1">
      <alignment vertical="center"/>
    </xf>
    <xf numFmtId="0" fontId="3" fillId="2327" borderId="2059" xfId="0" applyFont="1" applyFill="1" applyBorder="1" applyAlignment="1">
      <alignment vertical="center"/>
    </xf>
    <xf numFmtId="4" fontId="3" fillId="2328" borderId="2060" xfId="0" applyNumberFormat="1" applyFont="1" applyFill="1" applyBorder="1" applyAlignment="1">
      <alignment vertical="center"/>
    </xf>
    <xf numFmtId="4" fontId="3" fillId="2329" borderId="2061" xfId="0" applyNumberFormat="1" applyFont="1" applyFill="1" applyBorder="1" applyAlignment="1">
      <alignment vertical="center"/>
    </xf>
    <xf numFmtId="4" fontId="3" fillId="2330" borderId="2062" xfId="0" applyNumberFormat="1" applyFont="1" applyFill="1" applyBorder="1" applyAlignment="1">
      <alignment vertical="center"/>
    </xf>
    <xf numFmtId="0" fontId="3" fillId="2331" borderId="2063" xfId="0" applyFont="1" applyFill="1" applyBorder="1" applyAlignment="1">
      <alignment vertical="center"/>
    </xf>
    <xf numFmtId="0" fontId="3" fillId="2332" borderId="2064" xfId="0" applyFont="1" applyFill="1" applyBorder="1" applyAlignment="1">
      <alignment vertical="center"/>
    </xf>
    <xf numFmtId="0" fontId="3" fillId="2334" borderId="2065" xfId="0" applyFont="1" applyFill="1" applyBorder="1" applyAlignment="1">
      <alignment vertical="center"/>
    </xf>
    <xf numFmtId="0" fontId="3" fillId="2335" borderId="2066" xfId="0" applyFont="1" applyFill="1" applyBorder="1" applyAlignment="1">
      <alignment vertical="center"/>
    </xf>
    <xf numFmtId="0" fontId="3" fillId="2336" borderId="2067" xfId="0" applyFont="1" applyFill="1" applyBorder="1" applyAlignment="1">
      <alignment vertical="center"/>
    </xf>
    <xf numFmtId="4" fontId="3" fillId="2337" borderId="2068" xfId="0" applyNumberFormat="1" applyFont="1" applyFill="1" applyBorder="1" applyAlignment="1">
      <alignment vertical="center"/>
    </xf>
    <xf numFmtId="4" fontId="3" fillId="2338" borderId="2069" xfId="0" applyNumberFormat="1" applyFont="1" applyFill="1" applyBorder="1" applyAlignment="1">
      <alignment vertical="center"/>
    </xf>
    <xf numFmtId="4" fontId="3" fillId="2339" borderId="2070" xfId="0" applyNumberFormat="1" applyFont="1" applyFill="1" applyBorder="1" applyAlignment="1">
      <alignment vertical="center"/>
    </xf>
    <xf numFmtId="0" fontId="3" fillId="2340" borderId="2071" xfId="0" applyFont="1" applyFill="1" applyBorder="1" applyAlignment="1">
      <alignment vertical="center"/>
    </xf>
    <xf numFmtId="0" fontId="3" fillId="2341" borderId="2072" xfId="0" applyFont="1" applyFill="1" applyBorder="1" applyAlignment="1">
      <alignment vertical="center"/>
    </xf>
    <xf numFmtId="0" fontId="3" fillId="2343" borderId="2073" xfId="0" applyFont="1" applyFill="1" applyBorder="1" applyAlignment="1">
      <alignment vertical="center"/>
    </xf>
    <xf numFmtId="0" fontId="3" fillId="2344" borderId="2074" xfId="0" applyFont="1" applyFill="1" applyBorder="1" applyAlignment="1">
      <alignment vertical="center"/>
    </xf>
    <xf numFmtId="0" fontId="3" fillId="2345" borderId="2075" xfId="0" applyFont="1" applyFill="1" applyBorder="1" applyAlignment="1">
      <alignment vertical="center"/>
    </xf>
    <xf numFmtId="4" fontId="3" fillId="2346" borderId="2076" xfId="0" applyNumberFormat="1" applyFont="1" applyFill="1" applyBorder="1" applyAlignment="1">
      <alignment vertical="center"/>
    </xf>
    <xf numFmtId="4" fontId="3" fillId="2347" borderId="2077" xfId="0" applyNumberFormat="1" applyFont="1" applyFill="1" applyBorder="1" applyAlignment="1">
      <alignment vertical="center"/>
    </xf>
    <xf numFmtId="4" fontId="3" fillId="2348" borderId="2078" xfId="0" applyNumberFormat="1" applyFont="1" applyFill="1" applyBorder="1" applyAlignment="1">
      <alignment vertical="center"/>
    </xf>
    <xf numFmtId="0" fontId="3" fillId="2349" borderId="2079" xfId="0" applyFont="1" applyFill="1" applyBorder="1" applyAlignment="1">
      <alignment vertical="center"/>
    </xf>
    <xf numFmtId="0" fontId="3" fillId="2350" borderId="2080" xfId="0" applyFont="1" applyFill="1" applyBorder="1" applyAlignment="1">
      <alignment vertical="center"/>
    </xf>
    <xf numFmtId="0" fontId="3" fillId="2352" borderId="2081" xfId="0" applyFont="1" applyFill="1" applyBorder="1" applyAlignment="1">
      <alignment vertical="center"/>
    </xf>
    <xf numFmtId="0" fontId="3" fillId="2353" borderId="2082" xfId="0" applyFont="1" applyFill="1" applyBorder="1" applyAlignment="1">
      <alignment vertical="center"/>
    </xf>
    <xf numFmtId="0" fontId="3" fillId="2354" borderId="2083" xfId="0" applyFont="1" applyFill="1" applyBorder="1" applyAlignment="1">
      <alignment vertical="center"/>
    </xf>
    <xf numFmtId="4" fontId="3" fillId="2355" borderId="2084" xfId="0" applyNumberFormat="1" applyFont="1" applyFill="1" applyBorder="1" applyAlignment="1">
      <alignment vertical="center"/>
    </xf>
    <xf numFmtId="4" fontId="3" fillId="2356" borderId="2085" xfId="0" applyNumberFormat="1" applyFont="1" applyFill="1" applyBorder="1" applyAlignment="1">
      <alignment vertical="center"/>
    </xf>
    <xf numFmtId="4" fontId="3" fillId="2357" borderId="2086" xfId="0" applyNumberFormat="1" applyFont="1" applyFill="1" applyBorder="1" applyAlignment="1">
      <alignment vertical="center"/>
    </xf>
    <xf numFmtId="0" fontId="3" fillId="2358" borderId="2087" xfId="0" applyFont="1" applyFill="1" applyBorder="1" applyAlignment="1">
      <alignment vertical="center"/>
    </xf>
    <xf numFmtId="0" fontId="3" fillId="2359" borderId="2088" xfId="0" applyFont="1" applyFill="1" applyBorder="1" applyAlignment="1">
      <alignment vertical="center"/>
    </xf>
    <xf numFmtId="0" fontId="3" fillId="2361" borderId="2089" xfId="0" applyFont="1" applyFill="1" applyBorder="1" applyAlignment="1">
      <alignment vertical="center"/>
    </xf>
    <xf numFmtId="0" fontId="3" fillId="2362" borderId="2090" xfId="0" applyFont="1" applyFill="1" applyBorder="1" applyAlignment="1">
      <alignment vertical="center"/>
    </xf>
    <xf numFmtId="0" fontId="3" fillId="2363" borderId="2091" xfId="0" applyFont="1" applyFill="1" applyBorder="1" applyAlignment="1">
      <alignment vertical="center"/>
    </xf>
    <xf numFmtId="4" fontId="3" fillId="2364" borderId="2092" xfId="0" applyNumberFormat="1" applyFont="1" applyFill="1" applyBorder="1" applyAlignment="1">
      <alignment vertical="center"/>
    </xf>
    <xf numFmtId="4" fontId="3" fillId="2365" borderId="2093" xfId="0" applyNumberFormat="1" applyFont="1" applyFill="1" applyBorder="1" applyAlignment="1">
      <alignment vertical="center"/>
    </xf>
    <xf numFmtId="4" fontId="3" fillId="2366" borderId="2094" xfId="0" applyNumberFormat="1" applyFont="1" applyFill="1" applyBorder="1" applyAlignment="1">
      <alignment vertical="center"/>
    </xf>
    <xf numFmtId="0" fontId="3" fillId="2367" borderId="2095" xfId="0" applyFont="1" applyFill="1" applyBorder="1" applyAlignment="1">
      <alignment vertical="center"/>
    </xf>
    <xf numFmtId="0" fontId="3" fillId="2368" borderId="2096" xfId="0" applyFont="1" applyFill="1" applyBorder="1" applyAlignment="1">
      <alignment vertical="center"/>
    </xf>
    <xf numFmtId="0" fontId="3" fillId="2370" borderId="2097" xfId="0" applyFont="1" applyFill="1" applyBorder="1" applyAlignment="1">
      <alignment vertical="center"/>
    </xf>
    <xf numFmtId="0" fontId="3" fillId="2371" borderId="2098" xfId="0" applyFont="1" applyFill="1" applyBorder="1" applyAlignment="1">
      <alignment vertical="center"/>
    </xf>
    <xf numFmtId="0" fontId="3" fillId="2372" borderId="2099" xfId="0" applyFont="1" applyFill="1" applyBorder="1" applyAlignment="1">
      <alignment vertical="center"/>
    </xf>
    <xf numFmtId="4" fontId="3" fillId="2373" borderId="2100" xfId="0" applyNumberFormat="1" applyFont="1" applyFill="1" applyBorder="1" applyAlignment="1">
      <alignment vertical="center"/>
    </xf>
    <xf numFmtId="4" fontId="3" fillId="2374" borderId="2101" xfId="0" applyNumberFormat="1" applyFont="1" applyFill="1" applyBorder="1" applyAlignment="1">
      <alignment vertical="center"/>
    </xf>
    <xf numFmtId="4" fontId="3" fillId="2375" borderId="2102" xfId="0" applyNumberFormat="1" applyFont="1" applyFill="1" applyBorder="1" applyAlignment="1">
      <alignment vertical="center"/>
    </xf>
    <xf numFmtId="0" fontId="3" fillId="2376" borderId="2103" xfId="0" applyFont="1" applyFill="1" applyBorder="1" applyAlignment="1">
      <alignment vertical="center"/>
    </xf>
    <xf numFmtId="0" fontId="3" fillId="2377" borderId="2104" xfId="0" applyFont="1" applyFill="1" applyBorder="1" applyAlignment="1">
      <alignment vertical="center"/>
    </xf>
    <xf numFmtId="0" fontId="3" fillId="2379" borderId="2105" xfId="0" applyFont="1" applyFill="1" applyBorder="1" applyAlignment="1">
      <alignment vertical="center"/>
    </xf>
    <xf numFmtId="0" fontId="3" fillId="2380" borderId="2106" xfId="0" applyFont="1" applyFill="1" applyBorder="1" applyAlignment="1">
      <alignment vertical="center"/>
    </xf>
    <xf numFmtId="0" fontId="3" fillId="2381" borderId="2107" xfId="0" applyFont="1" applyFill="1" applyBorder="1" applyAlignment="1">
      <alignment vertical="center"/>
    </xf>
    <xf numFmtId="4" fontId="3" fillId="2382" borderId="2108" xfId="0" applyNumberFormat="1" applyFont="1" applyFill="1" applyBorder="1" applyAlignment="1">
      <alignment vertical="center"/>
    </xf>
    <xf numFmtId="4" fontId="3" fillId="2383" borderId="2109" xfId="0" applyNumberFormat="1" applyFont="1" applyFill="1" applyBorder="1" applyAlignment="1">
      <alignment vertical="center"/>
    </xf>
    <xf numFmtId="4" fontId="3" fillId="2384" borderId="2110" xfId="0" applyNumberFormat="1" applyFont="1" applyFill="1" applyBorder="1" applyAlignment="1">
      <alignment vertical="center"/>
    </xf>
    <xf numFmtId="0" fontId="3" fillId="2385" borderId="2111" xfId="0" applyFont="1" applyFill="1" applyBorder="1" applyAlignment="1">
      <alignment vertical="center"/>
    </xf>
    <xf numFmtId="0" fontId="3" fillId="2386" borderId="2112" xfId="0" applyFont="1" applyFill="1" applyBorder="1" applyAlignment="1">
      <alignment vertical="center"/>
    </xf>
    <xf numFmtId="0" fontId="3" fillId="2388" borderId="2113" xfId="0" applyFont="1" applyFill="1" applyBorder="1" applyAlignment="1">
      <alignment vertical="center"/>
    </xf>
    <xf numFmtId="0" fontId="3" fillId="2389" borderId="2114" xfId="0" applyFont="1" applyFill="1" applyBorder="1" applyAlignment="1">
      <alignment vertical="center"/>
    </xf>
    <xf numFmtId="0" fontId="3" fillId="2390" borderId="2115" xfId="0" applyFont="1" applyFill="1" applyBorder="1" applyAlignment="1">
      <alignment vertical="center"/>
    </xf>
    <xf numFmtId="4" fontId="3" fillId="2391" borderId="2116" xfId="0" applyNumberFormat="1" applyFont="1" applyFill="1" applyBorder="1" applyAlignment="1">
      <alignment vertical="center"/>
    </xf>
    <xf numFmtId="4" fontId="3" fillId="2392" borderId="2117" xfId="0" applyNumberFormat="1" applyFont="1" applyFill="1" applyBorder="1" applyAlignment="1">
      <alignment vertical="center"/>
    </xf>
    <xf numFmtId="4" fontId="3" fillId="2393" borderId="2118" xfId="0" applyNumberFormat="1" applyFont="1" applyFill="1" applyBorder="1" applyAlignment="1">
      <alignment vertical="center"/>
    </xf>
    <xf numFmtId="0" fontId="3" fillId="2394" borderId="2119" xfId="0" applyFont="1" applyFill="1" applyBorder="1" applyAlignment="1">
      <alignment vertical="center"/>
    </xf>
    <xf numFmtId="0" fontId="3" fillId="2395" borderId="2120" xfId="0" applyFont="1" applyFill="1" applyBorder="1" applyAlignment="1">
      <alignment vertical="center"/>
    </xf>
    <xf numFmtId="0" fontId="3" fillId="2397" borderId="2121" xfId="0" applyFont="1" applyFill="1" applyBorder="1" applyAlignment="1">
      <alignment vertical="center"/>
    </xf>
    <xf numFmtId="0" fontId="3" fillId="2398" borderId="2122" xfId="0" applyFont="1" applyFill="1" applyBorder="1" applyAlignment="1">
      <alignment vertical="center"/>
    </xf>
    <xf numFmtId="0" fontId="3" fillId="2399" borderId="2123" xfId="0" applyFont="1" applyFill="1" applyBorder="1" applyAlignment="1">
      <alignment vertical="center"/>
    </xf>
    <xf numFmtId="4" fontId="3" fillId="2400" borderId="2124" xfId="0" applyNumberFormat="1" applyFont="1" applyFill="1" applyBorder="1" applyAlignment="1">
      <alignment vertical="center"/>
    </xf>
    <xf numFmtId="4" fontId="3" fillId="2401" borderId="2125" xfId="0" applyNumberFormat="1" applyFont="1" applyFill="1" applyBorder="1" applyAlignment="1">
      <alignment vertical="center"/>
    </xf>
    <xf numFmtId="4" fontId="3" fillId="2402" borderId="2126" xfId="0" applyNumberFormat="1" applyFont="1" applyFill="1" applyBorder="1" applyAlignment="1">
      <alignment vertical="center"/>
    </xf>
    <xf numFmtId="0" fontId="3" fillId="2403" borderId="2127" xfId="0" applyFont="1" applyFill="1" applyBorder="1" applyAlignment="1">
      <alignment vertical="center"/>
    </xf>
    <xf numFmtId="0" fontId="3" fillId="2404" borderId="2128" xfId="0" applyFont="1" applyFill="1" applyBorder="1" applyAlignment="1">
      <alignment vertical="center"/>
    </xf>
    <xf numFmtId="0" fontId="3" fillId="2406" borderId="2129" xfId="0" applyFont="1" applyFill="1" applyBorder="1" applyAlignment="1">
      <alignment vertical="center"/>
    </xf>
    <xf numFmtId="0" fontId="3" fillId="2407" borderId="2130" xfId="0" applyFont="1" applyFill="1" applyBorder="1" applyAlignment="1">
      <alignment vertical="center"/>
    </xf>
    <xf numFmtId="0" fontId="3" fillId="2408" borderId="2131" xfId="0" applyFont="1" applyFill="1" applyBorder="1" applyAlignment="1">
      <alignment vertical="center"/>
    </xf>
    <xf numFmtId="4" fontId="3" fillId="2409" borderId="2132" xfId="0" applyNumberFormat="1" applyFont="1" applyFill="1" applyBorder="1" applyAlignment="1">
      <alignment vertical="center"/>
    </xf>
    <xf numFmtId="4" fontId="3" fillId="2410" borderId="2133" xfId="0" applyNumberFormat="1" applyFont="1" applyFill="1" applyBorder="1" applyAlignment="1">
      <alignment vertical="center"/>
    </xf>
    <xf numFmtId="4" fontId="3" fillId="2411" borderId="2134" xfId="0" applyNumberFormat="1" applyFont="1" applyFill="1" applyBorder="1" applyAlignment="1">
      <alignment vertical="center"/>
    </xf>
    <xf numFmtId="0" fontId="3" fillId="2412" borderId="2135" xfId="0" applyFont="1" applyFill="1" applyBorder="1" applyAlignment="1">
      <alignment vertical="center"/>
    </xf>
    <xf numFmtId="0" fontId="3" fillId="2413" borderId="2136" xfId="0" applyFont="1" applyFill="1" applyBorder="1" applyAlignment="1">
      <alignment vertical="center"/>
    </xf>
    <xf numFmtId="0" fontId="3" fillId="2415" borderId="2137" xfId="0" applyFont="1" applyFill="1" applyBorder="1" applyAlignment="1">
      <alignment vertical="center"/>
    </xf>
    <xf numFmtId="0" fontId="3" fillId="2416" borderId="2138" xfId="0" applyFont="1" applyFill="1" applyBorder="1" applyAlignment="1">
      <alignment vertical="center"/>
    </xf>
    <xf numFmtId="0" fontId="3" fillId="2417" borderId="2139" xfId="0" applyFont="1" applyFill="1" applyBorder="1" applyAlignment="1">
      <alignment vertical="center"/>
    </xf>
    <xf numFmtId="4" fontId="3" fillId="2418" borderId="2140" xfId="0" applyNumberFormat="1" applyFont="1" applyFill="1" applyBorder="1" applyAlignment="1">
      <alignment vertical="center"/>
    </xf>
    <xf numFmtId="4" fontId="3" fillId="2419" borderId="2141" xfId="0" applyNumberFormat="1" applyFont="1" applyFill="1" applyBorder="1" applyAlignment="1">
      <alignment vertical="center"/>
    </xf>
    <xf numFmtId="4" fontId="3" fillId="2420" borderId="2142" xfId="0" applyNumberFormat="1" applyFont="1" applyFill="1" applyBorder="1" applyAlignment="1">
      <alignment vertical="center"/>
    </xf>
    <xf numFmtId="0" fontId="3" fillId="2421" borderId="2143" xfId="0" applyFont="1" applyFill="1" applyBorder="1" applyAlignment="1">
      <alignment vertical="center"/>
    </xf>
    <xf numFmtId="0" fontId="3" fillId="2422" borderId="2144" xfId="0" applyFont="1" applyFill="1" applyBorder="1" applyAlignment="1">
      <alignment vertical="center"/>
    </xf>
    <xf numFmtId="0" fontId="3" fillId="2424" borderId="2145" xfId="0" applyFont="1" applyFill="1" applyBorder="1" applyAlignment="1">
      <alignment vertical="center"/>
    </xf>
    <xf numFmtId="0" fontId="3" fillId="2425" borderId="2146" xfId="0" applyFont="1" applyFill="1" applyBorder="1" applyAlignment="1">
      <alignment vertical="center"/>
    </xf>
    <xf numFmtId="0" fontId="3" fillId="2426" borderId="2147" xfId="0" applyFont="1" applyFill="1" applyBorder="1" applyAlignment="1">
      <alignment vertical="center"/>
    </xf>
    <xf numFmtId="4" fontId="3" fillId="2427" borderId="2148" xfId="0" applyNumberFormat="1" applyFont="1" applyFill="1" applyBorder="1" applyAlignment="1">
      <alignment vertical="center"/>
    </xf>
    <xf numFmtId="4" fontId="3" fillId="2428" borderId="2149" xfId="0" applyNumberFormat="1" applyFont="1" applyFill="1" applyBorder="1" applyAlignment="1">
      <alignment vertical="center"/>
    </xf>
    <xf numFmtId="4" fontId="3" fillId="2429" borderId="2150" xfId="0" applyNumberFormat="1" applyFont="1" applyFill="1" applyBorder="1" applyAlignment="1">
      <alignment vertical="center"/>
    </xf>
    <xf numFmtId="0" fontId="3" fillId="2430" borderId="2151" xfId="0" applyFont="1" applyFill="1" applyBorder="1" applyAlignment="1">
      <alignment vertical="center"/>
    </xf>
    <xf numFmtId="0" fontId="3" fillId="2431" borderId="2152" xfId="0" applyFont="1" applyFill="1" applyBorder="1" applyAlignment="1">
      <alignment vertical="center"/>
    </xf>
    <xf numFmtId="0" fontId="3" fillId="2433" borderId="2153" xfId="0" applyFont="1" applyFill="1" applyBorder="1" applyAlignment="1">
      <alignment vertical="center"/>
    </xf>
    <xf numFmtId="0" fontId="3" fillId="2434" borderId="2154" xfId="0" applyFont="1" applyFill="1" applyBorder="1" applyAlignment="1">
      <alignment vertical="center"/>
    </xf>
    <xf numFmtId="0" fontId="3" fillId="2435" borderId="2155" xfId="0" applyFont="1" applyFill="1" applyBorder="1" applyAlignment="1">
      <alignment vertical="center"/>
    </xf>
    <xf numFmtId="4" fontId="3" fillId="2436" borderId="2156" xfId="0" applyNumberFormat="1" applyFont="1" applyFill="1" applyBorder="1" applyAlignment="1">
      <alignment vertical="center"/>
    </xf>
    <xf numFmtId="4" fontId="3" fillId="2437" borderId="2157" xfId="0" applyNumberFormat="1" applyFont="1" applyFill="1" applyBorder="1" applyAlignment="1">
      <alignment vertical="center"/>
    </xf>
    <xf numFmtId="4" fontId="3" fillId="2438" borderId="2158" xfId="0" applyNumberFormat="1" applyFont="1" applyFill="1" applyBorder="1" applyAlignment="1">
      <alignment vertical="center"/>
    </xf>
    <xf numFmtId="0" fontId="3" fillId="2439" borderId="2159" xfId="0" applyFont="1" applyFill="1" applyBorder="1" applyAlignment="1">
      <alignment vertical="center"/>
    </xf>
    <xf numFmtId="0" fontId="3" fillId="2440" borderId="2160" xfId="0" applyFont="1" applyFill="1" applyBorder="1" applyAlignment="1">
      <alignment vertical="center"/>
    </xf>
    <xf numFmtId="0" fontId="3" fillId="2442" borderId="2161" xfId="0" applyFont="1" applyFill="1" applyBorder="1" applyAlignment="1">
      <alignment vertical="center"/>
    </xf>
    <xf numFmtId="0" fontId="3" fillId="2443" borderId="2162" xfId="0" applyFont="1" applyFill="1" applyBorder="1" applyAlignment="1">
      <alignment vertical="center"/>
    </xf>
    <xf numFmtId="0" fontId="3" fillId="2444" borderId="2163" xfId="0" applyFont="1" applyFill="1" applyBorder="1" applyAlignment="1">
      <alignment vertical="center"/>
    </xf>
    <xf numFmtId="4" fontId="3" fillId="2445" borderId="2164" xfId="0" applyNumberFormat="1" applyFont="1" applyFill="1" applyBorder="1" applyAlignment="1">
      <alignment vertical="center"/>
    </xf>
    <xf numFmtId="4" fontId="3" fillId="2446" borderId="2165" xfId="0" applyNumberFormat="1" applyFont="1" applyFill="1" applyBorder="1" applyAlignment="1">
      <alignment vertical="center"/>
    </xf>
    <xf numFmtId="4" fontId="3" fillId="2447" borderId="2166" xfId="0" applyNumberFormat="1" applyFont="1" applyFill="1" applyBorder="1" applyAlignment="1">
      <alignment vertical="center"/>
    </xf>
    <xf numFmtId="0" fontId="3" fillId="2448" borderId="2167" xfId="0" applyFont="1" applyFill="1" applyBorder="1" applyAlignment="1">
      <alignment vertical="center"/>
    </xf>
    <xf numFmtId="0" fontId="3" fillId="2449" borderId="2168" xfId="0" applyFont="1" applyFill="1" applyBorder="1" applyAlignment="1">
      <alignment vertical="center"/>
    </xf>
    <xf numFmtId="0" fontId="3" fillId="2451" borderId="2169" xfId="0" applyFont="1" applyFill="1" applyBorder="1" applyAlignment="1">
      <alignment vertical="center"/>
    </xf>
    <xf numFmtId="0" fontId="3" fillId="2452" borderId="2170" xfId="0" applyFont="1" applyFill="1" applyBorder="1" applyAlignment="1">
      <alignment vertical="center"/>
    </xf>
    <xf numFmtId="0" fontId="3" fillId="2453" borderId="2171" xfId="0" applyFont="1" applyFill="1" applyBorder="1" applyAlignment="1">
      <alignment vertical="center"/>
    </xf>
    <xf numFmtId="4" fontId="3" fillId="2454" borderId="2172" xfId="0" applyNumberFormat="1" applyFont="1" applyFill="1" applyBorder="1" applyAlignment="1">
      <alignment vertical="center"/>
    </xf>
    <xf numFmtId="4" fontId="3" fillId="2455" borderId="2173" xfId="0" applyNumberFormat="1" applyFont="1" applyFill="1" applyBorder="1" applyAlignment="1">
      <alignment vertical="center"/>
    </xf>
    <xf numFmtId="4" fontId="3" fillId="2456" borderId="2174" xfId="0" applyNumberFormat="1" applyFont="1" applyFill="1" applyBorder="1" applyAlignment="1">
      <alignment vertical="center"/>
    </xf>
    <xf numFmtId="0" fontId="3" fillId="2457" borderId="2175" xfId="0" applyFont="1" applyFill="1" applyBorder="1" applyAlignment="1">
      <alignment vertical="center"/>
    </xf>
    <xf numFmtId="0" fontId="3" fillId="2458" borderId="2176" xfId="0" applyFont="1" applyFill="1" applyBorder="1" applyAlignment="1">
      <alignment vertical="center"/>
    </xf>
    <xf numFmtId="0" fontId="3" fillId="2460" borderId="2177" xfId="0" applyFont="1" applyFill="1" applyBorder="1" applyAlignment="1">
      <alignment vertical="center"/>
    </xf>
    <xf numFmtId="0" fontId="3" fillId="2461" borderId="2178" xfId="0" applyFont="1" applyFill="1" applyBorder="1" applyAlignment="1">
      <alignment vertical="center"/>
    </xf>
    <xf numFmtId="0" fontId="3" fillId="2462" borderId="2179" xfId="0" applyFont="1" applyFill="1" applyBorder="1" applyAlignment="1">
      <alignment vertical="center"/>
    </xf>
    <xf numFmtId="4" fontId="3" fillId="2463" borderId="2180" xfId="0" applyNumberFormat="1" applyFont="1" applyFill="1" applyBorder="1" applyAlignment="1">
      <alignment vertical="center"/>
    </xf>
    <xf numFmtId="4" fontId="3" fillId="2464" borderId="2181" xfId="0" applyNumberFormat="1" applyFont="1" applyFill="1" applyBorder="1" applyAlignment="1">
      <alignment vertical="center"/>
    </xf>
    <xf numFmtId="4" fontId="3" fillId="2465" borderId="2182" xfId="0" applyNumberFormat="1" applyFont="1" applyFill="1" applyBorder="1" applyAlignment="1">
      <alignment vertical="center"/>
    </xf>
    <xf numFmtId="0" fontId="3" fillId="2466" borderId="2183" xfId="0" applyFont="1" applyFill="1" applyBorder="1" applyAlignment="1">
      <alignment vertical="center"/>
    </xf>
    <xf numFmtId="0" fontId="3" fillId="2467" borderId="2184" xfId="0" applyFont="1" applyFill="1" applyBorder="1" applyAlignment="1">
      <alignment vertical="center"/>
    </xf>
    <xf numFmtId="0" fontId="3" fillId="2469" borderId="2185" xfId="0" applyFont="1" applyFill="1" applyBorder="1" applyAlignment="1">
      <alignment vertical="center"/>
    </xf>
    <xf numFmtId="0" fontId="3" fillId="2470" borderId="2186" xfId="0" applyFont="1" applyFill="1" applyBorder="1" applyAlignment="1">
      <alignment vertical="center"/>
    </xf>
    <xf numFmtId="0" fontId="3" fillId="2471" borderId="2187" xfId="0" applyFont="1" applyFill="1" applyBorder="1" applyAlignment="1">
      <alignment vertical="center"/>
    </xf>
    <xf numFmtId="4" fontId="3" fillId="2472" borderId="2188" xfId="0" applyNumberFormat="1" applyFont="1" applyFill="1" applyBorder="1" applyAlignment="1">
      <alignment vertical="center"/>
    </xf>
    <xf numFmtId="4" fontId="3" fillId="2473" borderId="2189" xfId="0" applyNumberFormat="1" applyFont="1" applyFill="1" applyBorder="1" applyAlignment="1">
      <alignment vertical="center"/>
    </xf>
    <xf numFmtId="4" fontId="3" fillId="2474" borderId="2190" xfId="0" applyNumberFormat="1" applyFont="1" applyFill="1" applyBorder="1" applyAlignment="1">
      <alignment vertical="center"/>
    </xf>
    <xf numFmtId="0" fontId="3" fillId="2475" borderId="2191" xfId="0" applyFont="1" applyFill="1" applyBorder="1" applyAlignment="1">
      <alignment vertical="center"/>
    </xf>
    <xf numFmtId="0" fontId="3" fillId="2476" borderId="2192" xfId="0" applyFont="1" applyFill="1" applyBorder="1" applyAlignment="1">
      <alignment vertical="center"/>
    </xf>
    <xf numFmtId="0" fontId="3" fillId="2478" borderId="2193" xfId="0" applyFont="1" applyFill="1" applyBorder="1" applyAlignment="1">
      <alignment vertical="center"/>
    </xf>
    <xf numFmtId="0" fontId="3" fillId="2479" borderId="2194" xfId="0" applyFont="1" applyFill="1" applyBorder="1" applyAlignment="1">
      <alignment vertical="center"/>
    </xf>
    <xf numFmtId="0" fontId="3" fillId="2480" borderId="2195" xfId="0" applyFont="1" applyFill="1" applyBorder="1" applyAlignment="1">
      <alignment vertical="center"/>
    </xf>
    <xf numFmtId="4" fontId="3" fillId="2481" borderId="2196" xfId="0" applyNumberFormat="1" applyFont="1" applyFill="1" applyBorder="1" applyAlignment="1">
      <alignment vertical="center"/>
    </xf>
    <xf numFmtId="4" fontId="3" fillId="2482" borderId="2197" xfId="0" applyNumberFormat="1" applyFont="1" applyFill="1" applyBorder="1" applyAlignment="1">
      <alignment vertical="center"/>
    </xf>
    <xf numFmtId="4" fontId="3" fillId="2483" borderId="2198" xfId="0" applyNumberFormat="1" applyFont="1" applyFill="1" applyBorder="1" applyAlignment="1">
      <alignment vertical="center"/>
    </xf>
    <xf numFmtId="0" fontId="3" fillId="2484" borderId="2199" xfId="0" applyFont="1" applyFill="1" applyBorder="1" applyAlignment="1">
      <alignment vertical="center"/>
    </xf>
    <xf numFmtId="0" fontId="3" fillId="2485" borderId="2200" xfId="0" applyFont="1" applyFill="1" applyBorder="1" applyAlignment="1">
      <alignment vertical="center"/>
    </xf>
    <xf numFmtId="0" fontId="3" fillId="2487" borderId="2201" xfId="0" applyFont="1" applyFill="1" applyBorder="1" applyAlignment="1">
      <alignment vertical="center"/>
    </xf>
    <xf numFmtId="0" fontId="3" fillId="2488" borderId="2202" xfId="0" applyFont="1" applyFill="1" applyBorder="1" applyAlignment="1">
      <alignment vertical="center"/>
    </xf>
    <xf numFmtId="0" fontId="3" fillId="2489" borderId="2203" xfId="0" applyFont="1" applyFill="1" applyBorder="1" applyAlignment="1">
      <alignment vertical="center"/>
    </xf>
    <xf numFmtId="4" fontId="3" fillId="2490" borderId="2204" xfId="0" applyNumberFormat="1" applyFont="1" applyFill="1" applyBorder="1" applyAlignment="1">
      <alignment vertical="center"/>
    </xf>
    <xf numFmtId="4" fontId="3" fillId="2491" borderId="2205" xfId="0" applyNumberFormat="1" applyFont="1" applyFill="1" applyBorder="1" applyAlignment="1">
      <alignment vertical="center"/>
    </xf>
    <xf numFmtId="4" fontId="3" fillId="2492" borderId="2206" xfId="0" applyNumberFormat="1" applyFont="1" applyFill="1" applyBorder="1" applyAlignment="1">
      <alignment vertical="center"/>
    </xf>
    <xf numFmtId="0" fontId="3" fillId="2493" borderId="2207" xfId="0" applyFont="1" applyFill="1" applyBorder="1" applyAlignment="1">
      <alignment vertical="center"/>
    </xf>
    <xf numFmtId="0" fontId="3" fillId="2494" borderId="2208" xfId="0" applyFont="1" applyFill="1" applyBorder="1" applyAlignment="1">
      <alignment vertical="center"/>
    </xf>
    <xf numFmtId="0" fontId="3" fillId="2496" borderId="2209" xfId="0" applyFont="1" applyFill="1" applyBorder="1" applyAlignment="1">
      <alignment vertical="center"/>
    </xf>
    <xf numFmtId="0" fontId="3" fillId="2497" borderId="2210" xfId="0" applyFont="1" applyFill="1" applyBorder="1" applyAlignment="1">
      <alignment vertical="center"/>
    </xf>
    <xf numFmtId="0" fontId="3" fillId="2498" borderId="2211" xfId="0" applyFont="1" applyFill="1" applyBorder="1" applyAlignment="1">
      <alignment vertical="center"/>
    </xf>
    <xf numFmtId="4" fontId="3" fillId="2499" borderId="2212" xfId="0" applyNumberFormat="1" applyFont="1" applyFill="1" applyBorder="1" applyAlignment="1">
      <alignment vertical="center"/>
    </xf>
    <xf numFmtId="4" fontId="3" fillId="2500" borderId="2213" xfId="0" applyNumberFormat="1" applyFont="1" applyFill="1" applyBorder="1" applyAlignment="1">
      <alignment vertical="center"/>
    </xf>
    <xf numFmtId="4" fontId="3" fillId="2501" borderId="2214" xfId="0" applyNumberFormat="1" applyFont="1" applyFill="1" applyBorder="1" applyAlignment="1">
      <alignment vertical="center"/>
    </xf>
    <xf numFmtId="0" fontId="3" fillId="2502" borderId="2215" xfId="0" applyFont="1" applyFill="1" applyBorder="1" applyAlignment="1">
      <alignment vertical="center"/>
    </xf>
    <xf numFmtId="0" fontId="3" fillId="2503" borderId="2216" xfId="0" applyFont="1" applyFill="1" applyBorder="1" applyAlignment="1">
      <alignment vertical="center"/>
    </xf>
    <xf numFmtId="0" fontId="3" fillId="2505" borderId="2217" xfId="0" applyFont="1" applyFill="1" applyBorder="1" applyAlignment="1">
      <alignment vertical="center"/>
    </xf>
    <xf numFmtId="0" fontId="3" fillId="2506" borderId="2218" xfId="0" applyFont="1" applyFill="1" applyBorder="1" applyAlignment="1">
      <alignment vertical="center"/>
    </xf>
    <xf numFmtId="0" fontId="3" fillId="2507" borderId="2219" xfId="0" applyFont="1" applyFill="1" applyBorder="1" applyAlignment="1">
      <alignment vertical="center"/>
    </xf>
    <xf numFmtId="4" fontId="3" fillId="2508" borderId="2220" xfId="0" applyNumberFormat="1" applyFont="1" applyFill="1" applyBorder="1" applyAlignment="1">
      <alignment vertical="center"/>
    </xf>
    <xf numFmtId="4" fontId="3" fillId="2509" borderId="2221" xfId="0" applyNumberFormat="1" applyFont="1" applyFill="1" applyBorder="1" applyAlignment="1">
      <alignment vertical="center"/>
    </xf>
    <xf numFmtId="4" fontId="3" fillId="2510" borderId="2222" xfId="0" applyNumberFormat="1" applyFont="1" applyFill="1" applyBorder="1" applyAlignment="1">
      <alignment vertical="center"/>
    </xf>
    <xf numFmtId="0" fontId="3" fillId="2511" borderId="2223" xfId="0" applyFont="1" applyFill="1" applyBorder="1" applyAlignment="1">
      <alignment vertical="center"/>
    </xf>
    <xf numFmtId="0" fontId="3" fillId="2512" borderId="2224" xfId="0" applyFont="1" applyFill="1" applyBorder="1" applyAlignment="1">
      <alignment vertical="center"/>
    </xf>
    <xf numFmtId="0" fontId="3" fillId="2514" borderId="2225" xfId="0" applyFont="1" applyFill="1" applyBorder="1" applyAlignment="1">
      <alignment vertical="center"/>
    </xf>
    <xf numFmtId="0" fontId="3" fillId="2515" borderId="2226" xfId="0" applyFont="1" applyFill="1" applyBorder="1" applyAlignment="1">
      <alignment vertical="center"/>
    </xf>
    <xf numFmtId="0" fontId="3" fillId="2516" borderId="2227" xfId="0" applyFont="1" applyFill="1" applyBorder="1" applyAlignment="1">
      <alignment vertical="center"/>
    </xf>
    <xf numFmtId="4" fontId="3" fillId="2517" borderId="2228" xfId="0" applyNumberFormat="1" applyFont="1" applyFill="1" applyBorder="1" applyAlignment="1">
      <alignment vertical="center"/>
    </xf>
    <xf numFmtId="4" fontId="3" fillId="2518" borderId="2229" xfId="0" applyNumberFormat="1" applyFont="1" applyFill="1" applyBorder="1" applyAlignment="1">
      <alignment vertical="center"/>
    </xf>
    <xf numFmtId="4" fontId="3" fillId="2519" borderId="2230" xfId="0" applyNumberFormat="1" applyFont="1" applyFill="1" applyBorder="1" applyAlignment="1">
      <alignment vertical="center"/>
    </xf>
    <xf numFmtId="0" fontId="3" fillId="2520" borderId="2231" xfId="0" applyFont="1" applyFill="1" applyBorder="1" applyAlignment="1">
      <alignment vertical="center"/>
    </xf>
    <xf numFmtId="0" fontId="3" fillId="2521" borderId="2232" xfId="0" applyFont="1" applyFill="1" applyBorder="1" applyAlignment="1">
      <alignment vertical="center"/>
    </xf>
    <xf numFmtId="0" fontId="3" fillId="2523" borderId="2233" xfId="0" applyFont="1" applyFill="1" applyBorder="1" applyAlignment="1">
      <alignment vertical="center"/>
    </xf>
    <xf numFmtId="0" fontId="3" fillId="2524" borderId="2234" xfId="0" applyFont="1" applyFill="1" applyBorder="1" applyAlignment="1">
      <alignment vertical="center"/>
    </xf>
    <xf numFmtId="0" fontId="3" fillId="2525" borderId="2235" xfId="0" applyFont="1" applyFill="1" applyBorder="1" applyAlignment="1">
      <alignment vertical="center"/>
    </xf>
    <xf numFmtId="4" fontId="3" fillId="2526" borderId="2236" xfId="0" applyNumberFormat="1" applyFont="1" applyFill="1" applyBorder="1" applyAlignment="1">
      <alignment vertical="center"/>
    </xf>
    <xf numFmtId="4" fontId="3" fillId="2527" borderId="2237" xfId="0" applyNumberFormat="1" applyFont="1" applyFill="1" applyBorder="1" applyAlignment="1">
      <alignment vertical="center"/>
    </xf>
    <xf numFmtId="4" fontId="3" fillId="2528" borderId="2238" xfId="0" applyNumberFormat="1" applyFont="1" applyFill="1" applyBorder="1" applyAlignment="1">
      <alignment vertical="center"/>
    </xf>
    <xf numFmtId="0" fontId="3" fillId="2529" borderId="2239" xfId="0" applyFont="1" applyFill="1" applyBorder="1" applyAlignment="1">
      <alignment vertical="center"/>
    </xf>
    <xf numFmtId="0" fontId="3" fillId="2530" borderId="2240" xfId="0" applyFont="1" applyFill="1" applyBorder="1" applyAlignment="1">
      <alignment vertical="center"/>
    </xf>
    <xf numFmtId="0" fontId="3" fillId="2532" borderId="2241" xfId="0" applyFont="1" applyFill="1" applyBorder="1" applyAlignment="1">
      <alignment vertical="center"/>
    </xf>
    <xf numFmtId="0" fontId="3" fillId="2533" borderId="2242" xfId="0" applyFont="1" applyFill="1" applyBorder="1" applyAlignment="1">
      <alignment vertical="center"/>
    </xf>
    <xf numFmtId="0" fontId="3" fillId="2534" borderId="2243" xfId="0" applyFont="1" applyFill="1" applyBorder="1" applyAlignment="1">
      <alignment vertical="center"/>
    </xf>
    <xf numFmtId="4" fontId="3" fillId="2535" borderId="2244" xfId="0" applyNumberFormat="1" applyFont="1" applyFill="1" applyBorder="1" applyAlignment="1">
      <alignment vertical="center"/>
    </xf>
    <xf numFmtId="4" fontId="3" fillId="2536" borderId="2245" xfId="0" applyNumberFormat="1" applyFont="1" applyFill="1" applyBorder="1" applyAlignment="1">
      <alignment vertical="center"/>
    </xf>
    <xf numFmtId="4" fontId="3" fillId="2537" borderId="2246" xfId="0" applyNumberFormat="1" applyFont="1" applyFill="1" applyBorder="1" applyAlignment="1">
      <alignment vertical="center"/>
    </xf>
    <xf numFmtId="0" fontId="3" fillId="2538" borderId="2247" xfId="0" applyFont="1" applyFill="1" applyBorder="1" applyAlignment="1">
      <alignment vertical="center"/>
    </xf>
    <xf numFmtId="0" fontId="3" fillId="2539" borderId="2248" xfId="0" applyFont="1" applyFill="1" applyBorder="1" applyAlignment="1">
      <alignment vertical="center"/>
    </xf>
    <xf numFmtId="0" fontId="3" fillId="2541" borderId="2249" xfId="0" applyFont="1" applyFill="1" applyBorder="1" applyAlignment="1">
      <alignment vertical="center"/>
    </xf>
    <xf numFmtId="0" fontId="3" fillId="2542" borderId="2250" xfId="0" applyFont="1" applyFill="1" applyBorder="1" applyAlignment="1">
      <alignment vertical="center"/>
    </xf>
    <xf numFmtId="0" fontId="3" fillId="2543" borderId="2251" xfId="0" applyFont="1" applyFill="1" applyBorder="1" applyAlignment="1">
      <alignment vertical="center"/>
    </xf>
    <xf numFmtId="4" fontId="3" fillId="2544" borderId="2252" xfId="0" applyNumberFormat="1" applyFont="1" applyFill="1" applyBorder="1" applyAlignment="1">
      <alignment vertical="center"/>
    </xf>
    <xf numFmtId="4" fontId="3" fillId="2545" borderId="2253" xfId="0" applyNumberFormat="1" applyFont="1" applyFill="1" applyBorder="1" applyAlignment="1">
      <alignment vertical="center"/>
    </xf>
    <xf numFmtId="4" fontId="3" fillId="2546" borderId="2254" xfId="0" applyNumberFormat="1" applyFont="1" applyFill="1" applyBorder="1" applyAlignment="1">
      <alignment vertical="center"/>
    </xf>
    <xf numFmtId="0" fontId="3" fillId="2547" borderId="2255" xfId="0" applyFont="1" applyFill="1" applyBorder="1" applyAlignment="1">
      <alignment vertical="center"/>
    </xf>
    <xf numFmtId="0" fontId="3" fillId="2548" borderId="2256" xfId="0" applyFont="1" applyFill="1" applyBorder="1" applyAlignment="1">
      <alignment vertical="center"/>
    </xf>
    <xf numFmtId="0" fontId="3" fillId="2550" borderId="2257" xfId="0" applyFont="1" applyFill="1" applyBorder="1" applyAlignment="1">
      <alignment vertical="center"/>
    </xf>
    <xf numFmtId="0" fontId="3" fillId="2551" borderId="2258" xfId="0" applyFont="1" applyFill="1" applyBorder="1" applyAlignment="1">
      <alignment vertical="center"/>
    </xf>
    <xf numFmtId="0" fontId="3" fillId="2552" borderId="2259" xfId="0" applyFont="1" applyFill="1" applyBorder="1" applyAlignment="1">
      <alignment vertical="center"/>
    </xf>
    <xf numFmtId="4" fontId="3" fillId="2553" borderId="2260" xfId="0" applyNumberFormat="1" applyFont="1" applyFill="1" applyBorder="1" applyAlignment="1">
      <alignment vertical="center"/>
    </xf>
    <xf numFmtId="4" fontId="3" fillId="2554" borderId="2261" xfId="0" applyNumberFormat="1" applyFont="1" applyFill="1" applyBorder="1" applyAlignment="1">
      <alignment vertical="center"/>
    </xf>
    <xf numFmtId="4" fontId="3" fillId="2555" borderId="2262" xfId="0" applyNumberFormat="1" applyFont="1" applyFill="1" applyBorder="1" applyAlignment="1">
      <alignment vertical="center"/>
    </xf>
    <xf numFmtId="0" fontId="3" fillId="2556" borderId="2263" xfId="0" applyFont="1" applyFill="1" applyBorder="1" applyAlignment="1">
      <alignment vertical="center"/>
    </xf>
    <xf numFmtId="0" fontId="3" fillId="2557" borderId="2264" xfId="0" applyFont="1" applyFill="1" applyBorder="1" applyAlignment="1">
      <alignment vertical="center"/>
    </xf>
    <xf numFmtId="0" fontId="3" fillId="2559" borderId="2265" xfId="0" applyFont="1" applyFill="1" applyBorder="1" applyAlignment="1">
      <alignment vertical="center"/>
    </xf>
    <xf numFmtId="0" fontId="3" fillId="2560" borderId="2266" xfId="0" applyFont="1" applyFill="1" applyBorder="1" applyAlignment="1">
      <alignment vertical="center"/>
    </xf>
    <xf numFmtId="0" fontId="3" fillId="2561" borderId="2267" xfId="0" applyFont="1" applyFill="1" applyBorder="1" applyAlignment="1">
      <alignment vertical="center"/>
    </xf>
    <xf numFmtId="4" fontId="3" fillId="2562" borderId="2268" xfId="0" applyNumberFormat="1" applyFont="1" applyFill="1" applyBorder="1" applyAlignment="1">
      <alignment vertical="center"/>
    </xf>
    <xf numFmtId="4" fontId="3" fillId="2563" borderId="2269" xfId="0" applyNumberFormat="1" applyFont="1" applyFill="1" applyBorder="1" applyAlignment="1">
      <alignment vertical="center"/>
    </xf>
    <xf numFmtId="4" fontId="3" fillId="2564" borderId="2270" xfId="0" applyNumberFormat="1" applyFont="1" applyFill="1" applyBorder="1" applyAlignment="1">
      <alignment vertical="center"/>
    </xf>
    <xf numFmtId="0" fontId="3" fillId="2565" borderId="2271" xfId="0" applyFont="1" applyFill="1" applyBorder="1" applyAlignment="1">
      <alignment vertical="center"/>
    </xf>
    <xf numFmtId="0" fontId="3" fillId="2566" borderId="2272" xfId="0" applyFont="1" applyFill="1" applyBorder="1" applyAlignment="1">
      <alignment vertical="center"/>
    </xf>
    <xf numFmtId="0" fontId="3" fillId="2568" borderId="2273" xfId="0" applyFont="1" applyFill="1" applyBorder="1" applyAlignment="1">
      <alignment vertical="center"/>
    </xf>
    <xf numFmtId="0" fontId="3" fillId="2569" borderId="2274" xfId="0" applyFont="1" applyFill="1" applyBorder="1" applyAlignment="1">
      <alignment vertical="center"/>
    </xf>
    <xf numFmtId="0" fontId="3" fillId="2570" borderId="2275" xfId="0" applyFont="1" applyFill="1" applyBorder="1" applyAlignment="1">
      <alignment vertical="center"/>
    </xf>
    <xf numFmtId="4" fontId="3" fillId="2571" borderId="2276" xfId="0" applyNumberFormat="1" applyFont="1" applyFill="1" applyBorder="1" applyAlignment="1">
      <alignment vertical="center"/>
    </xf>
    <xf numFmtId="4" fontId="3" fillId="2572" borderId="2277" xfId="0" applyNumberFormat="1" applyFont="1" applyFill="1" applyBorder="1" applyAlignment="1">
      <alignment vertical="center"/>
    </xf>
    <xf numFmtId="4" fontId="3" fillId="2573" borderId="2278" xfId="0" applyNumberFormat="1" applyFont="1" applyFill="1" applyBorder="1" applyAlignment="1">
      <alignment vertical="center"/>
    </xf>
    <xf numFmtId="0" fontId="3" fillId="2574" borderId="2279" xfId="0" applyFont="1" applyFill="1" applyBorder="1" applyAlignment="1">
      <alignment vertical="center"/>
    </xf>
    <xf numFmtId="0" fontId="3" fillId="2575" borderId="2280" xfId="0" applyFont="1" applyFill="1" applyBorder="1" applyAlignment="1">
      <alignment vertical="center"/>
    </xf>
    <xf numFmtId="0" fontId="3" fillId="2577" borderId="2281" xfId="0" applyFont="1" applyFill="1" applyBorder="1" applyAlignment="1">
      <alignment vertical="center"/>
    </xf>
    <xf numFmtId="0" fontId="3" fillId="2578" borderId="2282" xfId="0" applyFont="1" applyFill="1" applyBorder="1" applyAlignment="1">
      <alignment vertical="center"/>
    </xf>
    <xf numFmtId="0" fontId="3" fillId="2579" borderId="2283" xfId="0" applyFont="1" applyFill="1" applyBorder="1" applyAlignment="1">
      <alignment vertical="center"/>
    </xf>
    <xf numFmtId="4" fontId="3" fillId="2580" borderId="2284" xfId="0" applyNumberFormat="1" applyFont="1" applyFill="1" applyBorder="1" applyAlignment="1">
      <alignment vertical="center"/>
    </xf>
    <xf numFmtId="4" fontId="3" fillId="2581" borderId="2285" xfId="0" applyNumberFormat="1" applyFont="1" applyFill="1" applyBorder="1" applyAlignment="1">
      <alignment vertical="center"/>
    </xf>
    <xf numFmtId="4" fontId="3" fillId="2582" borderId="2286" xfId="0" applyNumberFormat="1" applyFont="1" applyFill="1" applyBorder="1" applyAlignment="1">
      <alignment vertical="center"/>
    </xf>
    <xf numFmtId="0" fontId="3" fillId="2583" borderId="2287" xfId="0" applyFont="1" applyFill="1" applyBorder="1" applyAlignment="1">
      <alignment vertical="center"/>
    </xf>
    <xf numFmtId="0" fontId="3" fillId="2584" borderId="2288" xfId="0" applyFont="1" applyFill="1" applyBorder="1" applyAlignment="1">
      <alignment vertical="center"/>
    </xf>
    <xf numFmtId="0" fontId="3" fillId="2586" borderId="2289" xfId="0" applyFont="1" applyFill="1" applyBorder="1" applyAlignment="1">
      <alignment vertical="center"/>
    </xf>
    <xf numFmtId="0" fontId="3" fillId="2587" borderId="2290" xfId="0" applyFont="1" applyFill="1" applyBorder="1" applyAlignment="1">
      <alignment vertical="center"/>
    </xf>
    <xf numFmtId="0" fontId="3" fillId="2588" borderId="2291" xfId="0" applyFont="1" applyFill="1" applyBorder="1" applyAlignment="1">
      <alignment vertical="center"/>
    </xf>
    <xf numFmtId="4" fontId="3" fillId="2589" borderId="2292" xfId="0" applyNumberFormat="1" applyFont="1" applyFill="1" applyBorder="1" applyAlignment="1">
      <alignment vertical="center"/>
    </xf>
    <xf numFmtId="4" fontId="3" fillId="2590" borderId="2293" xfId="0" applyNumberFormat="1" applyFont="1" applyFill="1" applyBorder="1" applyAlignment="1">
      <alignment vertical="center"/>
    </xf>
    <xf numFmtId="4" fontId="3" fillId="2591" borderId="2294" xfId="0" applyNumberFormat="1" applyFont="1" applyFill="1" applyBorder="1" applyAlignment="1">
      <alignment vertical="center"/>
    </xf>
    <xf numFmtId="0" fontId="3" fillId="2592" borderId="2295" xfId="0" applyFont="1" applyFill="1" applyBorder="1" applyAlignment="1">
      <alignment vertical="center"/>
    </xf>
    <xf numFmtId="0" fontId="3" fillId="2593" borderId="2296" xfId="0" applyFont="1" applyFill="1" applyBorder="1" applyAlignment="1">
      <alignment vertical="center"/>
    </xf>
    <xf numFmtId="0" fontId="3" fillId="2595" borderId="2297" xfId="0" applyFont="1" applyFill="1" applyBorder="1" applyAlignment="1">
      <alignment vertical="center"/>
    </xf>
    <xf numFmtId="0" fontId="3" fillId="2596" borderId="2298" xfId="0" applyFont="1" applyFill="1" applyBorder="1" applyAlignment="1">
      <alignment vertical="center"/>
    </xf>
    <xf numFmtId="0" fontId="3" fillId="2597" borderId="2299" xfId="0" applyFont="1" applyFill="1" applyBorder="1" applyAlignment="1">
      <alignment vertical="center"/>
    </xf>
    <xf numFmtId="4" fontId="3" fillId="2598" borderId="2300" xfId="0" applyNumberFormat="1" applyFont="1" applyFill="1" applyBorder="1" applyAlignment="1">
      <alignment vertical="center"/>
    </xf>
    <xf numFmtId="4" fontId="3" fillId="2599" borderId="2301" xfId="0" applyNumberFormat="1" applyFont="1" applyFill="1" applyBorder="1" applyAlignment="1">
      <alignment vertical="center"/>
    </xf>
    <xf numFmtId="4" fontId="3" fillId="2600" borderId="2302" xfId="0" applyNumberFormat="1" applyFont="1" applyFill="1" applyBorder="1" applyAlignment="1">
      <alignment vertical="center"/>
    </xf>
    <xf numFmtId="0" fontId="3" fillId="2601" borderId="2303" xfId="0" applyFont="1" applyFill="1" applyBorder="1" applyAlignment="1">
      <alignment vertical="center"/>
    </xf>
    <xf numFmtId="0" fontId="3" fillId="2602" borderId="2304" xfId="0" applyFont="1" applyFill="1" applyBorder="1" applyAlignment="1">
      <alignment vertical="center"/>
    </xf>
    <xf numFmtId="0" fontId="3" fillId="2604" borderId="2305" xfId="0" applyFont="1" applyFill="1" applyBorder="1" applyAlignment="1">
      <alignment vertical="center"/>
    </xf>
    <xf numFmtId="0" fontId="3" fillId="2605" borderId="2306" xfId="0" applyFont="1" applyFill="1" applyBorder="1" applyAlignment="1">
      <alignment vertical="center"/>
    </xf>
    <xf numFmtId="0" fontId="3" fillId="2606" borderId="2307" xfId="0" applyFont="1" applyFill="1" applyBorder="1" applyAlignment="1">
      <alignment vertical="center"/>
    </xf>
    <xf numFmtId="4" fontId="3" fillId="2607" borderId="2308" xfId="0" applyNumberFormat="1" applyFont="1" applyFill="1" applyBorder="1" applyAlignment="1">
      <alignment vertical="center"/>
    </xf>
    <xf numFmtId="4" fontId="3" fillId="2608" borderId="2309" xfId="0" applyNumberFormat="1" applyFont="1" applyFill="1" applyBorder="1" applyAlignment="1">
      <alignment vertical="center"/>
    </xf>
    <xf numFmtId="4" fontId="3" fillId="2609" borderId="2310" xfId="0" applyNumberFormat="1" applyFont="1" applyFill="1" applyBorder="1" applyAlignment="1">
      <alignment vertical="center"/>
    </xf>
    <xf numFmtId="0" fontId="3" fillId="2610" borderId="2311" xfId="0" applyFont="1" applyFill="1" applyBorder="1" applyAlignment="1">
      <alignment vertical="center"/>
    </xf>
    <xf numFmtId="0" fontId="3" fillId="2611" borderId="2312" xfId="0" applyFont="1" applyFill="1" applyBorder="1" applyAlignment="1">
      <alignment vertical="center"/>
    </xf>
    <xf numFmtId="0" fontId="3" fillId="2613" borderId="2313" xfId="0" applyFont="1" applyFill="1" applyBorder="1" applyAlignment="1">
      <alignment vertical="center"/>
    </xf>
    <xf numFmtId="0" fontId="3" fillId="2614" borderId="2314" xfId="0" applyFont="1" applyFill="1" applyBorder="1" applyAlignment="1">
      <alignment vertical="center"/>
    </xf>
    <xf numFmtId="0" fontId="3" fillId="2615" borderId="2315" xfId="0" applyFont="1" applyFill="1" applyBorder="1" applyAlignment="1">
      <alignment vertical="center"/>
    </xf>
    <xf numFmtId="4" fontId="3" fillId="2616" borderId="2316" xfId="0" applyNumberFormat="1" applyFont="1" applyFill="1" applyBorder="1" applyAlignment="1">
      <alignment vertical="center"/>
    </xf>
    <xf numFmtId="4" fontId="3" fillId="2617" borderId="2317" xfId="0" applyNumberFormat="1" applyFont="1" applyFill="1" applyBorder="1" applyAlignment="1">
      <alignment vertical="center"/>
    </xf>
    <xf numFmtId="4" fontId="3" fillId="2618" borderId="2318" xfId="0" applyNumberFormat="1" applyFont="1" applyFill="1" applyBorder="1" applyAlignment="1">
      <alignment vertical="center"/>
    </xf>
    <xf numFmtId="0" fontId="3" fillId="2619" borderId="2319" xfId="0" applyFont="1" applyFill="1" applyBorder="1" applyAlignment="1">
      <alignment vertical="center"/>
    </xf>
    <xf numFmtId="0" fontId="3" fillId="2620" borderId="2320" xfId="0" applyFont="1" applyFill="1" applyBorder="1" applyAlignment="1">
      <alignment vertical="center"/>
    </xf>
    <xf numFmtId="0" fontId="3" fillId="2622" borderId="2321" xfId="0" applyFont="1" applyFill="1" applyBorder="1" applyAlignment="1">
      <alignment vertical="center"/>
    </xf>
    <xf numFmtId="0" fontId="3" fillId="2623" borderId="2322" xfId="0" applyFont="1" applyFill="1" applyBorder="1" applyAlignment="1">
      <alignment vertical="center"/>
    </xf>
    <xf numFmtId="0" fontId="3" fillId="2624" borderId="2323" xfId="0" applyFont="1" applyFill="1" applyBorder="1" applyAlignment="1">
      <alignment vertical="center"/>
    </xf>
    <xf numFmtId="4" fontId="3" fillId="2625" borderId="2324" xfId="0" applyNumberFormat="1" applyFont="1" applyFill="1" applyBorder="1" applyAlignment="1">
      <alignment vertical="center"/>
    </xf>
    <xf numFmtId="4" fontId="3" fillId="2626" borderId="2325" xfId="0" applyNumberFormat="1" applyFont="1" applyFill="1" applyBorder="1" applyAlignment="1">
      <alignment vertical="center"/>
    </xf>
    <xf numFmtId="4" fontId="3" fillId="2627" borderId="2326" xfId="0" applyNumberFormat="1" applyFont="1" applyFill="1" applyBorder="1" applyAlignment="1">
      <alignment vertical="center"/>
    </xf>
    <xf numFmtId="0" fontId="3" fillId="2628" borderId="2327" xfId="0" applyFont="1" applyFill="1" applyBorder="1" applyAlignment="1">
      <alignment vertical="center"/>
    </xf>
    <xf numFmtId="0" fontId="3" fillId="2629" borderId="2328" xfId="0" applyFont="1" applyFill="1" applyBorder="1" applyAlignment="1">
      <alignment vertical="center"/>
    </xf>
    <xf numFmtId="0" fontId="3" fillId="2631" borderId="2329" xfId="0" applyFont="1" applyFill="1" applyBorder="1" applyAlignment="1">
      <alignment vertical="center"/>
    </xf>
    <xf numFmtId="0" fontId="3" fillId="2632" borderId="2330" xfId="0" applyFont="1" applyFill="1" applyBorder="1" applyAlignment="1">
      <alignment vertical="center"/>
    </xf>
    <xf numFmtId="0" fontId="3" fillId="2633" borderId="2331" xfId="0" applyFont="1" applyFill="1" applyBorder="1" applyAlignment="1">
      <alignment vertical="center"/>
    </xf>
    <xf numFmtId="4" fontId="3" fillId="2634" borderId="2332" xfId="0" applyNumberFormat="1" applyFont="1" applyFill="1" applyBorder="1" applyAlignment="1">
      <alignment vertical="center"/>
    </xf>
    <xf numFmtId="4" fontId="3" fillId="2635" borderId="2333" xfId="0" applyNumberFormat="1" applyFont="1" applyFill="1" applyBorder="1" applyAlignment="1">
      <alignment vertical="center"/>
    </xf>
    <xf numFmtId="4" fontId="3" fillId="2636" borderId="2334" xfId="0" applyNumberFormat="1" applyFont="1" applyFill="1" applyBorder="1" applyAlignment="1">
      <alignment vertical="center"/>
    </xf>
    <xf numFmtId="0" fontId="3" fillId="2637" borderId="2335" xfId="0" applyFont="1" applyFill="1" applyBorder="1" applyAlignment="1">
      <alignment vertical="center"/>
    </xf>
    <xf numFmtId="0" fontId="3" fillId="2638" borderId="2336" xfId="0" applyFont="1" applyFill="1" applyBorder="1" applyAlignment="1">
      <alignment vertical="center"/>
    </xf>
    <xf numFmtId="0" fontId="3" fillId="2640" borderId="2337" xfId="0" applyFont="1" applyFill="1" applyBorder="1" applyAlignment="1">
      <alignment vertical="center"/>
    </xf>
    <xf numFmtId="0" fontId="3" fillId="2641" borderId="2338" xfId="0" applyFont="1" applyFill="1" applyBorder="1" applyAlignment="1">
      <alignment vertical="center"/>
    </xf>
    <xf numFmtId="0" fontId="3" fillId="2642" borderId="2339" xfId="0" applyFont="1" applyFill="1" applyBorder="1" applyAlignment="1">
      <alignment vertical="center"/>
    </xf>
    <xf numFmtId="4" fontId="3" fillId="2643" borderId="2340" xfId="0" applyNumberFormat="1" applyFont="1" applyFill="1" applyBorder="1" applyAlignment="1">
      <alignment vertical="center"/>
    </xf>
    <xf numFmtId="4" fontId="3" fillId="2644" borderId="2341" xfId="0" applyNumberFormat="1" applyFont="1" applyFill="1" applyBorder="1" applyAlignment="1">
      <alignment vertical="center"/>
    </xf>
    <xf numFmtId="4" fontId="3" fillId="2645" borderId="2342" xfId="0" applyNumberFormat="1" applyFont="1" applyFill="1" applyBorder="1" applyAlignment="1">
      <alignment vertical="center"/>
    </xf>
    <xf numFmtId="0" fontId="3" fillId="2646" borderId="2343" xfId="0" applyFont="1" applyFill="1" applyBorder="1" applyAlignment="1">
      <alignment vertical="center"/>
    </xf>
    <xf numFmtId="0" fontId="3" fillId="2647" borderId="2344" xfId="0" applyFont="1" applyFill="1" applyBorder="1" applyAlignment="1">
      <alignment vertical="center"/>
    </xf>
    <xf numFmtId="0" fontId="3" fillId="2649" borderId="2345" xfId="0" applyFont="1" applyFill="1" applyBorder="1" applyAlignment="1">
      <alignment vertical="center"/>
    </xf>
    <xf numFmtId="0" fontId="3" fillId="2650" borderId="2346" xfId="0" applyFont="1" applyFill="1" applyBorder="1" applyAlignment="1">
      <alignment vertical="center"/>
    </xf>
    <xf numFmtId="0" fontId="3" fillId="2651" borderId="2347" xfId="0" applyFont="1" applyFill="1" applyBorder="1" applyAlignment="1">
      <alignment vertical="center"/>
    </xf>
    <xf numFmtId="4" fontId="3" fillId="2652" borderId="2348" xfId="0" applyNumberFormat="1" applyFont="1" applyFill="1" applyBorder="1" applyAlignment="1">
      <alignment vertical="center"/>
    </xf>
    <xf numFmtId="4" fontId="3" fillId="2653" borderId="2349" xfId="0" applyNumberFormat="1" applyFont="1" applyFill="1" applyBorder="1" applyAlignment="1">
      <alignment vertical="center"/>
    </xf>
    <xf numFmtId="4" fontId="3" fillId="2654" borderId="2350" xfId="0" applyNumberFormat="1" applyFont="1" applyFill="1" applyBorder="1" applyAlignment="1">
      <alignment vertical="center"/>
    </xf>
    <xf numFmtId="0" fontId="3" fillId="2655" borderId="2351" xfId="0" applyFont="1" applyFill="1" applyBorder="1" applyAlignment="1">
      <alignment vertical="center"/>
    </xf>
    <xf numFmtId="0" fontId="3" fillId="2656" borderId="2352" xfId="0" applyFont="1" applyFill="1" applyBorder="1" applyAlignment="1">
      <alignment vertical="center"/>
    </xf>
    <xf numFmtId="0" fontId="3" fillId="2658" borderId="2353" xfId="0" applyFont="1" applyFill="1" applyBorder="1" applyAlignment="1">
      <alignment vertical="center"/>
    </xf>
    <xf numFmtId="0" fontId="3" fillId="2659" borderId="2354" xfId="0" applyFont="1" applyFill="1" applyBorder="1" applyAlignment="1">
      <alignment vertical="center"/>
    </xf>
    <xf numFmtId="0" fontId="3" fillId="2660" borderId="2355" xfId="0" applyFont="1" applyFill="1" applyBorder="1" applyAlignment="1">
      <alignment vertical="center"/>
    </xf>
    <xf numFmtId="4" fontId="3" fillId="2661" borderId="2356" xfId="0" applyNumberFormat="1" applyFont="1" applyFill="1" applyBorder="1" applyAlignment="1">
      <alignment vertical="center"/>
    </xf>
    <xf numFmtId="4" fontId="3" fillId="2662" borderId="2357" xfId="0" applyNumberFormat="1" applyFont="1" applyFill="1" applyBorder="1" applyAlignment="1">
      <alignment vertical="center"/>
    </xf>
    <xf numFmtId="4" fontId="3" fillId="2663" borderId="2358" xfId="0" applyNumberFormat="1" applyFont="1" applyFill="1" applyBorder="1" applyAlignment="1">
      <alignment vertical="center"/>
    </xf>
    <xf numFmtId="0" fontId="3" fillId="2664" borderId="2359" xfId="0" applyFont="1" applyFill="1" applyBorder="1" applyAlignment="1">
      <alignment vertical="center"/>
    </xf>
    <xf numFmtId="0" fontId="3" fillId="2665" borderId="2360" xfId="0" applyFont="1" applyFill="1" applyBorder="1" applyAlignment="1">
      <alignment vertical="center"/>
    </xf>
    <xf numFmtId="0" fontId="3" fillId="2667" borderId="2361" xfId="0" applyFont="1" applyFill="1" applyBorder="1" applyAlignment="1">
      <alignment vertical="center"/>
    </xf>
    <xf numFmtId="0" fontId="3" fillId="2668" borderId="2362" xfId="0" applyFont="1" applyFill="1" applyBorder="1" applyAlignment="1">
      <alignment vertical="center"/>
    </xf>
    <xf numFmtId="0" fontId="3" fillId="2669" borderId="2363" xfId="0" applyFont="1" applyFill="1" applyBorder="1" applyAlignment="1">
      <alignment vertical="center"/>
    </xf>
    <xf numFmtId="4" fontId="3" fillId="2670" borderId="2364" xfId="0" applyNumberFormat="1" applyFont="1" applyFill="1" applyBorder="1" applyAlignment="1">
      <alignment vertical="center"/>
    </xf>
    <xf numFmtId="4" fontId="3" fillId="2671" borderId="2365" xfId="0" applyNumberFormat="1" applyFont="1" applyFill="1" applyBorder="1" applyAlignment="1">
      <alignment vertical="center"/>
    </xf>
    <xf numFmtId="4" fontId="3" fillId="2672" borderId="2366" xfId="0" applyNumberFormat="1" applyFont="1" applyFill="1" applyBorder="1" applyAlignment="1">
      <alignment vertical="center"/>
    </xf>
    <xf numFmtId="0" fontId="3" fillId="2673" borderId="2367" xfId="0" applyFont="1" applyFill="1" applyBorder="1" applyAlignment="1">
      <alignment vertical="center"/>
    </xf>
    <xf numFmtId="0" fontId="3" fillId="2674" borderId="2368" xfId="0" applyFont="1" applyFill="1" applyBorder="1" applyAlignment="1">
      <alignment vertical="center"/>
    </xf>
    <xf numFmtId="0" fontId="3" fillId="2676" borderId="2369" xfId="0" applyFont="1" applyFill="1" applyBorder="1" applyAlignment="1">
      <alignment vertical="center"/>
    </xf>
    <xf numFmtId="0" fontId="3" fillId="2677" borderId="2370" xfId="0" applyFont="1" applyFill="1" applyBorder="1" applyAlignment="1">
      <alignment vertical="center"/>
    </xf>
    <xf numFmtId="0" fontId="3" fillId="2678" borderId="2371" xfId="0" applyFont="1" applyFill="1" applyBorder="1" applyAlignment="1">
      <alignment vertical="center"/>
    </xf>
    <xf numFmtId="4" fontId="3" fillId="2679" borderId="2372" xfId="0" applyNumberFormat="1" applyFont="1" applyFill="1" applyBorder="1" applyAlignment="1">
      <alignment vertical="center"/>
    </xf>
    <xf numFmtId="4" fontId="3" fillId="2680" borderId="2373" xfId="0" applyNumberFormat="1" applyFont="1" applyFill="1" applyBorder="1" applyAlignment="1">
      <alignment vertical="center"/>
    </xf>
    <xf numFmtId="4" fontId="3" fillId="2681" borderId="2374" xfId="0" applyNumberFormat="1" applyFont="1" applyFill="1" applyBorder="1" applyAlignment="1">
      <alignment vertical="center"/>
    </xf>
    <xf numFmtId="0" fontId="3" fillId="2682" borderId="2375" xfId="0" applyFont="1" applyFill="1" applyBorder="1" applyAlignment="1">
      <alignment vertical="center"/>
    </xf>
    <xf numFmtId="0" fontId="3" fillId="2683" borderId="2376" xfId="0" applyFont="1" applyFill="1" applyBorder="1" applyAlignment="1">
      <alignment vertical="center"/>
    </xf>
    <xf numFmtId="0" fontId="3" fillId="2685" borderId="2377" xfId="0" applyFont="1" applyFill="1" applyBorder="1" applyAlignment="1">
      <alignment vertical="center"/>
    </xf>
    <xf numFmtId="0" fontId="3" fillId="2686" borderId="2378" xfId="0" applyFont="1" applyFill="1" applyBorder="1" applyAlignment="1">
      <alignment vertical="center"/>
    </xf>
    <xf numFmtId="0" fontId="3" fillId="2687" borderId="2379" xfId="0" applyFont="1" applyFill="1" applyBorder="1" applyAlignment="1">
      <alignment vertical="center"/>
    </xf>
    <xf numFmtId="4" fontId="3" fillId="2688" borderId="2380" xfId="0" applyNumberFormat="1" applyFont="1" applyFill="1" applyBorder="1" applyAlignment="1">
      <alignment vertical="center"/>
    </xf>
    <xf numFmtId="4" fontId="3" fillId="2689" borderId="2381" xfId="0" applyNumberFormat="1" applyFont="1" applyFill="1" applyBorder="1" applyAlignment="1">
      <alignment vertical="center"/>
    </xf>
    <xf numFmtId="4" fontId="3" fillId="2690" borderId="2382" xfId="0" applyNumberFormat="1" applyFont="1" applyFill="1" applyBorder="1" applyAlignment="1">
      <alignment vertical="center"/>
    </xf>
    <xf numFmtId="0" fontId="3" fillId="2691" borderId="2383" xfId="0" applyFont="1" applyFill="1" applyBorder="1" applyAlignment="1">
      <alignment vertical="center"/>
    </xf>
    <xf numFmtId="0" fontId="3" fillId="2692" borderId="2384" xfId="0" applyFont="1" applyFill="1" applyBorder="1" applyAlignment="1">
      <alignment vertical="center"/>
    </xf>
    <xf numFmtId="0" fontId="3" fillId="2694" borderId="2385" xfId="0" applyFont="1" applyFill="1" applyBorder="1" applyAlignment="1">
      <alignment vertical="center"/>
    </xf>
    <xf numFmtId="0" fontId="3" fillId="2695" borderId="2386" xfId="0" applyFont="1" applyFill="1" applyBorder="1" applyAlignment="1">
      <alignment vertical="center"/>
    </xf>
    <xf numFmtId="0" fontId="3" fillId="2696" borderId="2387" xfId="0" applyFont="1" applyFill="1" applyBorder="1" applyAlignment="1">
      <alignment vertical="center"/>
    </xf>
    <xf numFmtId="4" fontId="3" fillId="2697" borderId="2388" xfId="0" applyNumberFormat="1" applyFont="1" applyFill="1" applyBorder="1" applyAlignment="1">
      <alignment vertical="center"/>
    </xf>
    <xf numFmtId="4" fontId="3" fillId="2698" borderId="2389" xfId="0" applyNumberFormat="1" applyFont="1" applyFill="1" applyBorder="1" applyAlignment="1">
      <alignment vertical="center"/>
    </xf>
    <xf numFmtId="4" fontId="3" fillId="2699" borderId="2390" xfId="0" applyNumberFormat="1" applyFont="1" applyFill="1" applyBorder="1" applyAlignment="1">
      <alignment vertical="center"/>
    </xf>
    <xf numFmtId="0" fontId="3" fillId="2700" borderId="2391" xfId="0" applyFont="1" applyFill="1" applyBorder="1" applyAlignment="1">
      <alignment vertical="center"/>
    </xf>
    <xf numFmtId="0" fontId="3" fillId="2701" borderId="2392" xfId="0" applyFont="1" applyFill="1" applyBorder="1" applyAlignment="1">
      <alignment vertical="center"/>
    </xf>
    <xf numFmtId="0" fontId="3" fillId="2703" borderId="2393" xfId="0" applyFont="1" applyFill="1" applyBorder="1" applyAlignment="1">
      <alignment vertical="center"/>
    </xf>
    <xf numFmtId="0" fontId="3" fillId="2704" borderId="2394" xfId="0" applyFont="1" applyFill="1" applyBorder="1" applyAlignment="1">
      <alignment vertical="center"/>
    </xf>
    <xf numFmtId="0" fontId="3" fillId="2705" borderId="2395" xfId="0" applyFont="1" applyFill="1" applyBorder="1" applyAlignment="1">
      <alignment vertical="center"/>
    </xf>
    <xf numFmtId="4" fontId="3" fillId="2706" borderId="2396" xfId="0" applyNumberFormat="1" applyFont="1" applyFill="1" applyBorder="1" applyAlignment="1">
      <alignment vertical="center"/>
    </xf>
    <xf numFmtId="4" fontId="3" fillId="2707" borderId="2397" xfId="0" applyNumberFormat="1" applyFont="1" applyFill="1" applyBorder="1" applyAlignment="1">
      <alignment vertical="center"/>
    </xf>
    <xf numFmtId="4" fontId="3" fillId="2708" borderId="2398" xfId="0" applyNumberFormat="1" applyFont="1" applyFill="1" applyBorder="1" applyAlignment="1">
      <alignment vertical="center"/>
    </xf>
    <xf numFmtId="0" fontId="3" fillId="2709" borderId="2399" xfId="0" applyFont="1" applyFill="1" applyBorder="1" applyAlignment="1">
      <alignment vertical="center"/>
    </xf>
    <xf numFmtId="0" fontId="3" fillId="2710" borderId="2400" xfId="0" applyFont="1" applyFill="1" applyBorder="1" applyAlignment="1">
      <alignment vertical="center"/>
    </xf>
    <xf numFmtId="0" fontId="3" fillId="2712" borderId="2401" xfId="0" applyFont="1" applyFill="1" applyBorder="1" applyAlignment="1">
      <alignment vertical="center"/>
    </xf>
    <xf numFmtId="0" fontId="3" fillId="2713" borderId="2402" xfId="0" applyFont="1" applyFill="1" applyBorder="1" applyAlignment="1">
      <alignment vertical="center"/>
    </xf>
    <xf numFmtId="0" fontId="3" fillId="2714" borderId="2403" xfId="0" applyFont="1" applyFill="1" applyBorder="1" applyAlignment="1">
      <alignment vertical="center"/>
    </xf>
    <xf numFmtId="4" fontId="3" fillId="2715" borderId="2404" xfId="0" applyNumberFormat="1" applyFont="1" applyFill="1" applyBorder="1" applyAlignment="1">
      <alignment vertical="center"/>
    </xf>
    <xf numFmtId="4" fontId="3" fillId="2716" borderId="2405" xfId="0" applyNumberFormat="1" applyFont="1" applyFill="1" applyBorder="1" applyAlignment="1">
      <alignment vertical="center"/>
    </xf>
    <xf numFmtId="4" fontId="3" fillId="2717" borderId="2406" xfId="0" applyNumberFormat="1" applyFont="1" applyFill="1" applyBorder="1" applyAlignment="1">
      <alignment vertical="center"/>
    </xf>
    <xf numFmtId="0" fontId="3" fillId="2718" borderId="2407" xfId="0" applyFont="1" applyFill="1" applyBorder="1" applyAlignment="1">
      <alignment vertical="center"/>
    </xf>
    <xf numFmtId="0" fontId="3" fillId="2719" borderId="2408" xfId="0" applyFont="1" applyFill="1" applyBorder="1" applyAlignment="1">
      <alignment vertical="center"/>
    </xf>
    <xf numFmtId="0" fontId="3" fillId="2721" borderId="2409" xfId="0" applyFont="1" applyFill="1" applyBorder="1" applyAlignment="1">
      <alignment vertical="center"/>
    </xf>
    <xf numFmtId="0" fontId="3" fillId="2722" borderId="2410" xfId="0" applyFont="1" applyFill="1" applyBorder="1" applyAlignment="1">
      <alignment vertical="center"/>
    </xf>
    <xf numFmtId="0" fontId="3" fillId="2723" borderId="2411" xfId="0" applyFont="1" applyFill="1" applyBorder="1" applyAlignment="1">
      <alignment vertical="center"/>
    </xf>
    <xf numFmtId="4" fontId="3" fillId="2724" borderId="2412" xfId="0" applyNumberFormat="1" applyFont="1" applyFill="1" applyBorder="1" applyAlignment="1">
      <alignment vertical="center"/>
    </xf>
    <xf numFmtId="4" fontId="3" fillId="2725" borderId="2413" xfId="0" applyNumberFormat="1" applyFont="1" applyFill="1" applyBorder="1" applyAlignment="1">
      <alignment vertical="center"/>
    </xf>
    <xf numFmtId="4" fontId="3" fillId="2726" borderId="2414" xfId="0" applyNumberFormat="1" applyFont="1" applyFill="1" applyBorder="1" applyAlignment="1">
      <alignment vertical="center"/>
    </xf>
    <xf numFmtId="0" fontId="3" fillId="2727" borderId="2415" xfId="0" applyFont="1" applyFill="1" applyBorder="1" applyAlignment="1">
      <alignment vertical="center"/>
    </xf>
    <xf numFmtId="0" fontId="3" fillId="2728" borderId="2416" xfId="0" applyFont="1" applyFill="1" applyBorder="1" applyAlignment="1">
      <alignment vertical="center"/>
    </xf>
    <xf numFmtId="0" fontId="3" fillId="2730" borderId="2417" xfId="0" applyFont="1" applyFill="1" applyBorder="1" applyAlignment="1">
      <alignment vertical="center"/>
    </xf>
    <xf numFmtId="0" fontId="3" fillId="2731" borderId="2418" xfId="0" applyFont="1" applyFill="1" applyBorder="1" applyAlignment="1">
      <alignment vertical="center"/>
    </xf>
    <xf numFmtId="0" fontId="3" fillId="2732" borderId="2419" xfId="0" applyFont="1" applyFill="1" applyBorder="1" applyAlignment="1">
      <alignment vertical="center"/>
    </xf>
    <xf numFmtId="4" fontId="3" fillId="2733" borderId="2420" xfId="0" applyNumberFormat="1" applyFont="1" applyFill="1" applyBorder="1" applyAlignment="1">
      <alignment vertical="center"/>
    </xf>
    <xf numFmtId="4" fontId="3" fillId="2734" borderId="2421" xfId="0" applyNumberFormat="1" applyFont="1" applyFill="1" applyBorder="1" applyAlignment="1">
      <alignment vertical="center"/>
    </xf>
    <xf numFmtId="4" fontId="3" fillId="2735" borderId="2422" xfId="0" applyNumberFormat="1" applyFont="1" applyFill="1" applyBorder="1" applyAlignment="1">
      <alignment vertical="center"/>
    </xf>
    <xf numFmtId="0" fontId="3" fillId="2736" borderId="2423" xfId="0" applyFont="1" applyFill="1" applyBorder="1" applyAlignment="1">
      <alignment vertical="center"/>
    </xf>
    <xf numFmtId="0" fontId="3" fillId="2737" borderId="2424" xfId="0" applyFont="1" applyFill="1" applyBorder="1" applyAlignment="1">
      <alignment vertical="center"/>
    </xf>
    <xf numFmtId="0" fontId="3" fillId="2739" borderId="2425" xfId="0" applyFont="1" applyFill="1" applyBorder="1" applyAlignment="1">
      <alignment vertical="center"/>
    </xf>
    <xf numFmtId="0" fontId="3" fillId="2740" borderId="2426" xfId="0" applyFont="1" applyFill="1" applyBorder="1" applyAlignment="1">
      <alignment vertical="center"/>
    </xf>
    <xf numFmtId="0" fontId="3" fillId="2741" borderId="2427" xfId="0" applyFont="1" applyFill="1" applyBorder="1" applyAlignment="1">
      <alignment vertical="center"/>
    </xf>
    <xf numFmtId="4" fontId="3" fillId="2742" borderId="2428" xfId="0" applyNumberFormat="1" applyFont="1" applyFill="1" applyBorder="1" applyAlignment="1">
      <alignment vertical="center"/>
    </xf>
    <xf numFmtId="4" fontId="3" fillId="2743" borderId="2429" xfId="0" applyNumberFormat="1" applyFont="1" applyFill="1" applyBorder="1" applyAlignment="1">
      <alignment vertical="center"/>
    </xf>
    <xf numFmtId="4" fontId="3" fillId="2744" borderId="2430" xfId="0" applyNumberFormat="1" applyFont="1" applyFill="1" applyBorder="1" applyAlignment="1">
      <alignment vertical="center"/>
    </xf>
    <xf numFmtId="0" fontId="3" fillId="2745" borderId="2431" xfId="0" applyFont="1" applyFill="1" applyBorder="1" applyAlignment="1">
      <alignment vertical="center"/>
    </xf>
    <xf numFmtId="0" fontId="3" fillId="2746" borderId="2432" xfId="0" applyFont="1" applyFill="1" applyBorder="1" applyAlignment="1">
      <alignment vertical="center"/>
    </xf>
    <xf numFmtId="0" fontId="3" fillId="2748" borderId="2433" xfId="0" applyFont="1" applyFill="1" applyBorder="1" applyAlignment="1">
      <alignment vertical="center"/>
    </xf>
    <xf numFmtId="0" fontId="3" fillId="2749" borderId="2434" xfId="0" applyFont="1" applyFill="1" applyBorder="1" applyAlignment="1">
      <alignment vertical="center"/>
    </xf>
    <xf numFmtId="0" fontId="3" fillId="2750" borderId="2435" xfId="0" applyFont="1" applyFill="1" applyBorder="1" applyAlignment="1">
      <alignment vertical="center"/>
    </xf>
    <xf numFmtId="4" fontId="3" fillId="2751" borderId="2436" xfId="0" applyNumberFormat="1" applyFont="1" applyFill="1" applyBorder="1" applyAlignment="1">
      <alignment vertical="center"/>
    </xf>
    <xf numFmtId="4" fontId="3" fillId="2752" borderId="2437" xfId="0" applyNumberFormat="1" applyFont="1" applyFill="1" applyBorder="1" applyAlignment="1">
      <alignment vertical="center"/>
    </xf>
    <xf numFmtId="4" fontId="3" fillId="2753" borderId="2438" xfId="0" applyNumberFormat="1" applyFont="1" applyFill="1" applyBorder="1" applyAlignment="1">
      <alignment vertical="center"/>
    </xf>
    <xf numFmtId="0" fontId="3" fillId="2754" borderId="2439" xfId="0" applyFont="1" applyFill="1" applyBorder="1" applyAlignment="1">
      <alignment vertical="center"/>
    </xf>
    <xf numFmtId="0" fontId="3" fillId="2755" borderId="2440" xfId="0" applyFont="1" applyFill="1" applyBorder="1" applyAlignment="1">
      <alignment vertical="center"/>
    </xf>
    <xf numFmtId="0" fontId="3" fillId="2757" borderId="2441" xfId="0" applyFont="1" applyFill="1" applyBorder="1" applyAlignment="1">
      <alignment vertical="center"/>
    </xf>
    <xf numFmtId="0" fontId="3" fillId="2758" borderId="2442" xfId="0" applyFont="1" applyFill="1" applyBorder="1" applyAlignment="1">
      <alignment vertical="center"/>
    </xf>
    <xf numFmtId="0" fontId="3" fillId="2759" borderId="2443" xfId="0" applyFont="1" applyFill="1" applyBorder="1" applyAlignment="1">
      <alignment vertical="center"/>
    </xf>
    <xf numFmtId="4" fontId="3" fillId="2760" borderId="2444" xfId="0" applyNumberFormat="1" applyFont="1" applyFill="1" applyBorder="1" applyAlignment="1">
      <alignment vertical="center"/>
    </xf>
    <xf numFmtId="4" fontId="3" fillId="2761" borderId="2445" xfId="0" applyNumberFormat="1" applyFont="1" applyFill="1" applyBorder="1" applyAlignment="1">
      <alignment vertical="center"/>
    </xf>
    <xf numFmtId="4" fontId="3" fillId="2762" borderId="2446" xfId="0" applyNumberFormat="1" applyFont="1" applyFill="1" applyBorder="1" applyAlignment="1">
      <alignment vertical="center"/>
    </xf>
    <xf numFmtId="0" fontId="3" fillId="2763" borderId="2447" xfId="0" applyFont="1" applyFill="1" applyBorder="1" applyAlignment="1">
      <alignment vertical="center"/>
    </xf>
    <xf numFmtId="0" fontId="3" fillId="2764" borderId="2448" xfId="0" applyFont="1" applyFill="1" applyBorder="1" applyAlignment="1">
      <alignment vertical="center"/>
    </xf>
    <xf numFmtId="0" fontId="3" fillId="2766" borderId="2449" xfId="0" applyFont="1" applyFill="1" applyBorder="1" applyAlignment="1">
      <alignment vertical="center"/>
    </xf>
    <xf numFmtId="0" fontId="3" fillId="2767" borderId="2450" xfId="0" applyFont="1" applyFill="1" applyBorder="1" applyAlignment="1">
      <alignment vertical="center"/>
    </xf>
    <xf numFmtId="0" fontId="3" fillId="2768" borderId="2451" xfId="0" applyFont="1" applyFill="1" applyBorder="1" applyAlignment="1">
      <alignment vertical="center"/>
    </xf>
    <xf numFmtId="4" fontId="3" fillId="2769" borderId="2452" xfId="0" applyNumberFormat="1" applyFont="1" applyFill="1" applyBorder="1" applyAlignment="1">
      <alignment vertical="center"/>
    </xf>
    <xf numFmtId="4" fontId="3" fillId="2770" borderId="2453" xfId="0" applyNumberFormat="1" applyFont="1" applyFill="1" applyBorder="1" applyAlignment="1">
      <alignment vertical="center"/>
    </xf>
    <xf numFmtId="4" fontId="3" fillId="2771" borderId="2454" xfId="0" applyNumberFormat="1" applyFont="1" applyFill="1" applyBorder="1" applyAlignment="1">
      <alignment vertical="center"/>
    </xf>
    <xf numFmtId="0" fontId="3" fillId="2772" borderId="2455" xfId="0" applyFont="1" applyFill="1" applyBorder="1" applyAlignment="1">
      <alignment vertical="center"/>
    </xf>
    <xf numFmtId="0" fontId="3" fillId="2773" borderId="2456" xfId="0" applyFont="1" applyFill="1" applyBorder="1" applyAlignment="1">
      <alignment vertical="center"/>
    </xf>
    <xf numFmtId="0" fontId="3" fillId="2775" borderId="2457" xfId="0" applyFont="1" applyFill="1" applyBorder="1" applyAlignment="1">
      <alignment vertical="center"/>
    </xf>
    <xf numFmtId="0" fontId="3" fillId="2776" borderId="2458" xfId="0" applyFont="1" applyFill="1" applyBorder="1" applyAlignment="1">
      <alignment vertical="center"/>
    </xf>
    <xf numFmtId="0" fontId="3" fillId="2777" borderId="2459" xfId="0" applyFont="1" applyFill="1" applyBorder="1" applyAlignment="1">
      <alignment vertical="center"/>
    </xf>
    <xf numFmtId="4" fontId="3" fillId="2778" borderId="2460" xfId="0" applyNumberFormat="1" applyFont="1" applyFill="1" applyBorder="1" applyAlignment="1">
      <alignment vertical="center"/>
    </xf>
    <xf numFmtId="4" fontId="3" fillId="2779" borderId="2461" xfId="0" applyNumberFormat="1" applyFont="1" applyFill="1" applyBorder="1" applyAlignment="1">
      <alignment vertical="center"/>
    </xf>
    <xf numFmtId="4" fontId="3" fillId="2780" borderId="2462" xfId="0" applyNumberFormat="1" applyFont="1" applyFill="1" applyBorder="1" applyAlignment="1">
      <alignment vertical="center"/>
    </xf>
    <xf numFmtId="0" fontId="3" fillId="2781" borderId="2463" xfId="0" applyFont="1" applyFill="1" applyBorder="1" applyAlignment="1">
      <alignment vertical="center"/>
    </xf>
    <xf numFmtId="0" fontId="3" fillId="2782" borderId="2464" xfId="0" applyFont="1" applyFill="1" applyBorder="1" applyAlignment="1">
      <alignment vertical="center"/>
    </xf>
    <xf numFmtId="0" fontId="3" fillId="2784" borderId="2465" xfId="0" applyFont="1" applyFill="1" applyBorder="1" applyAlignment="1">
      <alignment vertical="center"/>
    </xf>
    <xf numFmtId="0" fontId="3" fillId="2785" borderId="2466" xfId="0" applyFont="1" applyFill="1" applyBorder="1" applyAlignment="1">
      <alignment vertical="center"/>
    </xf>
    <xf numFmtId="0" fontId="3" fillId="2786" borderId="2467" xfId="0" applyFont="1" applyFill="1" applyBorder="1" applyAlignment="1">
      <alignment vertical="center"/>
    </xf>
    <xf numFmtId="4" fontId="3" fillId="2787" borderId="2468" xfId="0" applyNumberFormat="1" applyFont="1" applyFill="1" applyBorder="1" applyAlignment="1">
      <alignment vertical="center"/>
    </xf>
    <xf numFmtId="4" fontId="3" fillId="2788" borderId="2469" xfId="0" applyNumberFormat="1" applyFont="1" applyFill="1" applyBorder="1" applyAlignment="1">
      <alignment vertical="center"/>
    </xf>
    <xf numFmtId="4" fontId="3" fillId="2789" borderId="2470" xfId="0" applyNumberFormat="1" applyFont="1" applyFill="1" applyBorder="1" applyAlignment="1">
      <alignment vertical="center"/>
    </xf>
    <xf numFmtId="0" fontId="3" fillId="2790" borderId="2471" xfId="0" applyFont="1" applyFill="1" applyBorder="1" applyAlignment="1">
      <alignment vertical="center"/>
    </xf>
    <xf numFmtId="0" fontId="3" fillId="2791" borderId="2472" xfId="0" applyFont="1" applyFill="1" applyBorder="1" applyAlignment="1">
      <alignment vertical="center"/>
    </xf>
    <xf numFmtId="0" fontId="3" fillId="2793" borderId="2473" xfId="0" applyFont="1" applyFill="1" applyBorder="1" applyAlignment="1">
      <alignment vertical="center"/>
    </xf>
    <xf numFmtId="0" fontId="3" fillId="2794" borderId="2474" xfId="0" applyFont="1" applyFill="1" applyBorder="1" applyAlignment="1">
      <alignment vertical="center"/>
    </xf>
    <xf numFmtId="0" fontId="3" fillId="2795" borderId="2475" xfId="0" applyFont="1" applyFill="1" applyBorder="1" applyAlignment="1">
      <alignment vertical="center"/>
    </xf>
    <xf numFmtId="4" fontId="3" fillId="2796" borderId="2476" xfId="0" applyNumberFormat="1" applyFont="1" applyFill="1" applyBorder="1" applyAlignment="1">
      <alignment vertical="center"/>
    </xf>
    <xf numFmtId="4" fontId="3" fillId="2797" borderId="2477" xfId="0" applyNumberFormat="1" applyFont="1" applyFill="1" applyBorder="1" applyAlignment="1">
      <alignment vertical="center"/>
    </xf>
    <xf numFmtId="4" fontId="3" fillId="2798" borderId="2478" xfId="0" applyNumberFormat="1" applyFont="1" applyFill="1" applyBorder="1" applyAlignment="1">
      <alignment vertical="center"/>
    </xf>
    <xf numFmtId="0" fontId="3" fillId="2799" borderId="2479" xfId="0" applyFont="1" applyFill="1" applyBorder="1" applyAlignment="1">
      <alignment vertical="center"/>
    </xf>
    <xf numFmtId="0" fontId="3" fillId="2800" borderId="2480" xfId="0" applyFont="1" applyFill="1" applyBorder="1" applyAlignment="1">
      <alignment vertical="center"/>
    </xf>
    <xf numFmtId="0" fontId="3" fillId="2802" borderId="2481" xfId="0" applyFont="1" applyFill="1" applyBorder="1" applyAlignment="1">
      <alignment vertical="center"/>
    </xf>
    <xf numFmtId="0" fontId="3" fillId="2803" borderId="2482" xfId="0" applyFont="1" applyFill="1" applyBorder="1" applyAlignment="1">
      <alignment vertical="center"/>
    </xf>
    <xf numFmtId="0" fontId="3" fillId="2804" borderId="2483" xfId="0" applyFont="1" applyFill="1" applyBorder="1" applyAlignment="1">
      <alignment vertical="center"/>
    </xf>
    <xf numFmtId="4" fontId="3" fillId="2805" borderId="2484" xfId="0" applyNumberFormat="1" applyFont="1" applyFill="1" applyBorder="1" applyAlignment="1">
      <alignment vertical="center"/>
    </xf>
    <xf numFmtId="4" fontId="3" fillId="2806" borderId="2485" xfId="0" applyNumberFormat="1" applyFont="1" applyFill="1" applyBorder="1" applyAlignment="1">
      <alignment vertical="center"/>
    </xf>
    <xf numFmtId="4" fontId="3" fillId="2807" borderId="2486" xfId="0" applyNumberFormat="1" applyFont="1" applyFill="1" applyBorder="1" applyAlignment="1">
      <alignment vertical="center"/>
    </xf>
    <xf numFmtId="0" fontId="3" fillId="2808" borderId="2487" xfId="0" applyFont="1" applyFill="1" applyBorder="1" applyAlignment="1">
      <alignment vertical="center"/>
    </xf>
    <xf numFmtId="0" fontId="3" fillId="2809" borderId="2488" xfId="0" applyFont="1" applyFill="1" applyBorder="1" applyAlignment="1">
      <alignment vertical="center"/>
    </xf>
    <xf numFmtId="0" fontId="3" fillId="2811" borderId="2489" xfId="0" applyFont="1" applyFill="1" applyBorder="1" applyAlignment="1">
      <alignment vertical="center"/>
    </xf>
    <xf numFmtId="0" fontId="3" fillId="2812" borderId="2490" xfId="0" applyFont="1" applyFill="1" applyBorder="1" applyAlignment="1">
      <alignment vertical="center"/>
    </xf>
    <xf numFmtId="0" fontId="3" fillId="2813" borderId="2491" xfId="0" applyFont="1" applyFill="1" applyBorder="1" applyAlignment="1">
      <alignment vertical="center"/>
    </xf>
    <xf numFmtId="4" fontId="3" fillId="2814" borderId="2492" xfId="0" applyNumberFormat="1" applyFont="1" applyFill="1" applyBorder="1" applyAlignment="1">
      <alignment vertical="center"/>
    </xf>
    <xf numFmtId="4" fontId="3" fillId="2815" borderId="2493" xfId="0" applyNumberFormat="1" applyFont="1" applyFill="1" applyBorder="1" applyAlignment="1">
      <alignment vertical="center"/>
    </xf>
    <xf numFmtId="4" fontId="3" fillId="2816" borderId="2494" xfId="0" applyNumberFormat="1" applyFont="1" applyFill="1" applyBorder="1" applyAlignment="1">
      <alignment vertical="center"/>
    </xf>
    <xf numFmtId="0" fontId="3" fillId="2817" borderId="2495" xfId="0" applyFont="1" applyFill="1" applyBorder="1" applyAlignment="1">
      <alignment vertical="center"/>
    </xf>
    <xf numFmtId="0" fontId="3" fillId="2818" borderId="2496" xfId="0" applyFont="1" applyFill="1" applyBorder="1" applyAlignment="1">
      <alignment vertical="center"/>
    </xf>
    <xf numFmtId="0" fontId="3" fillId="2820" borderId="2497" xfId="0" applyFont="1" applyFill="1" applyBorder="1" applyAlignment="1">
      <alignment vertical="center"/>
    </xf>
    <xf numFmtId="0" fontId="3" fillId="2821" borderId="2498" xfId="0" applyFont="1" applyFill="1" applyBorder="1" applyAlignment="1">
      <alignment vertical="center"/>
    </xf>
    <xf numFmtId="0" fontId="3" fillId="2822" borderId="2499" xfId="0" applyFont="1" applyFill="1" applyBorder="1" applyAlignment="1">
      <alignment vertical="center"/>
    </xf>
    <xf numFmtId="4" fontId="3" fillId="2823" borderId="2500" xfId="0" applyNumberFormat="1" applyFont="1" applyFill="1" applyBorder="1" applyAlignment="1">
      <alignment vertical="center"/>
    </xf>
    <xf numFmtId="4" fontId="3" fillId="2824" borderId="2501" xfId="0" applyNumberFormat="1" applyFont="1" applyFill="1" applyBorder="1" applyAlignment="1">
      <alignment vertical="center"/>
    </xf>
    <xf numFmtId="4" fontId="3" fillId="2825" borderId="2502" xfId="0" applyNumberFormat="1" applyFont="1" applyFill="1" applyBorder="1" applyAlignment="1">
      <alignment vertical="center"/>
    </xf>
    <xf numFmtId="0" fontId="3" fillId="2826" borderId="2503" xfId="0" applyFont="1" applyFill="1" applyBorder="1" applyAlignment="1">
      <alignment vertical="center"/>
    </xf>
    <xf numFmtId="0" fontId="3" fillId="2827" borderId="2504" xfId="0" applyFont="1" applyFill="1" applyBorder="1" applyAlignment="1">
      <alignment vertical="center"/>
    </xf>
    <xf numFmtId="0" fontId="3" fillId="2829" borderId="2505" xfId="0" applyFont="1" applyFill="1" applyBorder="1" applyAlignment="1">
      <alignment vertical="center"/>
    </xf>
    <xf numFmtId="0" fontId="3" fillId="2830" borderId="2506" xfId="0" applyFont="1" applyFill="1" applyBorder="1" applyAlignment="1">
      <alignment vertical="center"/>
    </xf>
    <xf numFmtId="0" fontId="3" fillId="2831" borderId="2507" xfId="0" applyFont="1" applyFill="1" applyBorder="1" applyAlignment="1">
      <alignment vertical="center"/>
    </xf>
    <xf numFmtId="4" fontId="3" fillId="2832" borderId="2508" xfId="0" applyNumberFormat="1" applyFont="1" applyFill="1" applyBorder="1" applyAlignment="1">
      <alignment vertical="center"/>
    </xf>
    <xf numFmtId="4" fontId="3" fillId="2833" borderId="2509" xfId="0" applyNumberFormat="1" applyFont="1" applyFill="1" applyBorder="1" applyAlignment="1">
      <alignment vertical="center"/>
    </xf>
    <xf numFmtId="4" fontId="3" fillId="2834" borderId="2510" xfId="0" applyNumberFormat="1" applyFont="1" applyFill="1" applyBorder="1" applyAlignment="1">
      <alignment vertical="center"/>
    </xf>
    <xf numFmtId="0" fontId="3" fillId="2835" borderId="2511" xfId="0" applyFont="1" applyFill="1" applyBorder="1" applyAlignment="1">
      <alignment vertical="center"/>
    </xf>
    <xf numFmtId="0" fontId="3" fillId="2836" borderId="2512" xfId="0" applyFont="1" applyFill="1" applyBorder="1" applyAlignment="1">
      <alignment vertical="center"/>
    </xf>
    <xf numFmtId="0" fontId="3" fillId="2838" borderId="2513" xfId="0" applyFont="1" applyFill="1" applyBorder="1" applyAlignment="1">
      <alignment vertical="center"/>
    </xf>
    <xf numFmtId="0" fontId="3" fillId="2839" borderId="2514" xfId="0" applyFont="1" applyFill="1" applyBorder="1" applyAlignment="1">
      <alignment vertical="center"/>
    </xf>
    <xf numFmtId="0" fontId="3" fillId="2840" borderId="2515" xfId="0" applyFont="1" applyFill="1" applyBorder="1" applyAlignment="1">
      <alignment vertical="center"/>
    </xf>
    <xf numFmtId="4" fontId="3" fillId="2841" borderId="2516" xfId="0" applyNumberFormat="1" applyFont="1" applyFill="1" applyBorder="1" applyAlignment="1">
      <alignment vertical="center"/>
    </xf>
    <xf numFmtId="4" fontId="3" fillId="2842" borderId="2517" xfId="0" applyNumberFormat="1" applyFont="1" applyFill="1" applyBorder="1" applyAlignment="1">
      <alignment vertical="center"/>
    </xf>
    <xf numFmtId="4" fontId="3" fillId="2843" borderId="2518" xfId="0" applyNumberFormat="1" applyFont="1" applyFill="1" applyBorder="1" applyAlignment="1">
      <alignment vertical="center"/>
    </xf>
    <xf numFmtId="0" fontId="3" fillId="2844" borderId="2519" xfId="0" applyFont="1" applyFill="1" applyBorder="1" applyAlignment="1">
      <alignment vertical="center"/>
    </xf>
    <xf numFmtId="0" fontId="3" fillId="2845" borderId="2520" xfId="0" applyFont="1" applyFill="1" applyBorder="1" applyAlignment="1">
      <alignment vertical="center"/>
    </xf>
    <xf numFmtId="0" fontId="3" fillId="2847" borderId="2521" xfId="0" applyFont="1" applyFill="1" applyBorder="1" applyAlignment="1">
      <alignment vertical="center"/>
    </xf>
    <xf numFmtId="0" fontId="3" fillId="2848" borderId="2522" xfId="0" applyFont="1" applyFill="1" applyBorder="1" applyAlignment="1">
      <alignment vertical="center"/>
    </xf>
    <xf numFmtId="0" fontId="3" fillId="2849" borderId="2523" xfId="0" applyFont="1" applyFill="1" applyBorder="1" applyAlignment="1">
      <alignment vertical="center"/>
    </xf>
    <xf numFmtId="4" fontId="3" fillId="2850" borderId="2524" xfId="0" applyNumberFormat="1" applyFont="1" applyFill="1" applyBorder="1" applyAlignment="1">
      <alignment vertical="center"/>
    </xf>
    <xf numFmtId="4" fontId="3" fillId="2851" borderId="2525" xfId="0" applyNumberFormat="1" applyFont="1" applyFill="1" applyBorder="1" applyAlignment="1">
      <alignment vertical="center"/>
    </xf>
    <xf numFmtId="4" fontId="3" fillId="2852" borderId="2526" xfId="0" applyNumberFormat="1" applyFont="1" applyFill="1" applyBorder="1" applyAlignment="1">
      <alignment vertical="center"/>
    </xf>
    <xf numFmtId="0" fontId="3" fillId="2853" borderId="2527" xfId="0" applyFont="1" applyFill="1" applyBorder="1" applyAlignment="1">
      <alignment vertical="center"/>
    </xf>
    <xf numFmtId="0" fontId="3" fillId="2854" borderId="2528" xfId="0" applyFont="1" applyFill="1" applyBorder="1" applyAlignment="1">
      <alignment vertical="center"/>
    </xf>
    <xf numFmtId="0" fontId="3" fillId="2856" borderId="2529" xfId="0" applyFont="1" applyFill="1" applyBorder="1" applyAlignment="1">
      <alignment vertical="center"/>
    </xf>
    <xf numFmtId="0" fontId="3" fillId="2857" borderId="2530" xfId="0" applyFont="1" applyFill="1" applyBorder="1" applyAlignment="1">
      <alignment vertical="center"/>
    </xf>
    <xf numFmtId="0" fontId="3" fillId="2858" borderId="2531" xfId="0" applyFont="1" applyFill="1" applyBorder="1" applyAlignment="1">
      <alignment vertical="center"/>
    </xf>
    <xf numFmtId="4" fontId="3" fillId="2859" borderId="2532" xfId="0" applyNumberFormat="1" applyFont="1" applyFill="1" applyBorder="1" applyAlignment="1">
      <alignment vertical="center"/>
    </xf>
    <xf numFmtId="4" fontId="3" fillId="2860" borderId="2533" xfId="0" applyNumberFormat="1" applyFont="1" applyFill="1" applyBorder="1" applyAlignment="1">
      <alignment vertical="center"/>
    </xf>
    <xf numFmtId="4" fontId="3" fillId="2861" borderId="2534" xfId="0" applyNumberFormat="1" applyFont="1" applyFill="1" applyBorder="1" applyAlignment="1">
      <alignment vertical="center"/>
    </xf>
    <xf numFmtId="0" fontId="3" fillId="2862" borderId="2535" xfId="0" applyFont="1" applyFill="1" applyBorder="1" applyAlignment="1">
      <alignment vertical="center"/>
    </xf>
    <xf numFmtId="0" fontId="3" fillId="2863" borderId="2536" xfId="0" applyFont="1" applyFill="1" applyBorder="1" applyAlignment="1">
      <alignment vertical="center"/>
    </xf>
    <xf numFmtId="0" fontId="3" fillId="2865" borderId="2537" xfId="0" applyFont="1" applyFill="1" applyBorder="1" applyAlignment="1">
      <alignment vertical="center"/>
    </xf>
    <xf numFmtId="0" fontId="3" fillId="2866" borderId="2538" xfId="0" applyFont="1" applyFill="1" applyBorder="1" applyAlignment="1">
      <alignment vertical="center"/>
    </xf>
    <xf numFmtId="0" fontId="3" fillId="2867" borderId="2539" xfId="0" applyFont="1" applyFill="1" applyBorder="1" applyAlignment="1">
      <alignment vertical="center"/>
    </xf>
    <xf numFmtId="4" fontId="3" fillId="2868" borderId="2540" xfId="0" applyNumberFormat="1" applyFont="1" applyFill="1" applyBorder="1" applyAlignment="1">
      <alignment vertical="center"/>
    </xf>
    <xf numFmtId="4" fontId="3" fillId="2869" borderId="2541" xfId="0" applyNumberFormat="1" applyFont="1" applyFill="1" applyBorder="1" applyAlignment="1">
      <alignment vertical="center"/>
    </xf>
    <xf numFmtId="4" fontId="3" fillId="2870" borderId="2542" xfId="0" applyNumberFormat="1" applyFont="1" applyFill="1" applyBorder="1" applyAlignment="1">
      <alignment vertical="center"/>
    </xf>
    <xf numFmtId="0" fontId="3" fillId="2871" borderId="2543" xfId="0" applyFont="1" applyFill="1" applyBorder="1" applyAlignment="1">
      <alignment vertical="center"/>
    </xf>
    <xf numFmtId="0" fontId="3" fillId="2872" borderId="2544" xfId="0" applyFont="1" applyFill="1" applyBorder="1" applyAlignment="1">
      <alignment vertical="center"/>
    </xf>
    <xf numFmtId="0" fontId="3" fillId="2874" borderId="2545" xfId="0" applyFont="1" applyFill="1" applyBorder="1" applyAlignment="1">
      <alignment vertical="center"/>
    </xf>
    <xf numFmtId="0" fontId="3" fillId="2875" borderId="2546" xfId="0" applyFont="1" applyFill="1" applyBorder="1" applyAlignment="1">
      <alignment vertical="center"/>
    </xf>
    <xf numFmtId="0" fontId="3" fillId="2876" borderId="2547" xfId="0" applyFont="1" applyFill="1" applyBorder="1" applyAlignment="1">
      <alignment vertical="center"/>
    </xf>
    <xf numFmtId="4" fontId="3" fillId="2877" borderId="2548" xfId="0" applyNumberFormat="1" applyFont="1" applyFill="1" applyBorder="1" applyAlignment="1">
      <alignment vertical="center"/>
    </xf>
    <xf numFmtId="4" fontId="3" fillId="2878" borderId="2549" xfId="0" applyNumberFormat="1" applyFont="1" applyFill="1" applyBorder="1" applyAlignment="1">
      <alignment vertical="center"/>
    </xf>
    <xf numFmtId="4" fontId="3" fillId="2879" borderId="2550" xfId="0" applyNumberFormat="1" applyFont="1" applyFill="1" applyBorder="1" applyAlignment="1">
      <alignment vertical="center"/>
    </xf>
    <xf numFmtId="0" fontId="3" fillId="2880" borderId="2551" xfId="0" applyFont="1" applyFill="1" applyBorder="1" applyAlignment="1">
      <alignment vertical="center"/>
    </xf>
    <xf numFmtId="0" fontId="3" fillId="2881" borderId="2552" xfId="0" applyFont="1" applyFill="1" applyBorder="1" applyAlignment="1">
      <alignment vertical="center"/>
    </xf>
    <xf numFmtId="0" fontId="3" fillId="2883" borderId="2553" xfId="0" applyFont="1" applyFill="1" applyBorder="1" applyAlignment="1">
      <alignment vertical="center"/>
    </xf>
    <xf numFmtId="0" fontId="3" fillId="2884" borderId="2554" xfId="0" applyFont="1" applyFill="1" applyBorder="1" applyAlignment="1">
      <alignment vertical="center"/>
    </xf>
    <xf numFmtId="0" fontId="3" fillId="2885" borderId="2555" xfId="0" applyFont="1" applyFill="1" applyBorder="1" applyAlignment="1">
      <alignment vertical="center"/>
    </xf>
    <xf numFmtId="4" fontId="3" fillId="2886" borderId="2556" xfId="0" applyNumberFormat="1" applyFont="1" applyFill="1" applyBorder="1" applyAlignment="1">
      <alignment vertical="center"/>
    </xf>
    <xf numFmtId="4" fontId="3" fillId="2887" borderId="2557" xfId="0" applyNumberFormat="1" applyFont="1" applyFill="1" applyBorder="1" applyAlignment="1">
      <alignment vertical="center"/>
    </xf>
    <xf numFmtId="4" fontId="3" fillId="2888" borderId="2558" xfId="0" applyNumberFormat="1" applyFont="1" applyFill="1" applyBorder="1" applyAlignment="1">
      <alignment vertical="center"/>
    </xf>
    <xf numFmtId="0" fontId="3" fillId="2889" borderId="2559" xfId="0" applyFont="1" applyFill="1" applyBorder="1" applyAlignment="1">
      <alignment vertical="center"/>
    </xf>
    <xf numFmtId="0" fontId="3" fillId="2890" borderId="2560" xfId="0" applyFont="1" applyFill="1" applyBorder="1" applyAlignment="1">
      <alignment vertical="center"/>
    </xf>
    <xf numFmtId="0" fontId="3" fillId="2892" borderId="2561" xfId="0" applyFont="1" applyFill="1" applyBorder="1" applyAlignment="1">
      <alignment vertical="center"/>
    </xf>
    <xf numFmtId="0" fontId="3" fillId="2893" borderId="2562" xfId="0" applyFont="1" applyFill="1" applyBorder="1" applyAlignment="1">
      <alignment vertical="center"/>
    </xf>
    <xf numFmtId="0" fontId="3" fillId="2894" borderId="2563" xfId="0" applyFont="1" applyFill="1" applyBorder="1" applyAlignment="1">
      <alignment vertical="center"/>
    </xf>
    <xf numFmtId="4" fontId="3" fillId="2895" borderId="2564" xfId="0" applyNumberFormat="1" applyFont="1" applyFill="1" applyBorder="1" applyAlignment="1">
      <alignment vertical="center"/>
    </xf>
    <xf numFmtId="4" fontId="3" fillId="2896" borderId="2565" xfId="0" applyNumberFormat="1" applyFont="1" applyFill="1" applyBorder="1" applyAlignment="1">
      <alignment vertical="center"/>
    </xf>
    <xf numFmtId="4" fontId="3" fillId="2897" borderId="2566" xfId="0" applyNumberFormat="1" applyFont="1" applyFill="1" applyBorder="1" applyAlignment="1">
      <alignment vertical="center"/>
    </xf>
    <xf numFmtId="0" fontId="3" fillId="2898" borderId="2567" xfId="0" applyFont="1" applyFill="1" applyBorder="1" applyAlignment="1">
      <alignment vertical="center"/>
    </xf>
    <xf numFmtId="0" fontId="3" fillId="2899" borderId="2568" xfId="0" applyFont="1" applyFill="1" applyBorder="1" applyAlignment="1">
      <alignment vertical="center"/>
    </xf>
    <xf numFmtId="0" fontId="3" fillId="2901" borderId="2569" xfId="0" applyFont="1" applyFill="1" applyBorder="1" applyAlignment="1">
      <alignment vertical="center"/>
    </xf>
    <xf numFmtId="0" fontId="3" fillId="2902" borderId="2570" xfId="0" applyFont="1" applyFill="1" applyBorder="1" applyAlignment="1">
      <alignment vertical="center"/>
    </xf>
    <xf numFmtId="0" fontId="3" fillId="2903" borderId="2571" xfId="0" applyFont="1" applyFill="1" applyBorder="1" applyAlignment="1">
      <alignment vertical="center"/>
    </xf>
    <xf numFmtId="4" fontId="3" fillId="2904" borderId="2572" xfId="0" applyNumberFormat="1" applyFont="1" applyFill="1" applyBorder="1" applyAlignment="1">
      <alignment vertical="center"/>
    </xf>
    <xf numFmtId="4" fontId="3" fillId="2905" borderId="2573" xfId="0" applyNumberFormat="1" applyFont="1" applyFill="1" applyBorder="1" applyAlignment="1">
      <alignment vertical="center"/>
    </xf>
    <xf numFmtId="4" fontId="3" fillId="2906" borderId="2574" xfId="0" applyNumberFormat="1" applyFont="1" applyFill="1" applyBorder="1" applyAlignment="1">
      <alignment vertical="center"/>
    </xf>
    <xf numFmtId="0" fontId="3" fillId="2907" borderId="2575" xfId="0" applyFont="1" applyFill="1" applyBorder="1" applyAlignment="1">
      <alignment vertical="center"/>
    </xf>
    <xf numFmtId="0" fontId="3" fillId="2908" borderId="2576" xfId="0" applyFont="1" applyFill="1" applyBorder="1" applyAlignment="1">
      <alignment vertical="center"/>
    </xf>
    <xf numFmtId="0" fontId="3" fillId="2910" borderId="2577" xfId="0" applyFont="1" applyFill="1" applyBorder="1" applyAlignment="1">
      <alignment vertical="center"/>
    </xf>
    <xf numFmtId="0" fontId="3" fillId="2911" borderId="2578" xfId="0" applyFont="1" applyFill="1" applyBorder="1" applyAlignment="1">
      <alignment vertical="center"/>
    </xf>
    <xf numFmtId="0" fontId="3" fillId="2912" borderId="2579" xfId="0" applyFont="1" applyFill="1" applyBorder="1" applyAlignment="1">
      <alignment vertical="center"/>
    </xf>
    <xf numFmtId="4" fontId="3" fillId="2913" borderId="2580" xfId="0" applyNumberFormat="1" applyFont="1" applyFill="1" applyBorder="1" applyAlignment="1">
      <alignment vertical="center"/>
    </xf>
    <xf numFmtId="4" fontId="3" fillId="2914" borderId="2581" xfId="0" applyNumberFormat="1" applyFont="1" applyFill="1" applyBorder="1" applyAlignment="1">
      <alignment vertical="center"/>
    </xf>
    <xf numFmtId="4" fontId="3" fillId="2915" borderId="2582" xfId="0" applyNumberFormat="1" applyFont="1" applyFill="1" applyBorder="1" applyAlignment="1">
      <alignment vertical="center"/>
    </xf>
    <xf numFmtId="0" fontId="3" fillId="2916" borderId="2583" xfId="0" applyFont="1" applyFill="1" applyBorder="1" applyAlignment="1">
      <alignment vertical="center"/>
    </xf>
    <xf numFmtId="0" fontId="3" fillId="2917" borderId="2584" xfId="0" applyFont="1" applyFill="1" applyBorder="1" applyAlignment="1">
      <alignment vertical="center"/>
    </xf>
    <xf numFmtId="0" fontId="3" fillId="2919" borderId="2585" xfId="0" applyFont="1" applyFill="1" applyBorder="1" applyAlignment="1">
      <alignment vertical="center"/>
    </xf>
    <xf numFmtId="0" fontId="3" fillId="2920" borderId="2586" xfId="0" applyFont="1" applyFill="1" applyBorder="1" applyAlignment="1">
      <alignment vertical="center"/>
    </xf>
    <xf numFmtId="0" fontId="3" fillId="2921" borderId="2587" xfId="0" applyFont="1" applyFill="1" applyBorder="1" applyAlignment="1">
      <alignment vertical="center"/>
    </xf>
    <xf numFmtId="4" fontId="3" fillId="2922" borderId="2588" xfId="0" applyNumberFormat="1" applyFont="1" applyFill="1" applyBorder="1" applyAlignment="1">
      <alignment vertical="center"/>
    </xf>
    <xf numFmtId="4" fontId="3" fillId="2923" borderId="2589" xfId="0" applyNumberFormat="1" applyFont="1" applyFill="1" applyBorder="1" applyAlignment="1">
      <alignment vertical="center"/>
    </xf>
    <xf numFmtId="4" fontId="3" fillId="2924" borderId="2590" xfId="0" applyNumberFormat="1" applyFont="1" applyFill="1" applyBorder="1" applyAlignment="1">
      <alignment vertical="center"/>
    </xf>
    <xf numFmtId="0" fontId="3" fillId="2925" borderId="2591" xfId="0" applyFont="1" applyFill="1" applyBorder="1" applyAlignment="1">
      <alignment vertical="center"/>
    </xf>
    <xf numFmtId="0" fontId="3" fillId="2926" borderId="2592" xfId="0" applyFont="1" applyFill="1" applyBorder="1" applyAlignment="1">
      <alignment vertical="center"/>
    </xf>
    <xf numFmtId="0" fontId="3" fillId="2928" borderId="2593" xfId="0" applyFont="1" applyFill="1" applyBorder="1" applyAlignment="1">
      <alignment vertical="center"/>
    </xf>
    <xf numFmtId="0" fontId="3" fillId="2929" borderId="2594" xfId="0" applyFont="1" applyFill="1" applyBorder="1" applyAlignment="1">
      <alignment vertical="center"/>
    </xf>
    <xf numFmtId="0" fontId="3" fillId="2930" borderId="2595" xfId="0" applyFont="1" applyFill="1" applyBorder="1" applyAlignment="1">
      <alignment vertical="center"/>
    </xf>
    <xf numFmtId="4" fontId="3" fillId="2931" borderId="2596" xfId="0" applyNumberFormat="1" applyFont="1" applyFill="1" applyBorder="1" applyAlignment="1">
      <alignment vertical="center"/>
    </xf>
    <xf numFmtId="4" fontId="3" fillId="2932" borderId="2597" xfId="0" applyNumberFormat="1" applyFont="1" applyFill="1" applyBorder="1" applyAlignment="1">
      <alignment vertical="center"/>
    </xf>
    <xf numFmtId="4" fontId="3" fillId="2933" borderId="2598" xfId="0" applyNumberFormat="1" applyFont="1" applyFill="1" applyBorder="1" applyAlignment="1">
      <alignment vertical="center"/>
    </xf>
    <xf numFmtId="0" fontId="3" fillId="2934" borderId="2599" xfId="0" applyFont="1" applyFill="1" applyBorder="1" applyAlignment="1">
      <alignment vertical="center"/>
    </xf>
    <xf numFmtId="0" fontId="3" fillId="2935" borderId="2600" xfId="0" applyFont="1" applyFill="1" applyBorder="1" applyAlignment="1">
      <alignment vertical="center"/>
    </xf>
    <xf numFmtId="0" fontId="3" fillId="2937" borderId="2601" xfId="0" applyFont="1" applyFill="1" applyBorder="1" applyAlignment="1">
      <alignment vertical="center"/>
    </xf>
    <xf numFmtId="0" fontId="3" fillId="2938" borderId="2602" xfId="0" applyFont="1" applyFill="1" applyBorder="1" applyAlignment="1">
      <alignment vertical="center"/>
    </xf>
    <xf numFmtId="0" fontId="3" fillId="2939" borderId="2603" xfId="0" applyFont="1" applyFill="1" applyBorder="1" applyAlignment="1">
      <alignment vertical="center"/>
    </xf>
    <xf numFmtId="4" fontId="3" fillId="2940" borderId="2604" xfId="0" applyNumberFormat="1" applyFont="1" applyFill="1" applyBorder="1" applyAlignment="1">
      <alignment vertical="center"/>
    </xf>
    <xf numFmtId="4" fontId="3" fillId="2941" borderId="2605" xfId="0" applyNumberFormat="1" applyFont="1" applyFill="1" applyBorder="1" applyAlignment="1">
      <alignment vertical="center"/>
    </xf>
    <xf numFmtId="4" fontId="3" fillId="2942" borderId="2606" xfId="0" applyNumberFormat="1" applyFont="1" applyFill="1" applyBorder="1" applyAlignment="1">
      <alignment vertical="center"/>
    </xf>
    <xf numFmtId="0" fontId="3" fillId="2943" borderId="2607" xfId="0" applyFont="1" applyFill="1" applyBorder="1" applyAlignment="1">
      <alignment vertical="center"/>
    </xf>
    <xf numFmtId="0" fontId="3" fillId="2944" borderId="2608" xfId="0" applyFont="1" applyFill="1" applyBorder="1" applyAlignment="1">
      <alignment vertical="center"/>
    </xf>
    <xf numFmtId="0" fontId="3" fillId="2946" borderId="2609" xfId="0" applyFont="1" applyFill="1" applyBorder="1" applyAlignment="1">
      <alignment vertical="center"/>
    </xf>
    <xf numFmtId="0" fontId="3" fillId="2947" borderId="2610" xfId="0" applyFont="1" applyFill="1" applyBorder="1" applyAlignment="1">
      <alignment vertical="center"/>
    </xf>
    <xf numFmtId="0" fontId="3" fillId="2948" borderId="2611" xfId="0" applyFont="1" applyFill="1" applyBorder="1" applyAlignment="1">
      <alignment vertical="center"/>
    </xf>
    <xf numFmtId="4" fontId="3" fillId="2949" borderId="2612" xfId="0" applyNumberFormat="1" applyFont="1" applyFill="1" applyBorder="1" applyAlignment="1">
      <alignment vertical="center"/>
    </xf>
    <xf numFmtId="4" fontId="3" fillId="2950" borderId="2613" xfId="0" applyNumberFormat="1" applyFont="1" applyFill="1" applyBorder="1" applyAlignment="1">
      <alignment vertical="center"/>
    </xf>
    <xf numFmtId="4" fontId="3" fillId="2951" borderId="2614" xfId="0" applyNumberFormat="1" applyFont="1" applyFill="1" applyBorder="1" applyAlignment="1">
      <alignment vertical="center"/>
    </xf>
    <xf numFmtId="0" fontId="3" fillId="2952" borderId="2615" xfId="0" applyFont="1" applyFill="1" applyBorder="1" applyAlignment="1">
      <alignment vertical="center"/>
    </xf>
    <xf numFmtId="0" fontId="3" fillId="2953" borderId="2616" xfId="0" applyFont="1" applyFill="1" applyBorder="1" applyAlignment="1">
      <alignment vertical="center"/>
    </xf>
    <xf numFmtId="0" fontId="3" fillId="2955" borderId="2617" xfId="0" applyFont="1" applyFill="1" applyBorder="1" applyAlignment="1">
      <alignment vertical="center"/>
    </xf>
    <xf numFmtId="0" fontId="3" fillId="2956" borderId="2618" xfId="0" applyFont="1" applyFill="1" applyBorder="1" applyAlignment="1">
      <alignment vertical="center"/>
    </xf>
    <xf numFmtId="0" fontId="3" fillId="2957" borderId="2619" xfId="0" applyFont="1" applyFill="1" applyBorder="1" applyAlignment="1">
      <alignment vertical="center"/>
    </xf>
    <xf numFmtId="4" fontId="3" fillId="2958" borderId="2620" xfId="0" applyNumberFormat="1" applyFont="1" applyFill="1" applyBorder="1" applyAlignment="1">
      <alignment vertical="center"/>
    </xf>
    <xf numFmtId="4" fontId="3" fillId="2959" borderId="2621" xfId="0" applyNumberFormat="1" applyFont="1" applyFill="1" applyBorder="1" applyAlignment="1">
      <alignment vertical="center"/>
    </xf>
    <xf numFmtId="4" fontId="3" fillId="2960" borderId="2622" xfId="0" applyNumberFormat="1" applyFont="1" applyFill="1" applyBorder="1" applyAlignment="1">
      <alignment vertical="center"/>
    </xf>
    <xf numFmtId="0" fontId="3" fillId="2961" borderId="2623" xfId="0" applyFont="1" applyFill="1" applyBorder="1" applyAlignment="1">
      <alignment vertical="center"/>
    </xf>
    <xf numFmtId="0" fontId="3" fillId="2962" borderId="2624" xfId="0" applyFont="1" applyFill="1" applyBorder="1" applyAlignment="1">
      <alignment vertical="center"/>
    </xf>
    <xf numFmtId="0" fontId="3" fillId="2964" borderId="2625" xfId="0" applyFont="1" applyFill="1" applyBorder="1" applyAlignment="1">
      <alignment vertical="center"/>
    </xf>
    <xf numFmtId="0" fontId="3" fillId="2965" borderId="2626" xfId="0" applyFont="1" applyFill="1" applyBorder="1" applyAlignment="1">
      <alignment vertical="center"/>
    </xf>
    <xf numFmtId="0" fontId="3" fillId="2966" borderId="2627" xfId="0" applyFont="1" applyFill="1" applyBorder="1" applyAlignment="1">
      <alignment vertical="center"/>
    </xf>
    <xf numFmtId="4" fontId="3" fillId="2967" borderId="2628" xfId="0" applyNumberFormat="1" applyFont="1" applyFill="1" applyBorder="1" applyAlignment="1">
      <alignment vertical="center"/>
    </xf>
    <xf numFmtId="4" fontId="3" fillId="2968" borderId="2629" xfId="0" applyNumberFormat="1" applyFont="1" applyFill="1" applyBorder="1" applyAlignment="1">
      <alignment vertical="center"/>
    </xf>
    <xf numFmtId="4" fontId="3" fillId="2969" borderId="2630" xfId="0" applyNumberFormat="1" applyFont="1" applyFill="1" applyBorder="1" applyAlignment="1">
      <alignment vertical="center"/>
    </xf>
    <xf numFmtId="0" fontId="3" fillId="2970" borderId="2631" xfId="0" applyFont="1" applyFill="1" applyBorder="1" applyAlignment="1">
      <alignment vertical="center"/>
    </xf>
    <xf numFmtId="0" fontId="3" fillId="2971" borderId="2632" xfId="0" applyFont="1" applyFill="1" applyBorder="1" applyAlignment="1">
      <alignment vertical="center"/>
    </xf>
    <xf numFmtId="0" fontId="3" fillId="2973" borderId="2633" xfId="0" applyFont="1" applyFill="1" applyBorder="1" applyAlignment="1">
      <alignment vertical="center"/>
    </xf>
    <xf numFmtId="0" fontId="3" fillId="2974" borderId="2634" xfId="0" applyFont="1" applyFill="1" applyBorder="1" applyAlignment="1">
      <alignment vertical="center"/>
    </xf>
    <xf numFmtId="0" fontId="3" fillId="2975" borderId="2635" xfId="0" applyFont="1" applyFill="1" applyBorder="1" applyAlignment="1">
      <alignment vertical="center"/>
    </xf>
    <xf numFmtId="4" fontId="3" fillId="2976" borderId="2636" xfId="0" applyNumberFormat="1" applyFont="1" applyFill="1" applyBorder="1" applyAlignment="1">
      <alignment vertical="center"/>
    </xf>
    <xf numFmtId="4" fontId="3" fillId="2977" borderId="2637" xfId="0" applyNumberFormat="1" applyFont="1" applyFill="1" applyBorder="1" applyAlignment="1">
      <alignment vertical="center"/>
    </xf>
    <xf numFmtId="4" fontId="3" fillId="2978" borderId="2638" xfId="0" applyNumberFormat="1" applyFont="1" applyFill="1" applyBorder="1" applyAlignment="1">
      <alignment vertical="center"/>
    </xf>
    <xf numFmtId="0" fontId="3" fillId="2979" borderId="2639" xfId="0" applyFont="1" applyFill="1" applyBorder="1" applyAlignment="1">
      <alignment vertical="center"/>
    </xf>
    <xf numFmtId="0" fontId="3" fillId="2980" borderId="2640" xfId="0" applyFont="1" applyFill="1" applyBorder="1" applyAlignment="1">
      <alignment vertical="center"/>
    </xf>
    <xf numFmtId="0" fontId="3" fillId="2982" borderId="2641" xfId="0" applyFont="1" applyFill="1" applyBorder="1" applyAlignment="1">
      <alignment vertical="center"/>
    </xf>
    <xf numFmtId="0" fontId="3" fillId="2983" borderId="2642" xfId="0" applyFont="1" applyFill="1" applyBorder="1" applyAlignment="1">
      <alignment vertical="center"/>
    </xf>
    <xf numFmtId="0" fontId="3" fillId="2984" borderId="2643" xfId="0" applyFont="1" applyFill="1" applyBorder="1" applyAlignment="1">
      <alignment vertical="center"/>
    </xf>
    <xf numFmtId="4" fontId="3" fillId="2985" borderId="2644" xfId="0" applyNumberFormat="1" applyFont="1" applyFill="1" applyBorder="1" applyAlignment="1">
      <alignment vertical="center"/>
    </xf>
    <xf numFmtId="4" fontId="3" fillId="2986" borderId="2645" xfId="0" applyNumberFormat="1" applyFont="1" applyFill="1" applyBorder="1" applyAlignment="1">
      <alignment vertical="center"/>
    </xf>
    <xf numFmtId="4" fontId="3" fillId="2987" borderId="2646" xfId="0" applyNumberFormat="1" applyFont="1" applyFill="1" applyBorder="1" applyAlignment="1">
      <alignment vertical="center"/>
    </xf>
    <xf numFmtId="0" fontId="3" fillId="2988" borderId="2647" xfId="0" applyFont="1" applyFill="1" applyBorder="1" applyAlignment="1">
      <alignment vertical="center"/>
    </xf>
    <xf numFmtId="0" fontId="3" fillId="2989" borderId="2648" xfId="0" applyFont="1" applyFill="1" applyBorder="1" applyAlignment="1">
      <alignment vertical="center"/>
    </xf>
    <xf numFmtId="0" fontId="3" fillId="2991" borderId="2649" xfId="0" applyFont="1" applyFill="1" applyBorder="1" applyAlignment="1">
      <alignment vertical="center"/>
    </xf>
    <xf numFmtId="0" fontId="3" fillId="2992" borderId="2650" xfId="0" applyFont="1" applyFill="1" applyBorder="1" applyAlignment="1">
      <alignment vertical="center"/>
    </xf>
    <xf numFmtId="0" fontId="3" fillId="2993" borderId="2651" xfId="0" applyFont="1" applyFill="1" applyBorder="1" applyAlignment="1">
      <alignment vertical="center"/>
    </xf>
    <xf numFmtId="4" fontId="3" fillId="2994" borderId="2652" xfId="0" applyNumberFormat="1" applyFont="1" applyFill="1" applyBorder="1" applyAlignment="1">
      <alignment vertical="center"/>
    </xf>
    <xf numFmtId="4" fontId="3" fillId="2995" borderId="2653" xfId="0" applyNumberFormat="1" applyFont="1" applyFill="1" applyBorder="1" applyAlignment="1">
      <alignment vertical="center"/>
    </xf>
    <xf numFmtId="4" fontId="3" fillId="2996" borderId="2654" xfId="0" applyNumberFormat="1" applyFont="1" applyFill="1" applyBorder="1" applyAlignment="1">
      <alignment vertical="center"/>
    </xf>
    <xf numFmtId="0" fontId="3" fillId="2997" borderId="2655" xfId="0" applyFont="1" applyFill="1" applyBorder="1" applyAlignment="1">
      <alignment vertical="center"/>
    </xf>
    <xf numFmtId="0" fontId="3" fillId="2998" borderId="2656" xfId="0" applyFont="1" applyFill="1" applyBorder="1" applyAlignment="1">
      <alignment vertical="center"/>
    </xf>
    <xf numFmtId="0" fontId="3" fillId="3000" borderId="2657" xfId="0" applyFont="1" applyFill="1" applyBorder="1" applyAlignment="1">
      <alignment vertical="center"/>
    </xf>
    <xf numFmtId="0" fontId="3" fillId="3001" borderId="2658" xfId="0" applyFont="1" applyFill="1" applyBorder="1" applyAlignment="1">
      <alignment vertical="center"/>
    </xf>
    <xf numFmtId="0" fontId="3" fillId="3002" borderId="2659" xfId="0" applyFont="1" applyFill="1" applyBorder="1" applyAlignment="1">
      <alignment vertical="center"/>
    </xf>
    <xf numFmtId="4" fontId="3" fillId="3003" borderId="2660" xfId="0" applyNumberFormat="1" applyFont="1" applyFill="1" applyBorder="1" applyAlignment="1">
      <alignment vertical="center"/>
    </xf>
    <xf numFmtId="4" fontId="3" fillId="3004" borderId="2661" xfId="0" applyNumberFormat="1" applyFont="1" applyFill="1" applyBorder="1" applyAlignment="1">
      <alignment vertical="center"/>
    </xf>
    <xf numFmtId="4" fontId="3" fillId="3005" borderId="2662" xfId="0" applyNumberFormat="1" applyFont="1" applyFill="1" applyBorder="1" applyAlignment="1">
      <alignment vertical="center"/>
    </xf>
    <xf numFmtId="0" fontId="3" fillId="3006" borderId="2663" xfId="0" applyFont="1" applyFill="1" applyBorder="1" applyAlignment="1">
      <alignment vertical="center"/>
    </xf>
    <xf numFmtId="0" fontId="3" fillId="3007" borderId="2664" xfId="0" applyFont="1" applyFill="1" applyBorder="1" applyAlignment="1">
      <alignment vertical="center"/>
    </xf>
    <xf numFmtId="0" fontId="3" fillId="3009" borderId="2665" xfId="0" applyFont="1" applyFill="1" applyBorder="1" applyAlignment="1">
      <alignment vertical="center"/>
    </xf>
    <xf numFmtId="0" fontId="3" fillId="3010" borderId="2666" xfId="0" applyFont="1" applyFill="1" applyBorder="1" applyAlignment="1">
      <alignment vertical="center"/>
    </xf>
    <xf numFmtId="0" fontId="3" fillId="3011" borderId="2667" xfId="0" applyFont="1" applyFill="1" applyBorder="1" applyAlignment="1">
      <alignment vertical="center"/>
    </xf>
    <xf numFmtId="4" fontId="3" fillId="3012" borderId="2668" xfId="0" applyNumberFormat="1" applyFont="1" applyFill="1" applyBorder="1" applyAlignment="1">
      <alignment vertical="center"/>
    </xf>
    <xf numFmtId="4" fontId="3" fillId="3013" borderId="2669" xfId="0" applyNumberFormat="1" applyFont="1" applyFill="1" applyBorder="1" applyAlignment="1">
      <alignment vertical="center"/>
    </xf>
    <xf numFmtId="4" fontId="3" fillId="3014" borderId="2670" xfId="0" applyNumberFormat="1" applyFont="1" applyFill="1" applyBorder="1" applyAlignment="1">
      <alignment vertical="center"/>
    </xf>
    <xf numFmtId="0" fontId="3" fillId="3015" borderId="2671" xfId="0" applyFont="1" applyFill="1" applyBorder="1" applyAlignment="1">
      <alignment vertical="center"/>
    </xf>
    <xf numFmtId="0" fontId="3" fillId="3016" borderId="2672" xfId="0" applyFont="1" applyFill="1" applyBorder="1" applyAlignment="1">
      <alignment vertical="center"/>
    </xf>
    <xf numFmtId="0" fontId="3" fillId="3018" borderId="2673" xfId="0" applyFont="1" applyFill="1" applyBorder="1" applyAlignment="1">
      <alignment vertical="center"/>
    </xf>
    <xf numFmtId="0" fontId="3" fillId="3019" borderId="2674" xfId="0" applyFont="1" applyFill="1" applyBorder="1" applyAlignment="1">
      <alignment vertical="center"/>
    </xf>
    <xf numFmtId="0" fontId="3" fillId="3020" borderId="2675" xfId="0" applyFont="1" applyFill="1" applyBorder="1" applyAlignment="1">
      <alignment vertical="center"/>
    </xf>
    <xf numFmtId="4" fontId="3" fillId="3021" borderId="2676" xfId="0" applyNumberFormat="1" applyFont="1" applyFill="1" applyBorder="1" applyAlignment="1">
      <alignment vertical="center"/>
    </xf>
    <xf numFmtId="4" fontId="3" fillId="3022" borderId="2677" xfId="0" applyNumberFormat="1" applyFont="1" applyFill="1" applyBorder="1" applyAlignment="1">
      <alignment vertical="center"/>
    </xf>
    <xf numFmtId="4" fontId="3" fillId="3023" borderId="2678" xfId="0" applyNumberFormat="1" applyFont="1" applyFill="1" applyBorder="1" applyAlignment="1">
      <alignment vertical="center"/>
    </xf>
    <xf numFmtId="0" fontId="3" fillId="3024" borderId="2679" xfId="0" applyFont="1" applyFill="1" applyBorder="1" applyAlignment="1">
      <alignment vertical="center"/>
    </xf>
    <xf numFmtId="0" fontId="3" fillId="3025" borderId="2680" xfId="0" applyFont="1" applyFill="1" applyBorder="1" applyAlignment="1">
      <alignment vertical="center"/>
    </xf>
    <xf numFmtId="0" fontId="3" fillId="3027" borderId="2681" xfId="0" applyFont="1" applyFill="1" applyBorder="1" applyAlignment="1">
      <alignment vertical="center"/>
    </xf>
    <xf numFmtId="0" fontId="3" fillId="3028" borderId="2682" xfId="0" applyFont="1" applyFill="1" applyBorder="1" applyAlignment="1">
      <alignment vertical="center"/>
    </xf>
    <xf numFmtId="0" fontId="3" fillId="3029" borderId="2683" xfId="0" applyFont="1" applyFill="1" applyBorder="1" applyAlignment="1">
      <alignment vertical="center"/>
    </xf>
    <xf numFmtId="4" fontId="3" fillId="3030" borderId="2684" xfId="0" applyNumberFormat="1" applyFont="1" applyFill="1" applyBorder="1" applyAlignment="1">
      <alignment vertical="center"/>
    </xf>
    <xf numFmtId="4" fontId="3" fillId="3031" borderId="2685" xfId="0" applyNumberFormat="1" applyFont="1" applyFill="1" applyBorder="1" applyAlignment="1">
      <alignment vertical="center"/>
    </xf>
    <xf numFmtId="4" fontId="3" fillId="3032" borderId="2686" xfId="0" applyNumberFormat="1" applyFont="1" applyFill="1" applyBorder="1" applyAlignment="1">
      <alignment vertical="center"/>
    </xf>
    <xf numFmtId="0" fontId="3" fillId="3033" borderId="2687" xfId="0" applyFont="1" applyFill="1" applyBorder="1" applyAlignment="1">
      <alignment vertical="center"/>
    </xf>
    <xf numFmtId="0" fontId="3" fillId="3034" borderId="2688" xfId="0" applyFont="1" applyFill="1" applyBorder="1" applyAlignment="1">
      <alignment vertical="center"/>
    </xf>
    <xf numFmtId="0" fontId="3" fillId="3036" borderId="2689" xfId="0" applyFont="1" applyFill="1" applyBorder="1" applyAlignment="1">
      <alignment vertical="center"/>
    </xf>
    <xf numFmtId="0" fontId="3" fillId="3037" borderId="2690" xfId="0" applyFont="1" applyFill="1" applyBorder="1" applyAlignment="1">
      <alignment vertical="center"/>
    </xf>
    <xf numFmtId="0" fontId="3" fillId="3038" borderId="2691" xfId="0" applyFont="1" applyFill="1" applyBorder="1" applyAlignment="1">
      <alignment vertical="center"/>
    </xf>
    <xf numFmtId="4" fontId="3" fillId="3039" borderId="2692" xfId="0" applyNumberFormat="1" applyFont="1" applyFill="1" applyBorder="1" applyAlignment="1">
      <alignment vertical="center"/>
    </xf>
    <xf numFmtId="4" fontId="3" fillId="3040" borderId="2693" xfId="0" applyNumberFormat="1" applyFont="1" applyFill="1" applyBorder="1" applyAlignment="1">
      <alignment vertical="center"/>
    </xf>
    <xf numFmtId="4" fontId="3" fillId="3041" borderId="2694" xfId="0" applyNumberFormat="1" applyFont="1" applyFill="1" applyBorder="1" applyAlignment="1">
      <alignment vertical="center"/>
    </xf>
    <xf numFmtId="0" fontId="3" fillId="3042" borderId="2695" xfId="0" applyFont="1" applyFill="1" applyBorder="1" applyAlignment="1">
      <alignment vertical="center"/>
    </xf>
    <xf numFmtId="0" fontId="3" fillId="3043" borderId="2696" xfId="0" applyFont="1" applyFill="1" applyBorder="1" applyAlignment="1">
      <alignment vertical="center"/>
    </xf>
    <xf numFmtId="0" fontId="3" fillId="3045" borderId="2697" xfId="0" applyFont="1" applyFill="1" applyBorder="1" applyAlignment="1">
      <alignment vertical="center"/>
    </xf>
    <xf numFmtId="0" fontId="3" fillId="3046" borderId="2698" xfId="0" applyFont="1" applyFill="1" applyBorder="1" applyAlignment="1">
      <alignment vertical="center"/>
    </xf>
    <xf numFmtId="0" fontId="3" fillId="3047" borderId="2699" xfId="0" applyFont="1" applyFill="1" applyBorder="1" applyAlignment="1">
      <alignment vertical="center"/>
    </xf>
    <xf numFmtId="4" fontId="3" fillId="3048" borderId="2700" xfId="0" applyNumberFormat="1" applyFont="1" applyFill="1" applyBorder="1" applyAlignment="1">
      <alignment vertical="center"/>
    </xf>
    <xf numFmtId="4" fontId="3" fillId="3049" borderId="2701" xfId="0" applyNumberFormat="1" applyFont="1" applyFill="1" applyBorder="1" applyAlignment="1">
      <alignment vertical="center"/>
    </xf>
    <xf numFmtId="4" fontId="3" fillId="3050" borderId="2702" xfId="0" applyNumberFormat="1" applyFont="1" applyFill="1" applyBorder="1" applyAlignment="1">
      <alignment vertical="center"/>
    </xf>
    <xf numFmtId="0" fontId="3" fillId="3051" borderId="2703" xfId="0" applyFont="1" applyFill="1" applyBorder="1" applyAlignment="1">
      <alignment vertical="center"/>
    </xf>
    <xf numFmtId="0" fontId="3" fillId="3052" borderId="2704" xfId="0" applyFont="1" applyFill="1" applyBorder="1" applyAlignment="1">
      <alignment vertical="center"/>
    </xf>
    <xf numFmtId="0" fontId="3" fillId="3054" borderId="2705" xfId="0" applyFont="1" applyFill="1" applyBorder="1" applyAlignment="1">
      <alignment vertical="center"/>
    </xf>
    <xf numFmtId="0" fontId="3" fillId="3055" borderId="2706" xfId="0" applyFont="1" applyFill="1" applyBorder="1" applyAlignment="1">
      <alignment vertical="center"/>
    </xf>
    <xf numFmtId="0" fontId="3" fillId="3056" borderId="2707" xfId="0" applyFont="1" applyFill="1" applyBorder="1" applyAlignment="1">
      <alignment vertical="center"/>
    </xf>
    <xf numFmtId="4" fontId="3" fillId="3057" borderId="2708" xfId="0" applyNumberFormat="1" applyFont="1" applyFill="1" applyBorder="1" applyAlignment="1">
      <alignment vertical="center"/>
    </xf>
    <xf numFmtId="4" fontId="3" fillId="3058" borderId="2709" xfId="0" applyNumberFormat="1" applyFont="1" applyFill="1" applyBorder="1" applyAlignment="1">
      <alignment vertical="center"/>
    </xf>
    <xf numFmtId="4" fontId="3" fillId="3059" borderId="2710" xfId="0" applyNumberFormat="1" applyFont="1" applyFill="1" applyBorder="1" applyAlignment="1">
      <alignment vertical="center"/>
    </xf>
    <xf numFmtId="0" fontId="3" fillId="3060" borderId="2711" xfId="0" applyFont="1" applyFill="1" applyBorder="1" applyAlignment="1">
      <alignment vertical="center"/>
    </xf>
    <xf numFmtId="0" fontId="3" fillId="3061" borderId="2712" xfId="0" applyFont="1" applyFill="1" applyBorder="1" applyAlignment="1">
      <alignment vertical="center"/>
    </xf>
    <xf numFmtId="0" fontId="3" fillId="3063" borderId="2713" xfId="0" applyFont="1" applyFill="1" applyBorder="1" applyAlignment="1">
      <alignment vertical="center"/>
    </xf>
    <xf numFmtId="0" fontId="3" fillId="3064" borderId="2714" xfId="0" applyFont="1" applyFill="1" applyBorder="1" applyAlignment="1">
      <alignment vertical="center"/>
    </xf>
    <xf numFmtId="0" fontId="3" fillId="3065" borderId="2715" xfId="0" applyFont="1" applyFill="1" applyBorder="1" applyAlignment="1">
      <alignment vertical="center"/>
    </xf>
    <xf numFmtId="4" fontId="3" fillId="3066" borderId="2716" xfId="0" applyNumberFormat="1" applyFont="1" applyFill="1" applyBorder="1" applyAlignment="1">
      <alignment vertical="center"/>
    </xf>
    <xf numFmtId="4" fontId="3" fillId="3067" borderId="2717" xfId="0" applyNumberFormat="1" applyFont="1" applyFill="1" applyBorder="1" applyAlignment="1">
      <alignment vertical="center"/>
    </xf>
    <xf numFmtId="4" fontId="3" fillId="3068" borderId="2718" xfId="0" applyNumberFormat="1" applyFont="1" applyFill="1" applyBorder="1" applyAlignment="1">
      <alignment vertical="center"/>
    </xf>
    <xf numFmtId="0" fontId="3" fillId="3069" borderId="2719" xfId="0" applyFont="1" applyFill="1" applyBorder="1" applyAlignment="1">
      <alignment vertical="center"/>
    </xf>
    <xf numFmtId="0" fontId="3" fillId="3070" borderId="2720" xfId="0" applyFont="1" applyFill="1" applyBorder="1" applyAlignment="1">
      <alignment vertical="center"/>
    </xf>
    <xf numFmtId="0" fontId="3" fillId="3072" borderId="2721" xfId="0" applyFont="1" applyFill="1" applyBorder="1" applyAlignment="1">
      <alignment vertical="center"/>
    </xf>
    <xf numFmtId="0" fontId="3" fillId="3073" borderId="2722" xfId="0" applyFont="1" applyFill="1" applyBorder="1" applyAlignment="1">
      <alignment vertical="center"/>
    </xf>
    <xf numFmtId="0" fontId="3" fillId="3074" borderId="2723" xfId="0" applyFont="1" applyFill="1" applyBorder="1" applyAlignment="1">
      <alignment vertical="center"/>
    </xf>
    <xf numFmtId="4" fontId="3" fillId="3075" borderId="2724" xfId="0" applyNumberFormat="1" applyFont="1" applyFill="1" applyBorder="1" applyAlignment="1">
      <alignment vertical="center"/>
    </xf>
    <xf numFmtId="4" fontId="3" fillId="3076" borderId="2725" xfId="0" applyNumberFormat="1" applyFont="1" applyFill="1" applyBorder="1" applyAlignment="1">
      <alignment vertical="center"/>
    </xf>
    <xf numFmtId="4" fontId="3" fillId="3077" borderId="2726" xfId="0" applyNumberFormat="1" applyFont="1" applyFill="1" applyBorder="1" applyAlignment="1">
      <alignment vertical="center"/>
    </xf>
    <xf numFmtId="0" fontId="3" fillId="3078" borderId="2727" xfId="0" applyFont="1" applyFill="1" applyBorder="1" applyAlignment="1">
      <alignment vertical="center"/>
    </xf>
    <xf numFmtId="0" fontId="3" fillId="3079" borderId="2728" xfId="0" applyFont="1" applyFill="1" applyBorder="1" applyAlignment="1">
      <alignment vertical="center"/>
    </xf>
    <xf numFmtId="0" fontId="3" fillId="3081" borderId="2729" xfId="0" applyFont="1" applyFill="1" applyBorder="1" applyAlignment="1">
      <alignment vertical="center"/>
    </xf>
    <xf numFmtId="0" fontId="3" fillId="3082" borderId="2730" xfId="0" applyFont="1" applyFill="1" applyBorder="1" applyAlignment="1">
      <alignment vertical="center"/>
    </xf>
    <xf numFmtId="0" fontId="3" fillId="3083" borderId="2731" xfId="0" applyFont="1" applyFill="1" applyBorder="1" applyAlignment="1">
      <alignment vertical="center"/>
    </xf>
    <xf numFmtId="4" fontId="3" fillId="3084" borderId="2732" xfId="0" applyNumberFormat="1" applyFont="1" applyFill="1" applyBorder="1" applyAlignment="1">
      <alignment vertical="center"/>
    </xf>
    <xf numFmtId="4" fontId="3" fillId="3085" borderId="2733" xfId="0" applyNumberFormat="1" applyFont="1" applyFill="1" applyBorder="1" applyAlignment="1">
      <alignment vertical="center"/>
    </xf>
    <xf numFmtId="4" fontId="3" fillId="3086" borderId="2734" xfId="0" applyNumberFormat="1" applyFont="1" applyFill="1" applyBorder="1" applyAlignment="1">
      <alignment vertical="center"/>
    </xf>
    <xf numFmtId="0" fontId="3" fillId="3087" borderId="2735" xfId="0" applyFont="1" applyFill="1" applyBorder="1" applyAlignment="1">
      <alignment vertical="center"/>
    </xf>
    <xf numFmtId="0" fontId="3" fillId="3088" borderId="2736" xfId="0" applyFont="1" applyFill="1" applyBorder="1" applyAlignment="1">
      <alignment vertical="center"/>
    </xf>
    <xf numFmtId="0" fontId="3" fillId="3090" borderId="2737" xfId="0" applyFont="1" applyFill="1" applyBorder="1" applyAlignment="1">
      <alignment vertical="center"/>
    </xf>
    <xf numFmtId="0" fontId="3" fillId="3091" borderId="2738" xfId="0" applyFont="1" applyFill="1" applyBorder="1" applyAlignment="1">
      <alignment vertical="center"/>
    </xf>
    <xf numFmtId="0" fontId="3" fillId="3092" borderId="2739" xfId="0" applyFont="1" applyFill="1" applyBorder="1" applyAlignment="1">
      <alignment vertical="center"/>
    </xf>
    <xf numFmtId="4" fontId="3" fillId="3093" borderId="2740" xfId="0" applyNumberFormat="1" applyFont="1" applyFill="1" applyBorder="1" applyAlignment="1">
      <alignment vertical="center"/>
    </xf>
    <xf numFmtId="4" fontId="3" fillId="3094" borderId="2741" xfId="0" applyNumberFormat="1" applyFont="1" applyFill="1" applyBorder="1" applyAlignment="1">
      <alignment vertical="center"/>
    </xf>
    <xf numFmtId="4" fontId="3" fillId="3095" borderId="2742" xfId="0" applyNumberFormat="1" applyFont="1" applyFill="1" applyBorder="1" applyAlignment="1">
      <alignment vertical="center"/>
    </xf>
    <xf numFmtId="0" fontId="3" fillId="3096" borderId="2743" xfId="0" applyFont="1" applyFill="1" applyBorder="1" applyAlignment="1">
      <alignment vertical="center"/>
    </xf>
    <xf numFmtId="0" fontId="3" fillId="3097" borderId="2744" xfId="0" applyFont="1" applyFill="1" applyBorder="1" applyAlignment="1">
      <alignment vertical="center"/>
    </xf>
    <xf numFmtId="0" fontId="3" fillId="3099" borderId="2745" xfId="0" applyFont="1" applyFill="1" applyBorder="1" applyAlignment="1">
      <alignment vertical="center"/>
    </xf>
    <xf numFmtId="0" fontId="3" fillId="3100" borderId="2746" xfId="0" applyFont="1" applyFill="1" applyBorder="1" applyAlignment="1">
      <alignment vertical="center"/>
    </xf>
    <xf numFmtId="0" fontId="3" fillId="3101" borderId="2747" xfId="0" applyFont="1" applyFill="1" applyBorder="1" applyAlignment="1">
      <alignment vertical="center"/>
    </xf>
    <xf numFmtId="4" fontId="3" fillId="3102" borderId="2748" xfId="0" applyNumberFormat="1" applyFont="1" applyFill="1" applyBorder="1" applyAlignment="1">
      <alignment vertical="center"/>
    </xf>
    <xf numFmtId="4" fontId="3" fillId="3103" borderId="2749" xfId="0" applyNumberFormat="1" applyFont="1" applyFill="1" applyBorder="1" applyAlignment="1">
      <alignment vertical="center"/>
    </xf>
    <xf numFmtId="4" fontId="3" fillId="3104" borderId="2750" xfId="0" applyNumberFormat="1" applyFont="1" applyFill="1" applyBorder="1" applyAlignment="1">
      <alignment vertical="center"/>
    </xf>
    <xf numFmtId="0" fontId="3" fillId="3105" borderId="2751" xfId="0" applyFont="1" applyFill="1" applyBorder="1" applyAlignment="1">
      <alignment vertical="center"/>
    </xf>
    <xf numFmtId="0" fontId="3" fillId="3106" borderId="2752" xfId="0" applyFont="1" applyFill="1" applyBorder="1" applyAlignment="1">
      <alignment vertical="center"/>
    </xf>
    <xf numFmtId="0" fontId="3" fillId="3108" borderId="2753" xfId="0" applyFont="1" applyFill="1" applyBorder="1" applyAlignment="1">
      <alignment vertical="center"/>
    </xf>
    <xf numFmtId="0" fontId="3" fillId="3109" borderId="2754" xfId="0" applyFont="1" applyFill="1" applyBorder="1" applyAlignment="1">
      <alignment vertical="center"/>
    </xf>
    <xf numFmtId="0" fontId="3" fillId="3110" borderId="2755" xfId="0" applyFont="1" applyFill="1" applyBorder="1" applyAlignment="1">
      <alignment vertical="center"/>
    </xf>
    <xf numFmtId="4" fontId="3" fillId="3111" borderId="2756" xfId="0" applyNumberFormat="1" applyFont="1" applyFill="1" applyBorder="1" applyAlignment="1">
      <alignment vertical="center"/>
    </xf>
    <xf numFmtId="4" fontId="3" fillId="3112" borderId="2757" xfId="0" applyNumberFormat="1" applyFont="1" applyFill="1" applyBorder="1" applyAlignment="1">
      <alignment vertical="center"/>
    </xf>
    <xf numFmtId="4" fontId="3" fillId="3113" borderId="2758" xfId="0" applyNumberFormat="1" applyFont="1" applyFill="1" applyBorder="1" applyAlignment="1">
      <alignment vertical="center"/>
    </xf>
    <xf numFmtId="0" fontId="3" fillId="3114" borderId="2759" xfId="0" applyFont="1" applyFill="1" applyBorder="1" applyAlignment="1">
      <alignment vertical="center"/>
    </xf>
    <xf numFmtId="0" fontId="3" fillId="3115" borderId="2760" xfId="0" applyFont="1" applyFill="1" applyBorder="1" applyAlignment="1">
      <alignment vertical="center"/>
    </xf>
    <xf numFmtId="0" fontId="3" fillId="3117" borderId="2761" xfId="0" applyFont="1" applyFill="1" applyBorder="1" applyAlignment="1">
      <alignment vertical="center"/>
    </xf>
    <xf numFmtId="0" fontId="3" fillId="3118" borderId="2762" xfId="0" applyFont="1" applyFill="1" applyBorder="1" applyAlignment="1">
      <alignment vertical="center"/>
    </xf>
    <xf numFmtId="0" fontId="3" fillId="3119" borderId="2763" xfId="0" applyFont="1" applyFill="1" applyBorder="1" applyAlignment="1">
      <alignment vertical="center"/>
    </xf>
    <xf numFmtId="4" fontId="3" fillId="3120" borderId="2764" xfId="0" applyNumberFormat="1" applyFont="1" applyFill="1" applyBorder="1" applyAlignment="1">
      <alignment vertical="center"/>
    </xf>
    <xf numFmtId="4" fontId="3" fillId="3121" borderId="2765" xfId="0" applyNumberFormat="1" applyFont="1" applyFill="1" applyBorder="1" applyAlignment="1">
      <alignment vertical="center"/>
    </xf>
    <xf numFmtId="4" fontId="3" fillId="3122" borderId="2766" xfId="0" applyNumberFormat="1" applyFont="1" applyFill="1" applyBorder="1" applyAlignment="1">
      <alignment vertical="center"/>
    </xf>
    <xf numFmtId="0" fontId="3" fillId="3123" borderId="2767" xfId="0" applyFont="1" applyFill="1" applyBorder="1" applyAlignment="1">
      <alignment vertical="center"/>
    </xf>
    <xf numFmtId="0" fontId="3" fillId="3124" borderId="2768" xfId="0" applyFont="1" applyFill="1" applyBorder="1" applyAlignment="1">
      <alignment vertical="center"/>
    </xf>
    <xf numFmtId="0" fontId="3" fillId="3126" borderId="2769" xfId="0" applyFont="1" applyFill="1" applyBorder="1" applyAlignment="1">
      <alignment vertical="center"/>
    </xf>
    <xf numFmtId="0" fontId="3" fillId="3127" borderId="2770" xfId="0" applyFont="1" applyFill="1" applyBorder="1" applyAlignment="1">
      <alignment vertical="center"/>
    </xf>
    <xf numFmtId="0" fontId="3" fillId="3128" borderId="2771" xfId="0" applyFont="1" applyFill="1" applyBorder="1" applyAlignment="1">
      <alignment vertical="center"/>
    </xf>
    <xf numFmtId="4" fontId="3" fillId="3129" borderId="2772" xfId="0" applyNumberFormat="1" applyFont="1" applyFill="1" applyBorder="1" applyAlignment="1">
      <alignment vertical="center"/>
    </xf>
    <xf numFmtId="4" fontId="3" fillId="3130" borderId="2773" xfId="0" applyNumberFormat="1" applyFont="1" applyFill="1" applyBorder="1" applyAlignment="1">
      <alignment vertical="center"/>
    </xf>
    <xf numFmtId="4" fontId="3" fillId="3131" borderId="2774" xfId="0" applyNumberFormat="1" applyFont="1" applyFill="1" applyBorder="1" applyAlignment="1">
      <alignment vertical="center"/>
    </xf>
    <xf numFmtId="0" fontId="3" fillId="3132" borderId="2775" xfId="0" applyFont="1" applyFill="1" applyBorder="1" applyAlignment="1">
      <alignment vertical="center"/>
    </xf>
    <xf numFmtId="0" fontId="3" fillId="3133" borderId="2776" xfId="0" applyFont="1" applyFill="1" applyBorder="1" applyAlignment="1">
      <alignment vertical="center"/>
    </xf>
    <xf numFmtId="0" fontId="3" fillId="3135" borderId="2777" xfId="0" applyFont="1" applyFill="1" applyBorder="1" applyAlignment="1">
      <alignment vertical="center"/>
    </xf>
    <xf numFmtId="0" fontId="3" fillId="3136" borderId="2778" xfId="0" applyFont="1" applyFill="1" applyBorder="1" applyAlignment="1">
      <alignment vertical="center"/>
    </xf>
    <xf numFmtId="0" fontId="3" fillId="3137" borderId="2779" xfId="0" applyFont="1" applyFill="1" applyBorder="1" applyAlignment="1">
      <alignment vertical="center"/>
    </xf>
    <xf numFmtId="4" fontId="3" fillId="3138" borderId="2780" xfId="0" applyNumberFormat="1" applyFont="1" applyFill="1" applyBorder="1" applyAlignment="1">
      <alignment vertical="center"/>
    </xf>
    <xf numFmtId="4" fontId="3" fillId="3139" borderId="2781" xfId="0" applyNumberFormat="1" applyFont="1" applyFill="1" applyBorder="1" applyAlignment="1">
      <alignment vertical="center"/>
    </xf>
    <xf numFmtId="4" fontId="3" fillId="3140" borderId="2782" xfId="0" applyNumberFormat="1" applyFont="1" applyFill="1" applyBorder="1" applyAlignment="1">
      <alignment vertical="center"/>
    </xf>
    <xf numFmtId="0" fontId="3" fillId="3141" borderId="2783" xfId="0" applyFont="1" applyFill="1" applyBorder="1" applyAlignment="1">
      <alignment vertical="center"/>
    </xf>
    <xf numFmtId="0" fontId="3" fillId="3142" borderId="2784" xfId="0" applyFont="1" applyFill="1" applyBorder="1" applyAlignment="1">
      <alignment vertical="center"/>
    </xf>
    <xf numFmtId="0" fontId="3" fillId="3144" borderId="2785" xfId="0" applyFont="1" applyFill="1" applyBorder="1" applyAlignment="1">
      <alignment vertical="center"/>
    </xf>
    <xf numFmtId="0" fontId="3" fillId="3145" borderId="2786" xfId="0" applyFont="1" applyFill="1" applyBorder="1" applyAlignment="1">
      <alignment vertical="center"/>
    </xf>
    <xf numFmtId="0" fontId="3" fillId="3146" borderId="2787" xfId="0" applyFont="1" applyFill="1" applyBorder="1" applyAlignment="1">
      <alignment vertical="center"/>
    </xf>
    <xf numFmtId="4" fontId="3" fillId="3147" borderId="2788" xfId="0" applyNumberFormat="1" applyFont="1" applyFill="1" applyBorder="1" applyAlignment="1">
      <alignment vertical="center"/>
    </xf>
    <xf numFmtId="4" fontId="3" fillId="3148" borderId="2789" xfId="0" applyNumberFormat="1" applyFont="1" applyFill="1" applyBorder="1" applyAlignment="1">
      <alignment vertical="center"/>
    </xf>
    <xf numFmtId="4" fontId="3" fillId="3149" borderId="2790" xfId="0" applyNumberFormat="1" applyFont="1" applyFill="1" applyBorder="1" applyAlignment="1">
      <alignment vertical="center"/>
    </xf>
    <xf numFmtId="0" fontId="3" fillId="3150" borderId="2791" xfId="0" applyFont="1" applyFill="1" applyBorder="1" applyAlignment="1">
      <alignment vertical="center"/>
    </xf>
    <xf numFmtId="0" fontId="3" fillId="3151" borderId="2792" xfId="0" applyFont="1" applyFill="1" applyBorder="1" applyAlignment="1">
      <alignment vertical="center"/>
    </xf>
    <xf numFmtId="0" fontId="3" fillId="3153" borderId="2793" xfId="0" applyFont="1" applyFill="1" applyBorder="1" applyAlignment="1">
      <alignment vertical="center"/>
    </xf>
    <xf numFmtId="0" fontId="3" fillId="3154" borderId="2794" xfId="0" applyFont="1" applyFill="1" applyBorder="1" applyAlignment="1">
      <alignment vertical="center"/>
    </xf>
    <xf numFmtId="0" fontId="3" fillId="3155" borderId="2795" xfId="0" applyFont="1" applyFill="1" applyBorder="1" applyAlignment="1">
      <alignment vertical="center"/>
    </xf>
    <xf numFmtId="4" fontId="3" fillId="3156" borderId="2796" xfId="0" applyNumberFormat="1" applyFont="1" applyFill="1" applyBorder="1" applyAlignment="1">
      <alignment vertical="center"/>
    </xf>
    <xf numFmtId="4" fontId="3" fillId="3157" borderId="2797" xfId="0" applyNumberFormat="1" applyFont="1" applyFill="1" applyBorder="1" applyAlignment="1">
      <alignment vertical="center"/>
    </xf>
    <xf numFmtId="4" fontId="3" fillId="3158" borderId="2798" xfId="0" applyNumberFormat="1" applyFont="1" applyFill="1" applyBorder="1" applyAlignment="1">
      <alignment vertical="center"/>
    </xf>
    <xf numFmtId="0" fontId="3" fillId="3159" borderId="2799" xfId="0" applyFont="1" applyFill="1" applyBorder="1" applyAlignment="1">
      <alignment vertical="center"/>
    </xf>
    <xf numFmtId="0" fontId="3" fillId="3160" borderId="2800" xfId="0" applyFont="1" applyFill="1" applyBorder="1" applyAlignment="1">
      <alignment vertical="center"/>
    </xf>
    <xf numFmtId="0" fontId="3" fillId="3162" borderId="2801" xfId="0" applyFont="1" applyFill="1" applyBorder="1" applyAlignment="1">
      <alignment vertical="center"/>
    </xf>
    <xf numFmtId="0" fontId="3" fillId="3163" borderId="2802" xfId="0" applyFont="1" applyFill="1" applyBorder="1" applyAlignment="1">
      <alignment vertical="center"/>
    </xf>
    <xf numFmtId="0" fontId="3" fillId="3164" borderId="2803" xfId="0" applyFont="1" applyFill="1" applyBorder="1" applyAlignment="1">
      <alignment vertical="center"/>
    </xf>
    <xf numFmtId="4" fontId="3" fillId="3165" borderId="2804" xfId="0" applyNumberFormat="1" applyFont="1" applyFill="1" applyBorder="1" applyAlignment="1">
      <alignment vertical="center"/>
    </xf>
    <xf numFmtId="4" fontId="3" fillId="3166" borderId="2805" xfId="0" applyNumberFormat="1" applyFont="1" applyFill="1" applyBorder="1" applyAlignment="1">
      <alignment vertical="center"/>
    </xf>
    <xf numFmtId="4" fontId="3" fillId="3167" borderId="2806" xfId="0" applyNumberFormat="1" applyFont="1" applyFill="1" applyBorder="1" applyAlignment="1">
      <alignment vertical="center"/>
    </xf>
    <xf numFmtId="0" fontId="3" fillId="3168" borderId="2807" xfId="0" applyFont="1" applyFill="1" applyBorder="1" applyAlignment="1">
      <alignment vertical="center"/>
    </xf>
    <xf numFmtId="0" fontId="3" fillId="3169" borderId="2808" xfId="0" applyFont="1" applyFill="1" applyBorder="1" applyAlignment="1">
      <alignment vertical="center"/>
    </xf>
    <xf numFmtId="0" fontId="3" fillId="3171" borderId="2809" xfId="0" applyFont="1" applyFill="1" applyBorder="1" applyAlignment="1">
      <alignment vertical="center"/>
    </xf>
    <xf numFmtId="0" fontId="3" fillId="3172" borderId="2810" xfId="0" applyFont="1" applyFill="1" applyBorder="1" applyAlignment="1">
      <alignment vertical="center"/>
    </xf>
    <xf numFmtId="0" fontId="3" fillId="3173" borderId="2811" xfId="0" applyFont="1" applyFill="1" applyBorder="1" applyAlignment="1">
      <alignment vertical="center"/>
    </xf>
    <xf numFmtId="4" fontId="3" fillId="3174" borderId="2812" xfId="0" applyNumberFormat="1" applyFont="1" applyFill="1" applyBorder="1" applyAlignment="1">
      <alignment vertical="center"/>
    </xf>
    <xf numFmtId="4" fontId="3" fillId="3175" borderId="2813" xfId="0" applyNumberFormat="1" applyFont="1" applyFill="1" applyBorder="1" applyAlignment="1">
      <alignment vertical="center"/>
    </xf>
    <xf numFmtId="4" fontId="3" fillId="3176" borderId="2814" xfId="0" applyNumberFormat="1" applyFont="1" applyFill="1" applyBorder="1" applyAlignment="1">
      <alignment vertical="center"/>
    </xf>
    <xf numFmtId="0" fontId="3" fillId="3177" borderId="2815" xfId="0" applyFont="1" applyFill="1" applyBorder="1" applyAlignment="1">
      <alignment vertical="center"/>
    </xf>
    <xf numFmtId="0" fontId="3" fillId="3178" borderId="2816" xfId="0" applyFont="1" applyFill="1" applyBorder="1" applyAlignment="1">
      <alignment vertical="center"/>
    </xf>
    <xf numFmtId="0" fontId="3" fillId="3180" borderId="2817" xfId="0" applyFont="1" applyFill="1" applyBorder="1" applyAlignment="1">
      <alignment vertical="center"/>
    </xf>
    <xf numFmtId="0" fontId="3" fillId="3181" borderId="2818" xfId="0" applyFont="1" applyFill="1" applyBorder="1" applyAlignment="1">
      <alignment vertical="center"/>
    </xf>
    <xf numFmtId="0" fontId="3" fillId="3182" borderId="2819" xfId="0" applyFont="1" applyFill="1" applyBorder="1" applyAlignment="1">
      <alignment vertical="center"/>
    </xf>
    <xf numFmtId="4" fontId="3" fillId="3183" borderId="2820" xfId="0" applyNumberFormat="1" applyFont="1" applyFill="1" applyBorder="1" applyAlignment="1">
      <alignment vertical="center"/>
    </xf>
    <xf numFmtId="4" fontId="3" fillId="3184" borderId="2821" xfId="0" applyNumberFormat="1" applyFont="1" applyFill="1" applyBorder="1" applyAlignment="1">
      <alignment vertical="center"/>
    </xf>
    <xf numFmtId="4" fontId="3" fillId="3185" borderId="2822" xfId="0" applyNumberFormat="1" applyFont="1" applyFill="1" applyBorder="1" applyAlignment="1">
      <alignment vertical="center"/>
    </xf>
    <xf numFmtId="0" fontId="3" fillId="3186" borderId="2823" xfId="0" applyFont="1" applyFill="1" applyBorder="1" applyAlignment="1">
      <alignment vertical="center"/>
    </xf>
    <xf numFmtId="0" fontId="3" fillId="3187" borderId="2824" xfId="0" applyFont="1" applyFill="1" applyBorder="1" applyAlignment="1">
      <alignment vertical="center"/>
    </xf>
    <xf numFmtId="0" fontId="3" fillId="3189" borderId="2825" xfId="0" applyFont="1" applyFill="1" applyBorder="1" applyAlignment="1">
      <alignment vertical="center"/>
    </xf>
    <xf numFmtId="0" fontId="3" fillId="3190" borderId="2826" xfId="0" applyFont="1" applyFill="1" applyBorder="1" applyAlignment="1">
      <alignment vertical="center"/>
    </xf>
    <xf numFmtId="0" fontId="3" fillId="3191" borderId="2827" xfId="0" applyFont="1" applyFill="1" applyBorder="1" applyAlignment="1">
      <alignment vertical="center"/>
    </xf>
    <xf numFmtId="4" fontId="3" fillId="3192" borderId="2828" xfId="0" applyNumberFormat="1" applyFont="1" applyFill="1" applyBorder="1" applyAlignment="1">
      <alignment vertical="center"/>
    </xf>
    <xf numFmtId="4" fontId="3" fillId="3193" borderId="2829" xfId="0" applyNumberFormat="1" applyFont="1" applyFill="1" applyBorder="1" applyAlignment="1">
      <alignment vertical="center"/>
    </xf>
    <xf numFmtId="4" fontId="3" fillId="3194" borderId="2830" xfId="0" applyNumberFormat="1" applyFont="1" applyFill="1" applyBorder="1" applyAlignment="1">
      <alignment vertical="center"/>
    </xf>
    <xf numFmtId="0" fontId="3" fillId="3195" borderId="2831" xfId="0" applyFont="1" applyFill="1" applyBorder="1" applyAlignment="1">
      <alignment vertical="center"/>
    </xf>
    <xf numFmtId="0" fontId="3" fillId="3196" borderId="2832" xfId="0" applyFont="1" applyFill="1" applyBorder="1" applyAlignment="1">
      <alignment vertical="center"/>
    </xf>
    <xf numFmtId="0" fontId="3" fillId="3198" borderId="2833" xfId="0" applyFont="1" applyFill="1" applyBorder="1" applyAlignment="1">
      <alignment vertical="center"/>
    </xf>
    <xf numFmtId="0" fontId="3" fillId="3199" borderId="2834" xfId="0" applyFont="1" applyFill="1" applyBorder="1" applyAlignment="1">
      <alignment vertical="center"/>
    </xf>
    <xf numFmtId="0" fontId="3" fillId="3200" borderId="2835" xfId="0" applyFont="1" applyFill="1" applyBorder="1" applyAlignment="1">
      <alignment vertical="center"/>
    </xf>
    <xf numFmtId="4" fontId="3" fillId="3201" borderId="2836" xfId="0" applyNumberFormat="1" applyFont="1" applyFill="1" applyBorder="1" applyAlignment="1">
      <alignment vertical="center"/>
    </xf>
    <xf numFmtId="4" fontId="3" fillId="3202" borderId="2837" xfId="0" applyNumberFormat="1" applyFont="1" applyFill="1" applyBorder="1" applyAlignment="1">
      <alignment vertical="center"/>
    </xf>
    <xf numFmtId="4" fontId="3" fillId="3203" borderId="2838" xfId="0" applyNumberFormat="1" applyFont="1" applyFill="1" applyBorder="1" applyAlignment="1">
      <alignment vertical="center"/>
    </xf>
    <xf numFmtId="0" fontId="3" fillId="3204" borderId="2839" xfId="0" applyFont="1" applyFill="1" applyBorder="1" applyAlignment="1">
      <alignment vertical="center"/>
    </xf>
    <xf numFmtId="0" fontId="3" fillId="3205" borderId="2840" xfId="0" applyFont="1" applyFill="1" applyBorder="1" applyAlignment="1">
      <alignment vertical="center"/>
    </xf>
    <xf numFmtId="0" fontId="3" fillId="3207" borderId="2841" xfId="0" applyFont="1" applyFill="1" applyBorder="1" applyAlignment="1">
      <alignment vertical="center"/>
    </xf>
    <xf numFmtId="0" fontId="3" fillId="3208" borderId="2842" xfId="0" applyFont="1" applyFill="1" applyBorder="1" applyAlignment="1">
      <alignment vertical="center"/>
    </xf>
    <xf numFmtId="0" fontId="3" fillId="3209" borderId="2843" xfId="0" applyFont="1" applyFill="1" applyBorder="1" applyAlignment="1">
      <alignment vertical="center"/>
    </xf>
    <xf numFmtId="4" fontId="3" fillId="3210" borderId="2844" xfId="0" applyNumberFormat="1" applyFont="1" applyFill="1" applyBorder="1" applyAlignment="1">
      <alignment vertical="center"/>
    </xf>
    <xf numFmtId="4" fontId="3" fillId="3211" borderId="2845" xfId="0" applyNumberFormat="1" applyFont="1" applyFill="1" applyBorder="1" applyAlignment="1">
      <alignment vertical="center"/>
    </xf>
    <xf numFmtId="4" fontId="3" fillId="3212" borderId="2846" xfId="0" applyNumberFormat="1" applyFont="1" applyFill="1" applyBorder="1" applyAlignment="1">
      <alignment vertical="center"/>
    </xf>
    <xf numFmtId="0" fontId="3" fillId="3213" borderId="2847" xfId="0" applyFont="1" applyFill="1" applyBorder="1" applyAlignment="1">
      <alignment vertical="center"/>
    </xf>
    <xf numFmtId="0" fontId="3" fillId="3214" borderId="2848" xfId="0" applyFont="1" applyFill="1" applyBorder="1" applyAlignment="1">
      <alignment vertical="center"/>
    </xf>
    <xf numFmtId="0" fontId="3" fillId="3216" borderId="2849" xfId="0" applyFont="1" applyFill="1" applyBorder="1" applyAlignment="1">
      <alignment vertical="center"/>
    </xf>
    <xf numFmtId="0" fontId="3" fillId="3217" borderId="2850" xfId="0" applyFont="1" applyFill="1" applyBorder="1" applyAlignment="1">
      <alignment vertical="center"/>
    </xf>
    <xf numFmtId="0" fontId="3" fillId="3218" borderId="2851" xfId="0" applyFont="1" applyFill="1" applyBorder="1" applyAlignment="1">
      <alignment vertical="center"/>
    </xf>
    <xf numFmtId="4" fontId="3" fillId="3219" borderId="2852" xfId="0" applyNumberFormat="1" applyFont="1" applyFill="1" applyBorder="1" applyAlignment="1">
      <alignment vertical="center"/>
    </xf>
    <xf numFmtId="4" fontId="3" fillId="3220" borderId="2853" xfId="0" applyNumberFormat="1" applyFont="1" applyFill="1" applyBorder="1" applyAlignment="1">
      <alignment vertical="center"/>
    </xf>
    <xf numFmtId="4" fontId="3" fillId="3221" borderId="2854" xfId="0" applyNumberFormat="1" applyFont="1" applyFill="1" applyBorder="1" applyAlignment="1">
      <alignment vertical="center"/>
    </xf>
    <xf numFmtId="0" fontId="3" fillId="3222" borderId="2855" xfId="0" applyFont="1" applyFill="1" applyBorder="1" applyAlignment="1">
      <alignment vertical="center"/>
    </xf>
    <xf numFmtId="0" fontId="3" fillId="3223" borderId="2856" xfId="0" applyFont="1" applyFill="1" applyBorder="1" applyAlignment="1">
      <alignment vertical="center"/>
    </xf>
    <xf numFmtId="0" fontId="3" fillId="3225" borderId="2857" xfId="0" applyFont="1" applyFill="1" applyBorder="1" applyAlignment="1">
      <alignment vertical="center"/>
    </xf>
    <xf numFmtId="0" fontId="3" fillId="3226" borderId="2858" xfId="0" applyFont="1" applyFill="1" applyBorder="1" applyAlignment="1">
      <alignment vertical="center"/>
    </xf>
    <xf numFmtId="0" fontId="3" fillId="3227" borderId="2859" xfId="0" applyFont="1" applyFill="1" applyBorder="1" applyAlignment="1">
      <alignment vertical="center"/>
    </xf>
    <xf numFmtId="4" fontId="3" fillId="3228" borderId="2860" xfId="0" applyNumberFormat="1" applyFont="1" applyFill="1" applyBorder="1" applyAlignment="1">
      <alignment vertical="center"/>
    </xf>
    <xf numFmtId="4" fontId="3" fillId="3229" borderId="2861" xfId="0" applyNumberFormat="1" applyFont="1" applyFill="1" applyBorder="1" applyAlignment="1">
      <alignment vertical="center"/>
    </xf>
    <xf numFmtId="4" fontId="3" fillId="3230" borderId="2862" xfId="0" applyNumberFormat="1" applyFont="1" applyFill="1" applyBorder="1" applyAlignment="1">
      <alignment vertical="center"/>
    </xf>
    <xf numFmtId="0" fontId="3" fillId="3231" borderId="2863" xfId="0" applyFont="1" applyFill="1" applyBorder="1" applyAlignment="1">
      <alignment vertical="center"/>
    </xf>
    <xf numFmtId="0" fontId="3" fillId="3232" borderId="2864" xfId="0" applyFont="1" applyFill="1" applyBorder="1" applyAlignment="1">
      <alignment vertical="center"/>
    </xf>
    <xf numFmtId="0" fontId="3" fillId="3234" borderId="2865" xfId="0" applyFont="1" applyFill="1" applyBorder="1" applyAlignment="1">
      <alignment vertical="center"/>
    </xf>
    <xf numFmtId="0" fontId="3" fillId="3235" borderId="2866" xfId="0" applyFont="1" applyFill="1" applyBorder="1" applyAlignment="1">
      <alignment vertical="center"/>
    </xf>
    <xf numFmtId="0" fontId="3" fillId="3236" borderId="2867" xfId="0" applyFont="1" applyFill="1" applyBorder="1" applyAlignment="1">
      <alignment vertical="center"/>
    </xf>
    <xf numFmtId="4" fontId="3" fillId="3237" borderId="2868" xfId="0" applyNumberFormat="1" applyFont="1" applyFill="1" applyBorder="1" applyAlignment="1">
      <alignment vertical="center"/>
    </xf>
    <xf numFmtId="4" fontId="3" fillId="3238" borderId="2869" xfId="0" applyNumberFormat="1" applyFont="1" applyFill="1" applyBorder="1" applyAlignment="1">
      <alignment vertical="center"/>
    </xf>
    <xf numFmtId="4" fontId="3" fillId="3239" borderId="2870" xfId="0" applyNumberFormat="1" applyFont="1" applyFill="1" applyBorder="1" applyAlignment="1">
      <alignment vertical="center"/>
    </xf>
    <xf numFmtId="0" fontId="3" fillId="3240" borderId="2871" xfId="0" applyFont="1" applyFill="1" applyBorder="1" applyAlignment="1">
      <alignment vertical="center"/>
    </xf>
    <xf numFmtId="0" fontId="3" fillId="3241" borderId="2872" xfId="0" applyFont="1" applyFill="1" applyBorder="1" applyAlignment="1">
      <alignment vertical="center"/>
    </xf>
    <xf numFmtId="0" fontId="3" fillId="3243" borderId="2873" xfId="0" applyFont="1" applyFill="1" applyBorder="1" applyAlignment="1">
      <alignment vertical="center"/>
    </xf>
    <xf numFmtId="0" fontId="3" fillId="3244" borderId="2874" xfId="0" applyFont="1" applyFill="1" applyBorder="1" applyAlignment="1">
      <alignment vertical="center"/>
    </xf>
    <xf numFmtId="0" fontId="3" fillId="3245" borderId="2875" xfId="0" applyFont="1" applyFill="1" applyBorder="1" applyAlignment="1">
      <alignment vertical="center"/>
    </xf>
    <xf numFmtId="4" fontId="3" fillId="3246" borderId="2876" xfId="0" applyNumberFormat="1" applyFont="1" applyFill="1" applyBorder="1" applyAlignment="1">
      <alignment vertical="center"/>
    </xf>
    <xf numFmtId="4" fontId="3" fillId="3247" borderId="2877" xfId="0" applyNumberFormat="1" applyFont="1" applyFill="1" applyBorder="1" applyAlignment="1">
      <alignment vertical="center"/>
    </xf>
    <xf numFmtId="4" fontId="3" fillId="3248" borderId="2878" xfId="0" applyNumberFormat="1" applyFont="1" applyFill="1" applyBorder="1" applyAlignment="1">
      <alignment vertical="center"/>
    </xf>
    <xf numFmtId="0" fontId="3" fillId="3249" borderId="2879" xfId="0" applyFont="1" applyFill="1" applyBorder="1" applyAlignment="1">
      <alignment vertical="center"/>
    </xf>
    <xf numFmtId="0" fontId="3" fillId="3250" borderId="2880" xfId="0" applyFont="1" applyFill="1" applyBorder="1" applyAlignment="1">
      <alignment vertical="center"/>
    </xf>
    <xf numFmtId="0" fontId="3" fillId="3252" borderId="2881" xfId="0" applyFont="1" applyFill="1" applyBorder="1" applyAlignment="1">
      <alignment vertical="center"/>
    </xf>
    <xf numFmtId="0" fontId="3" fillId="3253" borderId="2882" xfId="0" applyFont="1" applyFill="1" applyBorder="1" applyAlignment="1">
      <alignment vertical="center"/>
    </xf>
    <xf numFmtId="0" fontId="3" fillId="3254" borderId="2883" xfId="0" applyFont="1" applyFill="1" applyBorder="1" applyAlignment="1">
      <alignment vertical="center"/>
    </xf>
    <xf numFmtId="4" fontId="3" fillId="3255" borderId="2884" xfId="0" applyNumberFormat="1" applyFont="1" applyFill="1" applyBorder="1" applyAlignment="1">
      <alignment vertical="center"/>
    </xf>
    <xf numFmtId="4" fontId="3" fillId="3256" borderId="2885" xfId="0" applyNumberFormat="1" applyFont="1" applyFill="1" applyBorder="1" applyAlignment="1">
      <alignment vertical="center"/>
    </xf>
    <xf numFmtId="4" fontId="3" fillId="3257" borderId="2886" xfId="0" applyNumberFormat="1" applyFont="1" applyFill="1" applyBorder="1" applyAlignment="1">
      <alignment vertical="center"/>
    </xf>
    <xf numFmtId="0" fontId="3" fillId="3258" borderId="2887" xfId="0" applyFont="1" applyFill="1" applyBorder="1" applyAlignment="1">
      <alignment vertical="center"/>
    </xf>
    <xf numFmtId="0" fontId="3" fillId="3259" borderId="2888" xfId="0" applyFont="1" applyFill="1" applyBorder="1" applyAlignment="1">
      <alignment vertical="center"/>
    </xf>
    <xf numFmtId="0" fontId="3" fillId="3261" borderId="2889" xfId="0" applyFont="1" applyFill="1" applyBorder="1" applyAlignment="1">
      <alignment vertical="center"/>
    </xf>
    <xf numFmtId="0" fontId="3" fillId="3262" borderId="2890" xfId="0" applyFont="1" applyFill="1" applyBorder="1" applyAlignment="1">
      <alignment vertical="center"/>
    </xf>
    <xf numFmtId="0" fontId="3" fillId="3263" borderId="2891" xfId="0" applyFont="1" applyFill="1" applyBorder="1" applyAlignment="1">
      <alignment vertical="center"/>
    </xf>
    <xf numFmtId="4" fontId="3" fillId="3264" borderId="2892" xfId="0" applyNumberFormat="1" applyFont="1" applyFill="1" applyBorder="1" applyAlignment="1">
      <alignment vertical="center"/>
    </xf>
    <xf numFmtId="4" fontId="3" fillId="3265" borderId="2893" xfId="0" applyNumberFormat="1" applyFont="1" applyFill="1" applyBorder="1" applyAlignment="1">
      <alignment vertical="center"/>
    </xf>
    <xf numFmtId="4" fontId="3" fillId="3266" borderId="2894" xfId="0" applyNumberFormat="1" applyFont="1" applyFill="1" applyBorder="1" applyAlignment="1">
      <alignment vertical="center"/>
    </xf>
    <xf numFmtId="0" fontId="3" fillId="3267" borderId="2895" xfId="0" applyFont="1" applyFill="1" applyBorder="1" applyAlignment="1">
      <alignment vertical="center"/>
    </xf>
    <xf numFmtId="0" fontId="3" fillId="3268" borderId="2896" xfId="0" applyFont="1" applyFill="1" applyBorder="1" applyAlignment="1">
      <alignment vertical="center"/>
    </xf>
    <xf numFmtId="0" fontId="3" fillId="3270" borderId="2897" xfId="0" applyFont="1" applyFill="1" applyBorder="1" applyAlignment="1">
      <alignment vertical="center"/>
    </xf>
    <xf numFmtId="0" fontId="3" fillId="3271" borderId="2898" xfId="0" applyFont="1" applyFill="1" applyBorder="1" applyAlignment="1">
      <alignment vertical="center"/>
    </xf>
    <xf numFmtId="0" fontId="3" fillId="3272" borderId="2899" xfId="0" applyFont="1" applyFill="1" applyBorder="1" applyAlignment="1">
      <alignment vertical="center"/>
    </xf>
    <xf numFmtId="4" fontId="3" fillId="3273" borderId="2900" xfId="0" applyNumberFormat="1" applyFont="1" applyFill="1" applyBorder="1" applyAlignment="1">
      <alignment vertical="center"/>
    </xf>
    <xf numFmtId="4" fontId="3" fillId="3274" borderId="2901" xfId="0" applyNumberFormat="1" applyFont="1" applyFill="1" applyBorder="1" applyAlignment="1">
      <alignment vertical="center"/>
    </xf>
    <xf numFmtId="4" fontId="3" fillId="3275" borderId="2902" xfId="0" applyNumberFormat="1" applyFont="1" applyFill="1" applyBorder="1" applyAlignment="1">
      <alignment vertical="center"/>
    </xf>
    <xf numFmtId="0" fontId="3" fillId="3276" borderId="2903" xfId="0" applyFont="1" applyFill="1" applyBorder="1" applyAlignment="1">
      <alignment vertical="center"/>
    </xf>
    <xf numFmtId="0" fontId="3" fillId="3277" borderId="2904" xfId="0" applyFont="1" applyFill="1" applyBorder="1" applyAlignment="1">
      <alignment vertical="center"/>
    </xf>
    <xf numFmtId="0" fontId="3" fillId="3279" borderId="2905" xfId="0" applyFont="1" applyFill="1" applyBorder="1" applyAlignment="1">
      <alignment vertical="center"/>
    </xf>
    <xf numFmtId="0" fontId="3" fillId="3280" borderId="2906" xfId="0" applyFont="1" applyFill="1" applyBorder="1" applyAlignment="1">
      <alignment vertical="center"/>
    </xf>
    <xf numFmtId="0" fontId="3" fillId="3281" borderId="2907" xfId="0" applyFont="1" applyFill="1" applyBorder="1" applyAlignment="1">
      <alignment vertical="center"/>
    </xf>
    <xf numFmtId="4" fontId="3" fillId="3282" borderId="2908" xfId="0" applyNumberFormat="1" applyFont="1" applyFill="1" applyBorder="1" applyAlignment="1">
      <alignment vertical="center"/>
    </xf>
    <xf numFmtId="4" fontId="3" fillId="3283" borderId="2909" xfId="0" applyNumberFormat="1" applyFont="1" applyFill="1" applyBorder="1" applyAlignment="1">
      <alignment vertical="center"/>
    </xf>
    <xf numFmtId="4" fontId="3" fillId="3284" borderId="2910" xfId="0" applyNumberFormat="1" applyFont="1" applyFill="1" applyBorder="1" applyAlignment="1">
      <alignment vertical="center"/>
    </xf>
    <xf numFmtId="0" fontId="3" fillId="3285" borderId="2911" xfId="0" applyFont="1" applyFill="1" applyBorder="1" applyAlignment="1">
      <alignment vertical="center"/>
    </xf>
    <xf numFmtId="0" fontId="3" fillId="3286" borderId="2912" xfId="0" applyFont="1" applyFill="1" applyBorder="1" applyAlignment="1">
      <alignment vertical="center"/>
    </xf>
    <xf numFmtId="0" fontId="3" fillId="3288" borderId="2913" xfId="0" applyFont="1" applyFill="1" applyBorder="1" applyAlignment="1">
      <alignment vertical="center"/>
    </xf>
    <xf numFmtId="0" fontId="3" fillId="3289" borderId="2914" xfId="0" applyFont="1" applyFill="1" applyBorder="1" applyAlignment="1">
      <alignment vertical="center"/>
    </xf>
    <xf numFmtId="0" fontId="3" fillId="3290" borderId="2915" xfId="0" applyFont="1" applyFill="1" applyBorder="1" applyAlignment="1">
      <alignment vertical="center"/>
    </xf>
    <xf numFmtId="4" fontId="3" fillId="3291" borderId="2916" xfId="0" applyNumberFormat="1" applyFont="1" applyFill="1" applyBorder="1" applyAlignment="1">
      <alignment vertical="center"/>
    </xf>
    <xf numFmtId="4" fontId="3" fillId="3292" borderId="2917" xfId="0" applyNumberFormat="1" applyFont="1" applyFill="1" applyBorder="1" applyAlignment="1">
      <alignment vertical="center"/>
    </xf>
    <xf numFmtId="4" fontId="3" fillId="3293" borderId="2918" xfId="0" applyNumberFormat="1" applyFont="1" applyFill="1" applyBorder="1" applyAlignment="1">
      <alignment vertical="center"/>
    </xf>
    <xf numFmtId="0" fontId="3" fillId="3294" borderId="2919" xfId="0" applyFont="1" applyFill="1" applyBorder="1" applyAlignment="1">
      <alignment vertical="center"/>
    </xf>
    <xf numFmtId="0" fontId="3" fillId="3295" borderId="2920" xfId="0" applyFont="1" applyFill="1" applyBorder="1" applyAlignment="1">
      <alignment vertical="center"/>
    </xf>
    <xf numFmtId="0" fontId="3" fillId="3297" borderId="2921" xfId="0" applyFont="1" applyFill="1" applyBorder="1" applyAlignment="1">
      <alignment vertical="center"/>
    </xf>
    <xf numFmtId="0" fontId="3" fillId="3298" borderId="2922" xfId="0" applyFont="1" applyFill="1" applyBorder="1" applyAlignment="1">
      <alignment vertical="center"/>
    </xf>
    <xf numFmtId="0" fontId="3" fillId="3299" borderId="2923" xfId="0" applyFont="1" applyFill="1" applyBorder="1" applyAlignment="1">
      <alignment vertical="center"/>
    </xf>
    <xf numFmtId="4" fontId="3" fillId="3300" borderId="2924" xfId="0" applyNumberFormat="1" applyFont="1" applyFill="1" applyBorder="1" applyAlignment="1">
      <alignment vertical="center"/>
    </xf>
    <xf numFmtId="4" fontId="3" fillId="3301" borderId="2925" xfId="0" applyNumberFormat="1" applyFont="1" applyFill="1" applyBorder="1" applyAlignment="1">
      <alignment vertical="center"/>
    </xf>
    <xf numFmtId="4" fontId="3" fillId="3302" borderId="2926" xfId="0" applyNumberFormat="1" applyFont="1" applyFill="1" applyBorder="1" applyAlignment="1">
      <alignment vertical="center"/>
    </xf>
    <xf numFmtId="0" fontId="3" fillId="3303" borderId="2927" xfId="0" applyFont="1" applyFill="1" applyBorder="1" applyAlignment="1">
      <alignment vertical="center"/>
    </xf>
    <xf numFmtId="0" fontId="3" fillId="3304" borderId="2928" xfId="0" applyFont="1" applyFill="1" applyBorder="1" applyAlignment="1">
      <alignment vertical="center"/>
    </xf>
    <xf numFmtId="0" fontId="3" fillId="3306" borderId="2929" xfId="0" applyFont="1" applyFill="1" applyBorder="1" applyAlignment="1">
      <alignment vertical="center"/>
    </xf>
    <xf numFmtId="0" fontId="3" fillId="3307" borderId="2930" xfId="0" applyFont="1" applyFill="1" applyBorder="1" applyAlignment="1">
      <alignment vertical="center"/>
    </xf>
    <xf numFmtId="0" fontId="3" fillId="3308" borderId="2931" xfId="0" applyFont="1" applyFill="1" applyBorder="1" applyAlignment="1">
      <alignment vertical="center"/>
    </xf>
    <xf numFmtId="4" fontId="3" fillId="3309" borderId="2932" xfId="0" applyNumberFormat="1" applyFont="1" applyFill="1" applyBorder="1" applyAlignment="1">
      <alignment vertical="center"/>
    </xf>
    <xf numFmtId="4" fontId="3" fillId="3310" borderId="2933" xfId="0" applyNumberFormat="1" applyFont="1" applyFill="1" applyBorder="1" applyAlignment="1">
      <alignment vertical="center"/>
    </xf>
    <xf numFmtId="4" fontId="3" fillId="3311" borderId="2934" xfId="0" applyNumberFormat="1" applyFont="1" applyFill="1" applyBorder="1" applyAlignment="1">
      <alignment vertical="center"/>
    </xf>
    <xf numFmtId="0" fontId="3" fillId="3312" borderId="2935" xfId="0" applyFont="1" applyFill="1" applyBorder="1" applyAlignment="1">
      <alignment vertical="center"/>
    </xf>
    <xf numFmtId="0" fontId="3" fillId="3313" borderId="2936" xfId="0" applyFont="1" applyFill="1" applyBorder="1" applyAlignment="1">
      <alignment vertical="center"/>
    </xf>
    <xf numFmtId="0" fontId="3" fillId="3315" borderId="2937" xfId="0" applyFont="1" applyFill="1" applyBorder="1" applyAlignment="1">
      <alignment vertical="center"/>
    </xf>
    <xf numFmtId="0" fontId="3" fillId="3316" borderId="2938" xfId="0" applyFont="1" applyFill="1" applyBorder="1" applyAlignment="1">
      <alignment vertical="center"/>
    </xf>
    <xf numFmtId="0" fontId="3" fillId="3317" borderId="2939" xfId="0" applyFont="1" applyFill="1" applyBorder="1" applyAlignment="1">
      <alignment vertical="center"/>
    </xf>
    <xf numFmtId="4" fontId="3" fillId="3318" borderId="2940" xfId="0" applyNumberFormat="1" applyFont="1" applyFill="1" applyBorder="1" applyAlignment="1">
      <alignment vertical="center"/>
    </xf>
    <xf numFmtId="4" fontId="3" fillId="3319" borderId="2941" xfId="0" applyNumberFormat="1" applyFont="1" applyFill="1" applyBorder="1" applyAlignment="1">
      <alignment vertical="center"/>
    </xf>
    <xf numFmtId="4" fontId="3" fillId="3320" borderId="2942" xfId="0" applyNumberFormat="1" applyFont="1" applyFill="1" applyBorder="1" applyAlignment="1">
      <alignment vertical="center"/>
    </xf>
    <xf numFmtId="0" fontId="3" fillId="3321" borderId="2943" xfId="0" applyFont="1" applyFill="1" applyBorder="1" applyAlignment="1">
      <alignment vertical="center"/>
    </xf>
    <xf numFmtId="0" fontId="3" fillId="3322" borderId="2944" xfId="0" applyFont="1" applyFill="1" applyBorder="1" applyAlignment="1">
      <alignment vertical="center"/>
    </xf>
    <xf numFmtId="0" fontId="3" fillId="3324" borderId="2945" xfId="0" applyFont="1" applyFill="1" applyBorder="1" applyAlignment="1">
      <alignment vertical="center"/>
    </xf>
    <xf numFmtId="0" fontId="3" fillId="3325" borderId="2946" xfId="0" applyFont="1" applyFill="1" applyBorder="1" applyAlignment="1">
      <alignment vertical="center"/>
    </xf>
    <xf numFmtId="0" fontId="3" fillId="3326" borderId="2947" xfId="0" applyFont="1" applyFill="1" applyBorder="1" applyAlignment="1">
      <alignment vertical="center"/>
    </xf>
    <xf numFmtId="4" fontId="3" fillId="3327" borderId="2948" xfId="0" applyNumberFormat="1" applyFont="1" applyFill="1" applyBorder="1" applyAlignment="1">
      <alignment vertical="center"/>
    </xf>
    <xf numFmtId="4" fontId="3" fillId="3328" borderId="2949" xfId="0" applyNumberFormat="1" applyFont="1" applyFill="1" applyBorder="1" applyAlignment="1">
      <alignment vertical="center"/>
    </xf>
    <xf numFmtId="4" fontId="3" fillId="3329" borderId="2950" xfId="0" applyNumberFormat="1" applyFont="1" applyFill="1" applyBorder="1" applyAlignment="1">
      <alignment vertical="center"/>
    </xf>
    <xf numFmtId="0" fontId="3" fillId="3330" borderId="2951" xfId="0" applyFont="1" applyFill="1" applyBorder="1" applyAlignment="1">
      <alignment vertical="center"/>
    </xf>
    <xf numFmtId="0" fontId="3" fillId="3331" borderId="2952" xfId="0" applyFont="1" applyFill="1" applyBorder="1" applyAlignment="1">
      <alignment vertical="center"/>
    </xf>
    <xf numFmtId="0" fontId="3" fillId="3333" borderId="2953" xfId="0" applyFont="1" applyFill="1" applyBorder="1" applyAlignment="1">
      <alignment vertical="center"/>
    </xf>
    <xf numFmtId="0" fontId="3" fillId="3334" borderId="2954" xfId="0" applyFont="1" applyFill="1" applyBorder="1" applyAlignment="1">
      <alignment vertical="center"/>
    </xf>
    <xf numFmtId="0" fontId="3" fillId="3335" borderId="2955" xfId="0" applyFont="1" applyFill="1" applyBorder="1" applyAlignment="1">
      <alignment vertical="center"/>
    </xf>
    <xf numFmtId="4" fontId="3" fillId="3336" borderId="2956" xfId="0" applyNumberFormat="1" applyFont="1" applyFill="1" applyBorder="1" applyAlignment="1">
      <alignment vertical="center"/>
    </xf>
    <xf numFmtId="4" fontId="3" fillId="3337" borderId="2957" xfId="0" applyNumberFormat="1" applyFont="1" applyFill="1" applyBorder="1" applyAlignment="1">
      <alignment vertical="center"/>
    </xf>
    <xf numFmtId="4" fontId="3" fillId="3338" borderId="2958" xfId="0" applyNumberFormat="1" applyFont="1" applyFill="1" applyBorder="1" applyAlignment="1">
      <alignment vertical="center"/>
    </xf>
    <xf numFmtId="0" fontId="3" fillId="3339" borderId="2959" xfId="0" applyFont="1" applyFill="1" applyBorder="1" applyAlignment="1">
      <alignment vertical="center"/>
    </xf>
    <xf numFmtId="0" fontId="3" fillId="3340" borderId="2960" xfId="0" applyFont="1" applyFill="1" applyBorder="1" applyAlignment="1">
      <alignment vertical="center"/>
    </xf>
    <xf numFmtId="0" fontId="3" fillId="3342" borderId="2961" xfId="0" applyFont="1" applyFill="1" applyBorder="1" applyAlignment="1">
      <alignment vertical="center"/>
    </xf>
    <xf numFmtId="0" fontId="3" fillId="3343" borderId="2962" xfId="0" applyFont="1" applyFill="1" applyBorder="1" applyAlignment="1">
      <alignment vertical="center"/>
    </xf>
    <xf numFmtId="0" fontId="3" fillId="3344" borderId="2963" xfId="0" applyFont="1" applyFill="1" applyBorder="1" applyAlignment="1">
      <alignment vertical="center"/>
    </xf>
    <xf numFmtId="4" fontId="3" fillId="3345" borderId="2964" xfId="0" applyNumberFormat="1" applyFont="1" applyFill="1" applyBorder="1" applyAlignment="1">
      <alignment vertical="center"/>
    </xf>
    <xf numFmtId="4" fontId="3" fillId="3346" borderId="2965" xfId="0" applyNumberFormat="1" applyFont="1" applyFill="1" applyBorder="1" applyAlignment="1">
      <alignment vertical="center"/>
    </xf>
    <xf numFmtId="4" fontId="3" fillId="3347" borderId="2966" xfId="0" applyNumberFormat="1" applyFont="1" applyFill="1" applyBorder="1" applyAlignment="1">
      <alignment vertical="center"/>
    </xf>
    <xf numFmtId="0" fontId="3" fillId="3348" borderId="2967" xfId="0" applyFont="1" applyFill="1" applyBorder="1" applyAlignment="1">
      <alignment vertical="center"/>
    </xf>
    <xf numFmtId="0" fontId="3" fillId="3349" borderId="2968" xfId="0" applyFont="1" applyFill="1" applyBorder="1" applyAlignment="1">
      <alignment vertical="center"/>
    </xf>
    <xf numFmtId="0" fontId="3" fillId="3351" borderId="2969" xfId="0" applyFont="1" applyFill="1" applyBorder="1" applyAlignment="1">
      <alignment vertical="center"/>
    </xf>
    <xf numFmtId="0" fontId="3" fillId="3352" borderId="2970" xfId="0" applyFont="1" applyFill="1" applyBorder="1" applyAlignment="1">
      <alignment vertical="center"/>
    </xf>
    <xf numFmtId="0" fontId="3" fillId="3353" borderId="2971" xfId="0" applyFont="1" applyFill="1" applyBorder="1" applyAlignment="1">
      <alignment vertical="center"/>
    </xf>
    <xf numFmtId="4" fontId="3" fillId="3354" borderId="2972" xfId="0" applyNumberFormat="1" applyFont="1" applyFill="1" applyBorder="1" applyAlignment="1">
      <alignment vertical="center"/>
    </xf>
    <xf numFmtId="4" fontId="3" fillId="3355" borderId="2973" xfId="0" applyNumberFormat="1" applyFont="1" applyFill="1" applyBorder="1" applyAlignment="1">
      <alignment vertical="center"/>
    </xf>
    <xf numFmtId="4" fontId="3" fillId="3356" borderId="2974" xfId="0" applyNumberFormat="1" applyFont="1" applyFill="1" applyBorder="1" applyAlignment="1">
      <alignment vertical="center"/>
    </xf>
    <xf numFmtId="0" fontId="3" fillId="3357" borderId="2975" xfId="0" applyFont="1" applyFill="1" applyBorder="1" applyAlignment="1">
      <alignment vertical="center"/>
    </xf>
    <xf numFmtId="0" fontId="3" fillId="3358" borderId="2976" xfId="0" applyFont="1" applyFill="1" applyBorder="1" applyAlignment="1">
      <alignment vertical="center"/>
    </xf>
    <xf numFmtId="0" fontId="3" fillId="3360" borderId="2977" xfId="0" applyFont="1" applyFill="1" applyBorder="1" applyAlignment="1">
      <alignment vertical="center"/>
    </xf>
    <xf numFmtId="0" fontId="3" fillId="3361" borderId="2978" xfId="0" applyFont="1" applyFill="1" applyBorder="1" applyAlignment="1">
      <alignment vertical="center"/>
    </xf>
    <xf numFmtId="0" fontId="3" fillId="3362" borderId="2979" xfId="0" applyFont="1" applyFill="1" applyBorder="1" applyAlignment="1">
      <alignment vertical="center"/>
    </xf>
    <xf numFmtId="4" fontId="3" fillId="3363" borderId="2980" xfId="0" applyNumberFormat="1" applyFont="1" applyFill="1" applyBorder="1" applyAlignment="1">
      <alignment vertical="center"/>
    </xf>
    <xf numFmtId="4" fontId="3" fillId="3364" borderId="2981" xfId="0" applyNumberFormat="1" applyFont="1" applyFill="1" applyBorder="1" applyAlignment="1">
      <alignment vertical="center"/>
    </xf>
    <xf numFmtId="4" fontId="3" fillId="3365" borderId="2982" xfId="0" applyNumberFormat="1" applyFont="1" applyFill="1" applyBorder="1" applyAlignment="1">
      <alignment vertical="center"/>
    </xf>
    <xf numFmtId="0" fontId="3" fillId="3366" borderId="2983" xfId="0" applyFont="1" applyFill="1" applyBorder="1" applyAlignment="1">
      <alignment vertical="center"/>
    </xf>
    <xf numFmtId="0" fontId="3" fillId="3367" borderId="2984" xfId="0" applyFont="1" applyFill="1" applyBorder="1" applyAlignment="1">
      <alignment vertical="center"/>
    </xf>
    <xf numFmtId="0" fontId="3" fillId="3369" borderId="2985" xfId="0" applyFont="1" applyFill="1" applyBorder="1" applyAlignment="1">
      <alignment vertical="center"/>
    </xf>
    <xf numFmtId="0" fontId="3" fillId="3370" borderId="2986" xfId="0" applyFont="1" applyFill="1" applyBorder="1" applyAlignment="1">
      <alignment vertical="center"/>
    </xf>
    <xf numFmtId="0" fontId="3" fillId="3371" borderId="2987" xfId="0" applyFont="1" applyFill="1" applyBorder="1" applyAlignment="1">
      <alignment vertical="center"/>
    </xf>
    <xf numFmtId="4" fontId="3" fillId="3372" borderId="2988" xfId="0" applyNumberFormat="1" applyFont="1" applyFill="1" applyBorder="1" applyAlignment="1">
      <alignment vertical="center"/>
    </xf>
    <xf numFmtId="4" fontId="3" fillId="3373" borderId="2989" xfId="0" applyNumberFormat="1" applyFont="1" applyFill="1" applyBorder="1" applyAlignment="1">
      <alignment vertical="center"/>
    </xf>
    <xf numFmtId="4" fontId="3" fillId="3374" borderId="2990" xfId="0" applyNumberFormat="1" applyFont="1" applyFill="1" applyBorder="1" applyAlignment="1">
      <alignment vertical="center"/>
    </xf>
    <xf numFmtId="0" fontId="3" fillId="3375" borderId="2991" xfId="0" applyFont="1" applyFill="1" applyBorder="1" applyAlignment="1">
      <alignment vertical="center"/>
    </xf>
    <xf numFmtId="0" fontId="3" fillId="3376" borderId="2992" xfId="0" applyFont="1" applyFill="1" applyBorder="1" applyAlignment="1">
      <alignment vertical="center"/>
    </xf>
    <xf numFmtId="0" fontId="3" fillId="3378" borderId="2993" xfId="0" applyFont="1" applyFill="1" applyBorder="1" applyAlignment="1">
      <alignment vertical="center"/>
    </xf>
    <xf numFmtId="0" fontId="3" fillId="3379" borderId="2994" xfId="0" applyFont="1" applyFill="1" applyBorder="1" applyAlignment="1">
      <alignment vertical="center"/>
    </xf>
    <xf numFmtId="0" fontId="3" fillId="3380" borderId="2995" xfId="0" applyFont="1" applyFill="1" applyBorder="1" applyAlignment="1">
      <alignment vertical="center"/>
    </xf>
    <xf numFmtId="4" fontId="3" fillId="3381" borderId="2996" xfId="0" applyNumberFormat="1" applyFont="1" applyFill="1" applyBorder="1" applyAlignment="1">
      <alignment vertical="center"/>
    </xf>
    <xf numFmtId="4" fontId="3" fillId="3382" borderId="2997" xfId="0" applyNumberFormat="1" applyFont="1" applyFill="1" applyBorder="1" applyAlignment="1">
      <alignment vertical="center"/>
    </xf>
    <xf numFmtId="4" fontId="3" fillId="3383" borderId="2998" xfId="0" applyNumberFormat="1" applyFont="1" applyFill="1" applyBorder="1" applyAlignment="1">
      <alignment vertical="center"/>
    </xf>
    <xf numFmtId="0" fontId="3" fillId="3384" borderId="2999" xfId="0" applyFont="1" applyFill="1" applyBorder="1" applyAlignment="1">
      <alignment vertical="center"/>
    </xf>
    <xf numFmtId="0" fontId="3" fillId="3385" borderId="3000" xfId="0" applyFont="1" applyFill="1" applyBorder="1" applyAlignment="1">
      <alignment vertical="center"/>
    </xf>
    <xf numFmtId="0" fontId="3" fillId="3387" borderId="3001" xfId="0" applyFont="1" applyFill="1" applyBorder="1" applyAlignment="1">
      <alignment vertical="center"/>
    </xf>
    <xf numFmtId="0" fontId="3" fillId="3388" borderId="3002" xfId="0" applyFont="1" applyFill="1" applyBorder="1" applyAlignment="1">
      <alignment vertical="center"/>
    </xf>
    <xf numFmtId="0" fontId="3" fillId="3389" borderId="3003" xfId="0" applyFont="1" applyFill="1" applyBorder="1" applyAlignment="1">
      <alignment vertical="center"/>
    </xf>
    <xf numFmtId="4" fontId="3" fillId="3390" borderId="3004" xfId="0" applyNumberFormat="1" applyFont="1" applyFill="1" applyBorder="1" applyAlignment="1">
      <alignment vertical="center"/>
    </xf>
    <xf numFmtId="4" fontId="3" fillId="3391" borderId="3005" xfId="0" applyNumberFormat="1" applyFont="1" applyFill="1" applyBorder="1" applyAlignment="1">
      <alignment vertical="center"/>
    </xf>
    <xf numFmtId="4" fontId="3" fillId="3392" borderId="3006" xfId="0" applyNumberFormat="1" applyFont="1" applyFill="1" applyBorder="1" applyAlignment="1">
      <alignment vertical="center"/>
    </xf>
    <xf numFmtId="0" fontId="3" fillId="3393" borderId="3007" xfId="0" applyFont="1" applyFill="1" applyBorder="1" applyAlignment="1">
      <alignment vertical="center"/>
    </xf>
    <xf numFmtId="0" fontId="3" fillId="3394" borderId="3008" xfId="0" applyFont="1" applyFill="1" applyBorder="1" applyAlignment="1">
      <alignment vertical="center"/>
    </xf>
    <xf numFmtId="0" fontId="3" fillId="3396" borderId="3009" xfId="0" applyFont="1" applyFill="1" applyBorder="1" applyAlignment="1">
      <alignment vertical="center"/>
    </xf>
    <xf numFmtId="0" fontId="3" fillId="3397" borderId="3010" xfId="0" applyFont="1" applyFill="1" applyBorder="1" applyAlignment="1">
      <alignment vertical="center"/>
    </xf>
    <xf numFmtId="0" fontId="3" fillId="3398" borderId="3011" xfId="0" applyFont="1" applyFill="1" applyBorder="1" applyAlignment="1">
      <alignment vertical="center"/>
    </xf>
    <xf numFmtId="4" fontId="3" fillId="3399" borderId="3012" xfId="0" applyNumberFormat="1" applyFont="1" applyFill="1" applyBorder="1" applyAlignment="1">
      <alignment vertical="center"/>
    </xf>
    <xf numFmtId="4" fontId="3" fillId="3400" borderId="3013" xfId="0" applyNumberFormat="1" applyFont="1" applyFill="1" applyBorder="1" applyAlignment="1">
      <alignment vertical="center"/>
    </xf>
    <xf numFmtId="4" fontId="3" fillId="3401" borderId="3014" xfId="0" applyNumberFormat="1" applyFont="1" applyFill="1" applyBorder="1" applyAlignment="1">
      <alignment vertical="center"/>
    </xf>
    <xf numFmtId="0" fontId="3" fillId="3402" borderId="3015" xfId="0" applyFont="1" applyFill="1" applyBorder="1" applyAlignment="1">
      <alignment vertical="center"/>
    </xf>
    <xf numFmtId="0" fontId="3" fillId="3403" borderId="3016" xfId="0" applyFont="1" applyFill="1" applyBorder="1" applyAlignment="1">
      <alignment vertical="center"/>
    </xf>
    <xf numFmtId="0" fontId="3" fillId="3405" borderId="3017" xfId="0" applyFont="1" applyFill="1" applyBorder="1" applyAlignment="1">
      <alignment vertical="center"/>
    </xf>
    <xf numFmtId="0" fontId="3" fillId="3406" borderId="3018" xfId="0" applyFont="1" applyFill="1" applyBorder="1" applyAlignment="1">
      <alignment vertical="center"/>
    </xf>
    <xf numFmtId="0" fontId="3" fillId="3407" borderId="3019" xfId="0" applyFont="1" applyFill="1" applyBorder="1" applyAlignment="1">
      <alignment vertical="center"/>
    </xf>
    <xf numFmtId="4" fontId="3" fillId="3408" borderId="3020" xfId="0" applyNumberFormat="1" applyFont="1" applyFill="1" applyBorder="1" applyAlignment="1">
      <alignment vertical="center"/>
    </xf>
    <xf numFmtId="4" fontId="3" fillId="3409" borderId="3021" xfId="0" applyNumberFormat="1" applyFont="1" applyFill="1" applyBorder="1" applyAlignment="1">
      <alignment vertical="center"/>
    </xf>
    <xf numFmtId="4" fontId="3" fillId="3410" borderId="3022" xfId="0" applyNumberFormat="1" applyFont="1" applyFill="1" applyBorder="1" applyAlignment="1">
      <alignment vertical="center"/>
    </xf>
    <xf numFmtId="0" fontId="3" fillId="3411" borderId="3023" xfId="0" applyFont="1" applyFill="1" applyBorder="1" applyAlignment="1">
      <alignment vertical="center"/>
    </xf>
    <xf numFmtId="0" fontId="3" fillId="3412" borderId="3024" xfId="0" applyFont="1" applyFill="1" applyBorder="1" applyAlignment="1">
      <alignment vertical="center"/>
    </xf>
    <xf numFmtId="0" fontId="3" fillId="3414" borderId="3025" xfId="0" applyFont="1" applyFill="1" applyBorder="1" applyAlignment="1">
      <alignment vertical="center"/>
    </xf>
    <xf numFmtId="0" fontId="3" fillId="3415" borderId="3026" xfId="0" applyFont="1" applyFill="1" applyBorder="1" applyAlignment="1">
      <alignment vertical="center"/>
    </xf>
    <xf numFmtId="0" fontId="3" fillId="3416" borderId="3027" xfId="0" applyFont="1" applyFill="1" applyBorder="1" applyAlignment="1">
      <alignment vertical="center"/>
    </xf>
    <xf numFmtId="4" fontId="3" fillId="3417" borderId="3028" xfId="0" applyNumberFormat="1" applyFont="1" applyFill="1" applyBorder="1" applyAlignment="1">
      <alignment vertical="center"/>
    </xf>
    <xf numFmtId="4" fontId="3" fillId="3418" borderId="3029" xfId="0" applyNumberFormat="1" applyFont="1" applyFill="1" applyBorder="1" applyAlignment="1">
      <alignment vertical="center"/>
    </xf>
    <xf numFmtId="4" fontId="3" fillId="3419" borderId="3030" xfId="0" applyNumberFormat="1" applyFont="1" applyFill="1" applyBorder="1" applyAlignment="1">
      <alignment vertical="center"/>
    </xf>
    <xf numFmtId="0" fontId="3" fillId="3420" borderId="3031" xfId="0" applyFont="1" applyFill="1" applyBorder="1" applyAlignment="1">
      <alignment vertical="center"/>
    </xf>
    <xf numFmtId="0" fontId="3" fillId="3421" borderId="3032" xfId="0" applyFont="1" applyFill="1" applyBorder="1" applyAlignment="1">
      <alignment vertical="center"/>
    </xf>
    <xf numFmtId="0" fontId="3" fillId="3423" borderId="3033" xfId="0" applyFont="1" applyFill="1" applyBorder="1" applyAlignment="1">
      <alignment vertical="center"/>
    </xf>
    <xf numFmtId="0" fontId="3" fillId="3424" borderId="3034" xfId="0" applyFont="1" applyFill="1" applyBorder="1" applyAlignment="1">
      <alignment vertical="center"/>
    </xf>
    <xf numFmtId="0" fontId="3" fillId="3425" borderId="3035" xfId="0" applyFont="1" applyFill="1" applyBorder="1" applyAlignment="1">
      <alignment vertical="center"/>
    </xf>
    <xf numFmtId="4" fontId="3" fillId="3426" borderId="3036" xfId="0" applyNumberFormat="1" applyFont="1" applyFill="1" applyBorder="1" applyAlignment="1">
      <alignment vertical="center"/>
    </xf>
    <xf numFmtId="4" fontId="3" fillId="3427" borderId="3037" xfId="0" applyNumberFormat="1" applyFont="1" applyFill="1" applyBorder="1" applyAlignment="1">
      <alignment vertical="center"/>
    </xf>
    <xf numFmtId="4" fontId="3" fillId="3428" borderId="3038" xfId="0" applyNumberFormat="1" applyFont="1" applyFill="1" applyBorder="1" applyAlignment="1">
      <alignment vertical="center"/>
    </xf>
    <xf numFmtId="0" fontId="3" fillId="3429" borderId="3039" xfId="0" applyFont="1" applyFill="1" applyBorder="1" applyAlignment="1">
      <alignment vertical="center"/>
    </xf>
    <xf numFmtId="0" fontId="3" fillId="3430" borderId="3040" xfId="0" applyFont="1" applyFill="1" applyBorder="1" applyAlignment="1">
      <alignment vertical="center"/>
    </xf>
    <xf numFmtId="0" fontId="3" fillId="3432" borderId="3041" xfId="0" applyFont="1" applyFill="1" applyBorder="1" applyAlignment="1">
      <alignment vertical="center"/>
    </xf>
    <xf numFmtId="0" fontId="3" fillId="3433" borderId="3042" xfId="0" applyFont="1" applyFill="1" applyBorder="1" applyAlignment="1">
      <alignment vertical="center"/>
    </xf>
    <xf numFmtId="0" fontId="3" fillId="3434" borderId="3043" xfId="0" applyFont="1" applyFill="1" applyBorder="1" applyAlignment="1">
      <alignment vertical="center"/>
    </xf>
    <xf numFmtId="4" fontId="3" fillId="3435" borderId="3044" xfId="0" applyNumberFormat="1" applyFont="1" applyFill="1" applyBorder="1" applyAlignment="1">
      <alignment vertical="center"/>
    </xf>
    <xf numFmtId="4" fontId="3" fillId="3436" borderId="3045" xfId="0" applyNumberFormat="1" applyFont="1" applyFill="1" applyBorder="1" applyAlignment="1">
      <alignment vertical="center"/>
    </xf>
    <xf numFmtId="4" fontId="3" fillId="3437" borderId="3046" xfId="0" applyNumberFormat="1" applyFont="1" applyFill="1" applyBorder="1" applyAlignment="1">
      <alignment vertical="center"/>
    </xf>
    <xf numFmtId="0" fontId="3" fillId="3438" borderId="3047" xfId="0" applyFont="1" applyFill="1" applyBorder="1" applyAlignment="1">
      <alignment vertical="center"/>
    </xf>
    <xf numFmtId="0" fontId="3" fillId="3439" borderId="3048" xfId="0" applyFont="1" applyFill="1" applyBorder="1" applyAlignment="1">
      <alignment vertical="center"/>
    </xf>
    <xf numFmtId="0" fontId="3" fillId="3441" borderId="3049" xfId="0" applyFont="1" applyFill="1" applyBorder="1" applyAlignment="1">
      <alignment vertical="center"/>
    </xf>
    <xf numFmtId="0" fontId="3" fillId="3442" borderId="3050" xfId="0" applyFont="1" applyFill="1" applyBorder="1" applyAlignment="1">
      <alignment vertical="center"/>
    </xf>
    <xf numFmtId="0" fontId="3" fillId="3443" borderId="3051" xfId="0" applyFont="1" applyFill="1" applyBorder="1" applyAlignment="1">
      <alignment vertical="center"/>
    </xf>
    <xf numFmtId="4" fontId="3" fillId="3444" borderId="3052" xfId="0" applyNumberFormat="1" applyFont="1" applyFill="1" applyBorder="1" applyAlignment="1">
      <alignment vertical="center"/>
    </xf>
    <xf numFmtId="4" fontId="3" fillId="3445" borderId="3053" xfId="0" applyNumberFormat="1" applyFont="1" applyFill="1" applyBorder="1" applyAlignment="1">
      <alignment vertical="center"/>
    </xf>
    <xf numFmtId="4" fontId="3" fillId="3446" borderId="3054" xfId="0" applyNumberFormat="1" applyFont="1" applyFill="1" applyBorder="1" applyAlignment="1">
      <alignment vertical="center"/>
    </xf>
    <xf numFmtId="0" fontId="3" fillId="3447" borderId="3055" xfId="0" applyFont="1" applyFill="1" applyBorder="1" applyAlignment="1">
      <alignment vertical="center"/>
    </xf>
    <xf numFmtId="0" fontId="3" fillId="3448" borderId="3056" xfId="0" applyFont="1" applyFill="1" applyBorder="1" applyAlignment="1">
      <alignment vertical="center"/>
    </xf>
    <xf numFmtId="0" fontId="3" fillId="3450" borderId="3057" xfId="0" applyFont="1" applyFill="1" applyBorder="1" applyAlignment="1">
      <alignment vertical="center"/>
    </xf>
    <xf numFmtId="0" fontId="3" fillId="3451" borderId="3058" xfId="0" applyFont="1" applyFill="1" applyBorder="1" applyAlignment="1">
      <alignment vertical="center"/>
    </xf>
    <xf numFmtId="0" fontId="3" fillId="3452" borderId="3059" xfId="0" applyFont="1" applyFill="1" applyBorder="1" applyAlignment="1">
      <alignment vertical="center"/>
    </xf>
    <xf numFmtId="4" fontId="3" fillId="3453" borderId="3060" xfId="0" applyNumberFormat="1" applyFont="1" applyFill="1" applyBorder="1" applyAlignment="1">
      <alignment vertical="center"/>
    </xf>
    <xf numFmtId="4" fontId="3" fillId="3454" borderId="3061" xfId="0" applyNumberFormat="1" applyFont="1" applyFill="1" applyBorder="1" applyAlignment="1">
      <alignment vertical="center"/>
    </xf>
    <xf numFmtId="4" fontId="3" fillId="3455" borderId="3062" xfId="0" applyNumberFormat="1" applyFont="1" applyFill="1" applyBorder="1" applyAlignment="1">
      <alignment vertical="center"/>
    </xf>
    <xf numFmtId="0" fontId="3" fillId="3456" borderId="3063" xfId="0" applyFont="1" applyFill="1" applyBorder="1" applyAlignment="1">
      <alignment vertical="center"/>
    </xf>
    <xf numFmtId="0" fontId="3" fillId="3457" borderId="3064" xfId="0" applyFont="1" applyFill="1" applyBorder="1" applyAlignment="1">
      <alignment vertical="center"/>
    </xf>
    <xf numFmtId="0" fontId="3" fillId="3459" borderId="3065" xfId="0" applyFont="1" applyFill="1" applyBorder="1" applyAlignment="1">
      <alignment vertical="center"/>
    </xf>
    <xf numFmtId="0" fontId="3" fillId="3460" borderId="3066" xfId="0" applyFont="1" applyFill="1" applyBorder="1" applyAlignment="1">
      <alignment vertical="center"/>
    </xf>
    <xf numFmtId="0" fontId="3" fillId="3461" borderId="3067" xfId="0" applyFont="1" applyFill="1" applyBorder="1" applyAlignment="1">
      <alignment vertical="center"/>
    </xf>
    <xf numFmtId="4" fontId="3" fillId="3462" borderId="3068" xfId="0" applyNumberFormat="1" applyFont="1" applyFill="1" applyBorder="1" applyAlignment="1">
      <alignment vertical="center"/>
    </xf>
    <xf numFmtId="4" fontId="3" fillId="3463" borderId="3069" xfId="0" applyNumberFormat="1" applyFont="1" applyFill="1" applyBorder="1" applyAlignment="1">
      <alignment vertical="center"/>
    </xf>
    <xf numFmtId="4" fontId="3" fillId="3464" borderId="3070" xfId="0" applyNumberFormat="1" applyFont="1" applyFill="1" applyBorder="1" applyAlignment="1">
      <alignment vertical="center"/>
    </xf>
    <xf numFmtId="0" fontId="3" fillId="3465" borderId="3071" xfId="0" applyFont="1" applyFill="1" applyBorder="1" applyAlignment="1">
      <alignment vertical="center"/>
    </xf>
    <xf numFmtId="0" fontId="3" fillId="3466" borderId="3072" xfId="0" applyFont="1" applyFill="1" applyBorder="1" applyAlignment="1">
      <alignment vertical="center"/>
    </xf>
    <xf numFmtId="0" fontId="3" fillId="3468" borderId="3073" xfId="0" applyFont="1" applyFill="1" applyBorder="1" applyAlignment="1">
      <alignment vertical="center"/>
    </xf>
    <xf numFmtId="0" fontId="3" fillId="3469" borderId="3074" xfId="0" applyFont="1" applyFill="1" applyBorder="1" applyAlignment="1">
      <alignment vertical="center"/>
    </xf>
    <xf numFmtId="0" fontId="3" fillId="3470" borderId="3075" xfId="0" applyFont="1" applyFill="1" applyBorder="1" applyAlignment="1">
      <alignment vertical="center"/>
    </xf>
    <xf numFmtId="4" fontId="3" fillId="3471" borderId="3076" xfId="0" applyNumberFormat="1" applyFont="1" applyFill="1" applyBorder="1" applyAlignment="1">
      <alignment vertical="center"/>
    </xf>
    <xf numFmtId="4" fontId="3" fillId="3472" borderId="3077" xfId="0" applyNumberFormat="1" applyFont="1" applyFill="1" applyBorder="1" applyAlignment="1">
      <alignment vertical="center"/>
    </xf>
    <xf numFmtId="4" fontId="3" fillId="3473" borderId="3078" xfId="0" applyNumberFormat="1" applyFont="1" applyFill="1" applyBorder="1" applyAlignment="1">
      <alignment vertical="center"/>
    </xf>
    <xf numFmtId="0" fontId="3" fillId="3474" borderId="3079" xfId="0" applyFont="1" applyFill="1" applyBorder="1" applyAlignment="1">
      <alignment vertical="center"/>
    </xf>
    <xf numFmtId="0" fontId="3" fillId="3475" borderId="3080" xfId="0" applyFont="1" applyFill="1" applyBorder="1" applyAlignment="1">
      <alignment vertical="center"/>
    </xf>
    <xf numFmtId="0" fontId="3" fillId="3477" borderId="3081" xfId="0" applyFont="1" applyFill="1" applyBorder="1" applyAlignment="1">
      <alignment vertical="center"/>
    </xf>
    <xf numFmtId="0" fontId="3" fillId="3478" borderId="3082" xfId="0" applyFont="1" applyFill="1" applyBorder="1" applyAlignment="1">
      <alignment vertical="center"/>
    </xf>
    <xf numFmtId="0" fontId="3" fillId="3479" borderId="3083" xfId="0" applyFont="1" applyFill="1" applyBorder="1" applyAlignment="1">
      <alignment vertical="center"/>
    </xf>
    <xf numFmtId="4" fontId="3" fillId="3480" borderId="3084" xfId="0" applyNumberFormat="1" applyFont="1" applyFill="1" applyBorder="1" applyAlignment="1">
      <alignment vertical="center"/>
    </xf>
    <xf numFmtId="4" fontId="3" fillId="3481" borderId="3085" xfId="0" applyNumberFormat="1" applyFont="1" applyFill="1" applyBorder="1" applyAlignment="1">
      <alignment vertical="center"/>
    </xf>
    <xf numFmtId="4" fontId="3" fillId="3482" borderId="3086" xfId="0" applyNumberFormat="1" applyFont="1" applyFill="1" applyBorder="1" applyAlignment="1">
      <alignment vertical="center"/>
    </xf>
    <xf numFmtId="0" fontId="3" fillId="3483" borderId="3087" xfId="0" applyFont="1" applyFill="1" applyBorder="1" applyAlignment="1">
      <alignment vertical="center"/>
    </xf>
    <xf numFmtId="0" fontId="3" fillId="3484" borderId="3088" xfId="0" applyFont="1" applyFill="1" applyBorder="1" applyAlignment="1">
      <alignment vertical="center"/>
    </xf>
    <xf numFmtId="0" fontId="3" fillId="3486" borderId="3089" xfId="0" applyFont="1" applyFill="1" applyBorder="1" applyAlignment="1">
      <alignment vertical="center"/>
    </xf>
    <xf numFmtId="0" fontId="3" fillId="3487" borderId="3090" xfId="0" applyFont="1" applyFill="1" applyBorder="1" applyAlignment="1">
      <alignment vertical="center"/>
    </xf>
    <xf numFmtId="0" fontId="3" fillId="3488" borderId="3091" xfId="0" applyFont="1" applyFill="1" applyBorder="1" applyAlignment="1">
      <alignment vertical="center"/>
    </xf>
    <xf numFmtId="4" fontId="3" fillId="3489" borderId="3092" xfId="0" applyNumberFormat="1" applyFont="1" applyFill="1" applyBorder="1" applyAlignment="1">
      <alignment vertical="center"/>
    </xf>
    <xf numFmtId="4" fontId="3" fillId="3490" borderId="3093" xfId="0" applyNumberFormat="1" applyFont="1" applyFill="1" applyBorder="1" applyAlignment="1">
      <alignment vertical="center"/>
    </xf>
    <xf numFmtId="4" fontId="3" fillId="3491" borderId="3094" xfId="0" applyNumberFormat="1" applyFont="1" applyFill="1" applyBorder="1" applyAlignment="1">
      <alignment vertical="center"/>
    </xf>
    <xf numFmtId="0" fontId="3" fillId="3492" borderId="3095" xfId="0" applyFont="1" applyFill="1" applyBorder="1" applyAlignment="1">
      <alignment vertical="center"/>
    </xf>
    <xf numFmtId="0" fontId="3" fillId="3493" borderId="3096" xfId="0" applyFont="1" applyFill="1" applyBorder="1" applyAlignment="1">
      <alignment vertical="center"/>
    </xf>
    <xf numFmtId="0" fontId="3" fillId="3495" borderId="3097" xfId="0" applyFont="1" applyFill="1" applyBorder="1" applyAlignment="1">
      <alignment vertical="center"/>
    </xf>
    <xf numFmtId="0" fontId="3" fillId="3496" borderId="3098" xfId="0" applyFont="1" applyFill="1" applyBorder="1" applyAlignment="1">
      <alignment vertical="center"/>
    </xf>
    <xf numFmtId="0" fontId="3" fillId="3497" borderId="3099" xfId="0" applyFont="1" applyFill="1" applyBorder="1" applyAlignment="1">
      <alignment vertical="center"/>
    </xf>
    <xf numFmtId="4" fontId="3" fillId="3498" borderId="3100" xfId="0" applyNumberFormat="1" applyFont="1" applyFill="1" applyBorder="1" applyAlignment="1">
      <alignment vertical="center"/>
    </xf>
    <xf numFmtId="4" fontId="3" fillId="3499" borderId="3101" xfId="0" applyNumberFormat="1" applyFont="1" applyFill="1" applyBorder="1" applyAlignment="1">
      <alignment vertical="center"/>
    </xf>
    <xf numFmtId="4" fontId="3" fillId="3500" borderId="3102" xfId="0" applyNumberFormat="1" applyFont="1" applyFill="1" applyBorder="1" applyAlignment="1">
      <alignment vertical="center"/>
    </xf>
    <xf numFmtId="0" fontId="3" fillId="3501" borderId="3103" xfId="0" applyFont="1" applyFill="1" applyBorder="1" applyAlignment="1">
      <alignment vertical="center"/>
    </xf>
    <xf numFmtId="0" fontId="3" fillId="3502" borderId="3104" xfId="0" applyFont="1" applyFill="1" applyBorder="1" applyAlignment="1">
      <alignment vertical="center"/>
    </xf>
    <xf numFmtId="0" fontId="3" fillId="3504" borderId="3105" xfId="0" applyFont="1" applyFill="1" applyBorder="1" applyAlignment="1">
      <alignment vertical="center"/>
    </xf>
    <xf numFmtId="0" fontId="3" fillId="3505" borderId="3106" xfId="0" applyFont="1" applyFill="1" applyBorder="1" applyAlignment="1">
      <alignment vertical="center"/>
    </xf>
    <xf numFmtId="0" fontId="3" fillId="3506" borderId="3107" xfId="0" applyFont="1" applyFill="1" applyBorder="1" applyAlignment="1">
      <alignment vertical="center"/>
    </xf>
    <xf numFmtId="4" fontId="3" fillId="3507" borderId="3108" xfId="0" applyNumberFormat="1" applyFont="1" applyFill="1" applyBorder="1" applyAlignment="1">
      <alignment vertical="center"/>
    </xf>
    <xf numFmtId="4" fontId="3" fillId="3508" borderId="3109" xfId="0" applyNumberFormat="1" applyFont="1" applyFill="1" applyBorder="1" applyAlignment="1">
      <alignment vertical="center"/>
    </xf>
    <xf numFmtId="4" fontId="3" fillId="3509" borderId="3110" xfId="0" applyNumberFormat="1" applyFont="1" applyFill="1" applyBorder="1" applyAlignment="1">
      <alignment vertical="center"/>
    </xf>
    <xf numFmtId="0" fontId="3" fillId="3510" borderId="3111" xfId="0" applyFont="1" applyFill="1" applyBorder="1" applyAlignment="1">
      <alignment vertical="center"/>
    </xf>
    <xf numFmtId="0" fontId="3" fillId="3511" borderId="3112" xfId="0" applyFont="1" applyFill="1" applyBorder="1" applyAlignment="1">
      <alignment vertical="center"/>
    </xf>
    <xf numFmtId="0" fontId="3" fillId="3513" borderId="3113" xfId="0" applyFont="1" applyFill="1" applyBorder="1" applyAlignment="1">
      <alignment vertical="center"/>
    </xf>
    <xf numFmtId="0" fontId="3" fillId="3514" borderId="3114" xfId="0" applyFont="1" applyFill="1" applyBorder="1" applyAlignment="1">
      <alignment vertical="center"/>
    </xf>
    <xf numFmtId="0" fontId="3" fillId="3515" borderId="3115" xfId="0" applyFont="1" applyFill="1" applyBorder="1" applyAlignment="1">
      <alignment vertical="center"/>
    </xf>
    <xf numFmtId="4" fontId="3" fillId="3516" borderId="3116" xfId="0" applyNumberFormat="1" applyFont="1" applyFill="1" applyBorder="1" applyAlignment="1">
      <alignment vertical="center"/>
    </xf>
    <xf numFmtId="4" fontId="3" fillId="3517" borderId="3117" xfId="0" applyNumberFormat="1" applyFont="1" applyFill="1" applyBorder="1" applyAlignment="1">
      <alignment vertical="center"/>
    </xf>
    <xf numFmtId="4" fontId="3" fillId="3518" borderId="3118" xfId="0" applyNumberFormat="1" applyFont="1" applyFill="1" applyBorder="1" applyAlignment="1">
      <alignment vertical="center"/>
    </xf>
    <xf numFmtId="0" fontId="3" fillId="3519" borderId="3119" xfId="0" applyFont="1" applyFill="1" applyBorder="1" applyAlignment="1">
      <alignment vertical="center"/>
    </xf>
    <xf numFmtId="0" fontId="3" fillId="3520" borderId="3120" xfId="0" applyFont="1" applyFill="1" applyBorder="1" applyAlignment="1">
      <alignment vertical="center"/>
    </xf>
    <xf numFmtId="0" fontId="3" fillId="3522" borderId="3121" xfId="0" applyFont="1" applyFill="1" applyBorder="1" applyAlignment="1">
      <alignment vertical="center"/>
    </xf>
    <xf numFmtId="0" fontId="3" fillId="3523" borderId="3122" xfId="0" applyFont="1" applyFill="1" applyBorder="1" applyAlignment="1">
      <alignment vertical="center"/>
    </xf>
    <xf numFmtId="0" fontId="3" fillId="3524" borderId="3123" xfId="0" applyFont="1" applyFill="1" applyBorder="1" applyAlignment="1">
      <alignment vertical="center"/>
    </xf>
    <xf numFmtId="4" fontId="3" fillId="3525" borderId="3124" xfId="0" applyNumberFormat="1" applyFont="1" applyFill="1" applyBorder="1" applyAlignment="1">
      <alignment vertical="center"/>
    </xf>
    <xf numFmtId="4" fontId="3" fillId="3526" borderId="3125" xfId="0" applyNumberFormat="1" applyFont="1" applyFill="1" applyBorder="1" applyAlignment="1">
      <alignment vertical="center"/>
    </xf>
    <xf numFmtId="4" fontId="3" fillId="3527" borderId="3126" xfId="0" applyNumberFormat="1" applyFont="1" applyFill="1" applyBorder="1" applyAlignment="1">
      <alignment vertical="center"/>
    </xf>
    <xf numFmtId="0" fontId="3" fillId="3528" borderId="3127" xfId="0" applyFont="1" applyFill="1" applyBorder="1" applyAlignment="1">
      <alignment vertical="center"/>
    </xf>
    <xf numFmtId="0" fontId="3" fillId="3529" borderId="3128" xfId="0" applyFont="1" applyFill="1" applyBorder="1" applyAlignment="1">
      <alignment vertical="center"/>
    </xf>
    <xf numFmtId="0" fontId="3" fillId="3531" borderId="3129" xfId="0" applyFont="1" applyFill="1" applyBorder="1" applyAlignment="1">
      <alignment vertical="center"/>
    </xf>
    <xf numFmtId="0" fontId="3" fillId="3532" borderId="3130" xfId="0" applyFont="1" applyFill="1" applyBorder="1" applyAlignment="1">
      <alignment vertical="center"/>
    </xf>
    <xf numFmtId="0" fontId="3" fillId="3533" borderId="3131" xfId="0" applyFont="1" applyFill="1" applyBorder="1" applyAlignment="1">
      <alignment vertical="center"/>
    </xf>
    <xf numFmtId="4" fontId="3" fillId="3534" borderId="3132" xfId="0" applyNumberFormat="1" applyFont="1" applyFill="1" applyBorder="1" applyAlignment="1">
      <alignment vertical="center"/>
    </xf>
    <xf numFmtId="4" fontId="3" fillId="3535" borderId="3133" xfId="0" applyNumberFormat="1" applyFont="1" applyFill="1" applyBorder="1" applyAlignment="1">
      <alignment vertical="center"/>
    </xf>
    <xf numFmtId="4" fontId="3" fillId="3536" borderId="3134" xfId="0" applyNumberFormat="1" applyFont="1" applyFill="1" applyBorder="1" applyAlignment="1">
      <alignment vertical="center"/>
    </xf>
    <xf numFmtId="0" fontId="3" fillId="3537" borderId="3135" xfId="0" applyFont="1" applyFill="1" applyBorder="1" applyAlignment="1">
      <alignment vertical="center"/>
    </xf>
    <xf numFmtId="0" fontId="3" fillId="3538" borderId="3136" xfId="0" applyFont="1" applyFill="1" applyBorder="1" applyAlignment="1">
      <alignment vertical="center"/>
    </xf>
    <xf numFmtId="0" fontId="3" fillId="3540" borderId="3137" xfId="0" applyFont="1" applyFill="1" applyBorder="1" applyAlignment="1">
      <alignment vertical="center"/>
    </xf>
    <xf numFmtId="0" fontId="3" fillId="3541" borderId="3138" xfId="0" applyFont="1" applyFill="1" applyBorder="1" applyAlignment="1">
      <alignment vertical="center"/>
    </xf>
    <xf numFmtId="0" fontId="3" fillId="3542" borderId="3139" xfId="0" applyFont="1" applyFill="1" applyBorder="1" applyAlignment="1">
      <alignment vertical="center"/>
    </xf>
    <xf numFmtId="4" fontId="3" fillId="3543" borderId="3140" xfId="0" applyNumberFormat="1" applyFont="1" applyFill="1" applyBorder="1" applyAlignment="1">
      <alignment vertical="center"/>
    </xf>
    <xf numFmtId="4" fontId="3" fillId="3544" borderId="3141" xfId="0" applyNumberFormat="1" applyFont="1" applyFill="1" applyBorder="1" applyAlignment="1">
      <alignment vertical="center"/>
    </xf>
    <xf numFmtId="4" fontId="3" fillId="3545" borderId="3142" xfId="0" applyNumberFormat="1" applyFont="1" applyFill="1" applyBorder="1" applyAlignment="1">
      <alignment vertical="center"/>
    </xf>
    <xf numFmtId="0" fontId="3" fillId="3546" borderId="3143" xfId="0" applyFont="1" applyFill="1" applyBorder="1" applyAlignment="1">
      <alignment vertical="center"/>
    </xf>
    <xf numFmtId="0" fontId="3" fillId="3547" borderId="3144" xfId="0" applyFont="1" applyFill="1" applyBorder="1" applyAlignment="1">
      <alignment vertical="center"/>
    </xf>
    <xf numFmtId="0" fontId="3" fillId="3549" borderId="3145" xfId="0" applyFont="1" applyFill="1" applyBorder="1" applyAlignment="1">
      <alignment vertical="center"/>
    </xf>
    <xf numFmtId="0" fontId="3" fillId="3550" borderId="3146" xfId="0" applyFont="1" applyFill="1" applyBorder="1" applyAlignment="1">
      <alignment vertical="center"/>
    </xf>
    <xf numFmtId="0" fontId="3" fillId="3551" borderId="3147" xfId="0" applyFont="1" applyFill="1" applyBorder="1" applyAlignment="1">
      <alignment vertical="center"/>
    </xf>
    <xf numFmtId="4" fontId="3" fillId="3552" borderId="3148" xfId="0" applyNumberFormat="1" applyFont="1" applyFill="1" applyBorder="1" applyAlignment="1">
      <alignment vertical="center"/>
    </xf>
    <xf numFmtId="4" fontId="3" fillId="3553" borderId="3149" xfId="0" applyNumberFormat="1" applyFont="1" applyFill="1" applyBorder="1" applyAlignment="1">
      <alignment vertical="center"/>
    </xf>
    <xf numFmtId="4" fontId="3" fillId="3554" borderId="3150" xfId="0" applyNumberFormat="1" applyFont="1" applyFill="1" applyBorder="1" applyAlignment="1">
      <alignment vertical="center"/>
    </xf>
    <xf numFmtId="0" fontId="3" fillId="3555" borderId="3151" xfId="0" applyFont="1" applyFill="1" applyBorder="1" applyAlignment="1">
      <alignment vertical="center"/>
    </xf>
    <xf numFmtId="0" fontId="3" fillId="3556" borderId="3152" xfId="0" applyFont="1" applyFill="1" applyBorder="1" applyAlignment="1">
      <alignment vertical="center"/>
    </xf>
    <xf numFmtId="0" fontId="3" fillId="3558" borderId="3153" xfId="0" applyFont="1" applyFill="1" applyBorder="1" applyAlignment="1">
      <alignment vertical="center"/>
    </xf>
    <xf numFmtId="0" fontId="3" fillId="3559" borderId="3154" xfId="0" applyFont="1" applyFill="1" applyBorder="1" applyAlignment="1">
      <alignment vertical="center"/>
    </xf>
    <xf numFmtId="0" fontId="3" fillId="3560" borderId="3155" xfId="0" applyFont="1" applyFill="1" applyBorder="1" applyAlignment="1">
      <alignment vertical="center"/>
    </xf>
    <xf numFmtId="4" fontId="3" fillId="3561" borderId="3156" xfId="0" applyNumberFormat="1" applyFont="1" applyFill="1" applyBorder="1" applyAlignment="1">
      <alignment vertical="center"/>
    </xf>
    <xf numFmtId="4" fontId="3" fillId="3562" borderId="3157" xfId="0" applyNumberFormat="1" applyFont="1" applyFill="1" applyBorder="1" applyAlignment="1">
      <alignment vertical="center"/>
    </xf>
    <xf numFmtId="4" fontId="3" fillId="3563" borderId="3158" xfId="0" applyNumberFormat="1" applyFont="1" applyFill="1" applyBorder="1" applyAlignment="1">
      <alignment vertical="center"/>
    </xf>
    <xf numFmtId="0" fontId="3" fillId="3564" borderId="3159" xfId="0" applyFont="1" applyFill="1" applyBorder="1" applyAlignment="1">
      <alignment vertical="center"/>
    </xf>
    <xf numFmtId="0" fontId="3" fillId="3565" borderId="3160" xfId="0" applyFont="1" applyFill="1" applyBorder="1" applyAlignment="1">
      <alignment vertical="center"/>
    </xf>
    <xf numFmtId="0" fontId="3" fillId="3567" borderId="3161" xfId="0" applyFont="1" applyFill="1" applyBorder="1" applyAlignment="1">
      <alignment vertical="center"/>
    </xf>
    <xf numFmtId="0" fontId="3" fillId="3568" borderId="3162" xfId="0" applyFont="1" applyFill="1" applyBorder="1" applyAlignment="1">
      <alignment vertical="center"/>
    </xf>
    <xf numFmtId="0" fontId="3" fillId="3569" borderId="3163" xfId="0" applyFont="1" applyFill="1" applyBorder="1" applyAlignment="1">
      <alignment vertical="center"/>
    </xf>
    <xf numFmtId="4" fontId="3" fillId="3570" borderId="3164" xfId="0" applyNumberFormat="1" applyFont="1" applyFill="1" applyBorder="1" applyAlignment="1">
      <alignment vertical="center"/>
    </xf>
    <xf numFmtId="4" fontId="3" fillId="3571" borderId="3165" xfId="0" applyNumberFormat="1" applyFont="1" applyFill="1" applyBorder="1" applyAlignment="1">
      <alignment vertical="center"/>
    </xf>
    <xf numFmtId="4" fontId="3" fillId="3572" borderId="3166" xfId="0" applyNumberFormat="1" applyFont="1" applyFill="1" applyBorder="1" applyAlignment="1">
      <alignment vertical="center"/>
    </xf>
    <xf numFmtId="0" fontId="3" fillId="3573" borderId="3167" xfId="0" applyFont="1" applyFill="1" applyBorder="1" applyAlignment="1">
      <alignment vertical="center"/>
    </xf>
    <xf numFmtId="0" fontId="3" fillId="3574" borderId="3168" xfId="0" applyFont="1" applyFill="1" applyBorder="1" applyAlignment="1">
      <alignment vertical="center"/>
    </xf>
    <xf numFmtId="0" fontId="3" fillId="3576" borderId="3169" xfId="0" applyFont="1" applyFill="1" applyBorder="1" applyAlignment="1">
      <alignment vertical="center"/>
    </xf>
    <xf numFmtId="0" fontId="3" fillId="3577" borderId="3170" xfId="0" applyFont="1" applyFill="1" applyBorder="1" applyAlignment="1">
      <alignment vertical="center"/>
    </xf>
    <xf numFmtId="0" fontId="3" fillId="3578" borderId="3171" xfId="0" applyFont="1" applyFill="1" applyBorder="1" applyAlignment="1">
      <alignment vertical="center"/>
    </xf>
    <xf numFmtId="4" fontId="3" fillId="3579" borderId="3172" xfId="0" applyNumberFormat="1" applyFont="1" applyFill="1" applyBorder="1" applyAlignment="1">
      <alignment vertical="center"/>
    </xf>
    <xf numFmtId="4" fontId="3" fillId="3580" borderId="3173" xfId="0" applyNumberFormat="1" applyFont="1" applyFill="1" applyBorder="1" applyAlignment="1">
      <alignment vertical="center"/>
    </xf>
    <xf numFmtId="4" fontId="3" fillId="3581" borderId="3174" xfId="0" applyNumberFormat="1" applyFont="1" applyFill="1" applyBorder="1" applyAlignment="1">
      <alignment vertical="center"/>
    </xf>
    <xf numFmtId="0" fontId="3" fillId="3582" borderId="3175" xfId="0" applyFont="1" applyFill="1" applyBorder="1" applyAlignment="1">
      <alignment vertical="center"/>
    </xf>
    <xf numFmtId="0" fontId="3" fillId="3583" borderId="3176" xfId="0" applyFont="1" applyFill="1" applyBorder="1" applyAlignment="1">
      <alignment vertical="center"/>
    </xf>
    <xf numFmtId="0" fontId="3" fillId="3585" borderId="3177" xfId="0" applyFont="1" applyFill="1" applyBorder="1" applyAlignment="1">
      <alignment vertical="center"/>
    </xf>
    <xf numFmtId="0" fontId="3" fillId="3586" borderId="3178" xfId="0" applyFont="1" applyFill="1" applyBorder="1" applyAlignment="1">
      <alignment vertical="center"/>
    </xf>
    <xf numFmtId="0" fontId="3" fillId="3587" borderId="3179" xfId="0" applyFont="1" applyFill="1" applyBorder="1" applyAlignment="1">
      <alignment vertical="center"/>
    </xf>
    <xf numFmtId="4" fontId="3" fillId="3588" borderId="3180" xfId="0" applyNumberFormat="1" applyFont="1" applyFill="1" applyBorder="1" applyAlignment="1">
      <alignment vertical="center"/>
    </xf>
    <xf numFmtId="4" fontId="3" fillId="3589" borderId="3181" xfId="0" applyNumberFormat="1" applyFont="1" applyFill="1" applyBorder="1" applyAlignment="1">
      <alignment vertical="center"/>
    </xf>
    <xf numFmtId="4" fontId="3" fillId="3590" borderId="3182" xfId="0" applyNumberFormat="1" applyFont="1" applyFill="1" applyBorder="1" applyAlignment="1">
      <alignment vertical="center"/>
    </xf>
    <xf numFmtId="0" fontId="3" fillId="3591" borderId="3183" xfId="0" applyFont="1" applyFill="1" applyBorder="1" applyAlignment="1">
      <alignment vertical="center"/>
    </xf>
    <xf numFmtId="0" fontId="3" fillId="3592" borderId="3184" xfId="0" applyFont="1" applyFill="1" applyBorder="1" applyAlignment="1">
      <alignment vertical="center"/>
    </xf>
    <xf numFmtId="0" fontId="3" fillId="3594" borderId="3185" xfId="0" applyFont="1" applyFill="1" applyBorder="1" applyAlignment="1">
      <alignment vertical="center"/>
    </xf>
    <xf numFmtId="0" fontId="3" fillId="3595" borderId="3186" xfId="0" applyFont="1" applyFill="1" applyBorder="1" applyAlignment="1">
      <alignment vertical="center"/>
    </xf>
    <xf numFmtId="0" fontId="3" fillId="3596" borderId="3187" xfId="0" applyFont="1" applyFill="1" applyBorder="1" applyAlignment="1">
      <alignment vertical="center"/>
    </xf>
    <xf numFmtId="4" fontId="3" fillId="3597" borderId="3188" xfId="0" applyNumberFormat="1" applyFont="1" applyFill="1" applyBorder="1" applyAlignment="1">
      <alignment vertical="center"/>
    </xf>
    <xf numFmtId="4" fontId="3" fillId="3598" borderId="3189" xfId="0" applyNumberFormat="1" applyFont="1" applyFill="1" applyBorder="1" applyAlignment="1">
      <alignment vertical="center"/>
    </xf>
    <xf numFmtId="4" fontId="3" fillId="3599" borderId="3190" xfId="0" applyNumberFormat="1" applyFont="1" applyFill="1" applyBorder="1" applyAlignment="1">
      <alignment vertical="center"/>
    </xf>
    <xf numFmtId="0" fontId="3" fillId="3600" borderId="3191" xfId="0" applyFont="1" applyFill="1" applyBorder="1" applyAlignment="1">
      <alignment vertical="center"/>
    </xf>
    <xf numFmtId="0" fontId="3" fillId="3601" borderId="3192" xfId="0" applyFont="1" applyFill="1" applyBorder="1" applyAlignment="1">
      <alignment vertical="center"/>
    </xf>
    <xf numFmtId="0" fontId="3" fillId="3603" borderId="3193" xfId="0" applyFont="1" applyFill="1" applyBorder="1" applyAlignment="1">
      <alignment vertical="center"/>
    </xf>
    <xf numFmtId="0" fontId="3" fillId="3604" borderId="3194" xfId="0" applyFont="1" applyFill="1" applyBorder="1" applyAlignment="1">
      <alignment vertical="center"/>
    </xf>
    <xf numFmtId="0" fontId="3" fillId="3605" borderId="3195" xfId="0" applyFont="1" applyFill="1" applyBorder="1" applyAlignment="1">
      <alignment vertical="center"/>
    </xf>
    <xf numFmtId="4" fontId="3" fillId="3606" borderId="3196" xfId="0" applyNumberFormat="1" applyFont="1" applyFill="1" applyBorder="1" applyAlignment="1">
      <alignment vertical="center"/>
    </xf>
    <xf numFmtId="4" fontId="3" fillId="3607" borderId="3197" xfId="0" applyNumberFormat="1" applyFont="1" applyFill="1" applyBorder="1" applyAlignment="1">
      <alignment vertical="center"/>
    </xf>
    <xf numFmtId="4" fontId="3" fillId="3608" borderId="3198" xfId="0" applyNumberFormat="1" applyFont="1" applyFill="1" applyBorder="1" applyAlignment="1">
      <alignment vertical="center"/>
    </xf>
    <xf numFmtId="0" fontId="3" fillId="3609" borderId="3199" xfId="0" applyFont="1" applyFill="1" applyBorder="1" applyAlignment="1">
      <alignment vertical="center"/>
    </xf>
    <xf numFmtId="0" fontId="3" fillId="3610" borderId="3200" xfId="0" applyFont="1" applyFill="1" applyBorder="1" applyAlignment="1">
      <alignment vertical="center"/>
    </xf>
    <xf numFmtId="0" fontId="3" fillId="3612" borderId="3201" xfId="0" applyFont="1" applyFill="1" applyBorder="1" applyAlignment="1">
      <alignment vertical="center"/>
    </xf>
    <xf numFmtId="0" fontId="3" fillId="3613" borderId="3202" xfId="0" applyFont="1" applyFill="1" applyBorder="1" applyAlignment="1">
      <alignment vertical="center"/>
    </xf>
    <xf numFmtId="0" fontId="3" fillId="3614" borderId="3203" xfId="0" applyFont="1" applyFill="1" applyBorder="1" applyAlignment="1">
      <alignment vertical="center"/>
    </xf>
    <xf numFmtId="4" fontId="3" fillId="3615" borderId="3204" xfId="0" applyNumberFormat="1" applyFont="1" applyFill="1" applyBorder="1" applyAlignment="1">
      <alignment vertical="center"/>
    </xf>
    <xf numFmtId="4" fontId="3" fillId="3616" borderId="3205" xfId="0" applyNumberFormat="1" applyFont="1" applyFill="1" applyBorder="1" applyAlignment="1">
      <alignment vertical="center"/>
    </xf>
    <xf numFmtId="4" fontId="3" fillId="3617" borderId="3206" xfId="0" applyNumberFormat="1" applyFont="1" applyFill="1" applyBorder="1" applyAlignment="1">
      <alignment vertical="center"/>
    </xf>
    <xf numFmtId="0" fontId="3" fillId="3618" borderId="3207" xfId="0" applyFont="1" applyFill="1" applyBorder="1" applyAlignment="1">
      <alignment vertical="center"/>
    </xf>
    <xf numFmtId="0" fontId="3" fillId="3619" borderId="3208" xfId="0" applyFont="1" applyFill="1" applyBorder="1" applyAlignment="1">
      <alignment vertical="center"/>
    </xf>
    <xf numFmtId="0" fontId="3" fillId="3621" borderId="3209" xfId="0" applyFont="1" applyFill="1" applyBorder="1" applyAlignment="1">
      <alignment vertical="center"/>
    </xf>
    <xf numFmtId="0" fontId="3" fillId="3622" borderId="3210" xfId="0" applyFont="1" applyFill="1" applyBorder="1" applyAlignment="1">
      <alignment vertical="center"/>
    </xf>
    <xf numFmtId="0" fontId="3" fillId="3623" borderId="3211" xfId="0" applyFont="1" applyFill="1" applyBorder="1" applyAlignment="1">
      <alignment vertical="center"/>
    </xf>
    <xf numFmtId="4" fontId="3" fillId="3624" borderId="3212" xfId="0" applyNumberFormat="1" applyFont="1" applyFill="1" applyBorder="1" applyAlignment="1">
      <alignment vertical="center"/>
    </xf>
    <xf numFmtId="4" fontId="3" fillId="3625" borderId="3213" xfId="0" applyNumberFormat="1" applyFont="1" applyFill="1" applyBorder="1" applyAlignment="1">
      <alignment vertical="center"/>
    </xf>
    <xf numFmtId="4" fontId="3" fillId="3626" borderId="3214" xfId="0" applyNumberFormat="1" applyFont="1" applyFill="1" applyBorder="1" applyAlignment="1">
      <alignment vertical="center"/>
    </xf>
    <xf numFmtId="0" fontId="3" fillId="3627" borderId="3215" xfId="0" applyFont="1" applyFill="1" applyBorder="1" applyAlignment="1">
      <alignment vertical="center"/>
    </xf>
    <xf numFmtId="0" fontId="3" fillId="3628" borderId="3216" xfId="0" applyFont="1" applyFill="1" applyBorder="1" applyAlignment="1">
      <alignment vertical="center"/>
    </xf>
    <xf numFmtId="0" fontId="3" fillId="3630" borderId="3217" xfId="0" applyFont="1" applyFill="1" applyBorder="1" applyAlignment="1">
      <alignment vertical="center"/>
    </xf>
    <xf numFmtId="0" fontId="3" fillId="3631" borderId="3218" xfId="0" applyFont="1" applyFill="1" applyBorder="1" applyAlignment="1">
      <alignment vertical="center"/>
    </xf>
    <xf numFmtId="0" fontId="3" fillId="3632" borderId="3219" xfId="0" applyFont="1" applyFill="1" applyBorder="1" applyAlignment="1">
      <alignment vertical="center"/>
    </xf>
    <xf numFmtId="4" fontId="3" fillId="3633" borderId="3220" xfId="0" applyNumberFormat="1" applyFont="1" applyFill="1" applyBorder="1" applyAlignment="1">
      <alignment vertical="center"/>
    </xf>
    <xf numFmtId="4" fontId="3" fillId="3634" borderId="3221" xfId="0" applyNumberFormat="1" applyFont="1" applyFill="1" applyBorder="1" applyAlignment="1">
      <alignment vertical="center"/>
    </xf>
    <xf numFmtId="4" fontId="3" fillId="3635" borderId="3222" xfId="0" applyNumberFormat="1" applyFont="1" applyFill="1" applyBorder="1" applyAlignment="1">
      <alignment vertical="center"/>
    </xf>
    <xf numFmtId="0" fontId="3" fillId="3636" borderId="3223" xfId="0" applyFont="1" applyFill="1" applyBorder="1" applyAlignment="1">
      <alignment vertical="center"/>
    </xf>
    <xf numFmtId="0" fontId="3" fillId="3637" borderId="3224" xfId="0" applyFont="1" applyFill="1" applyBorder="1" applyAlignment="1">
      <alignment vertical="center"/>
    </xf>
    <xf numFmtId="0" fontId="3" fillId="3639" borderId="3225" xfId="0" applyFont="1" applyFill="1" applyBorder="1" applyAlignment="1">
      <alignment vertical="center"/>
    </xf>
    <xf numFmtId="0" fontId="3" fillId="3640" borderId="3226" xfId="0" applyFont="1" applyFill="1" applyBorder="1" applyAlignment="1">
      <alignment vertical="center"/>
    </xf>
    <xf numFmtId="0" fontId="3" fillId="3641" borderId="3227" xfId="0" applyFont="1" applyFill="1" applyBorder="1" applyAlignment="1">
      <alignment vertical="center"/>
    </xf>
    <xf numFmtId="4" fontId="3" fillId="3642" borderId="3228" xfId="0" applyNumberFormat="1" applyFont="1" applyFill="1" applyBorder="1" applyAlignment="1">
      <alignment vertical="center"/>
    </xf>
    <xf numFmtId="4" fontId="3" fillId="3643" borderId="3229" xfId="0" applyNumberFormat="1" applyFont="1" applyFill="1" applyBorder="1" applyAlignment="1">
      <alignment vertical="center"/>
    </xf>
    <xf numFmtId="4" fontId="3" fillId="3644" borderId="3230" xfId="0" applyNumberFormat="1" applyFont="1" applyFill="1" applyBorder="1" applyAlignment="1">
      <alignment vertical="center"/>
    </xf>
    <xf numFmtId="0" fontId="3" fillId="3645" borderId="3231" xfId="0" applyFont="1" applyFill="1" applyBorder="1" applyAlignment="1">
      <alignment vertical="center"/>
    </xf>
    <xf numFmtId="0" fontId="3" fillId="3646" borderId="3232" xfId="0" applyFont="1" applyFill="1" applyBorder="1" applyAlignment="1">
      <alignment vertical="center"/>
    </xf>
    <xf numFmtId="0" fontId="3" fillId="3648" borderId="3233" xfId="0" applyFont="1" applyFill="1" applyBorder="1" applyAlignment="1">
      <alignment vertical="center"/>
    </xf>
    <xf numFmtId="0" fontId="3" fillId="3649" borderId="3234" xfId="0" applyFont="1" applyFill="1" applyBorder="1" applyAlignment="1">
      <alignment vertical="center"/>
    </xf>
    <xf numFmtId="0" fontId="3" fillId="3650" borderId="3235" xfId="0" applyFont="1" applyFill="1" applyBorder="1" applyAlignment="1">
      <alignment vertical="center"/>
    </xf>
    <xf numFmtId="4" fontId="3" fillId="3651" borderId="3236" xfId="0" applyNumberFormat="1" applyFont="1" applyFill="1" applyBorder="1" applyAlignment="1">
      <alignment vertical="center"/>
    </xf>
    <xf numFmtId="4" fontId="3" fillId="3652" borderId="3237" xfId="0" applyNumberFormat="1" applyFont="1" applyFill="1" applyBorder="1" applyAlignment="1">
      <alignment vertical="center"/>
    </xf>
    <xf numFmtId="4" fontId="3" fillId="3653" borderId="3238" xfId="0" applyNumberFormat="1" applyFont="1" applyFill="1" applyBorder="1" applyAlignment="1">
      <alignment vertical="center"/>
    </xf>
    <xf numFmtId="0" fontId="3" fillId="3654" borderId="3239" xfId="0" applyFont="1" applyFill="1" applyBorder="1" applyAlignment="1">
      <alignment vertical="center"/>
    </xf>
    <xf numFmtId="0" fontId="3" fillId="3655" borderId="3240" xfId="0" applyFont="1" applyFill="1" applyBorder="1" applyAlignment="1">
      <alignment vertical="center"/>
    </xf>
    <xf numFmtId="0" fontId="3" fillId="3657" borderId="3241" xfId="0" applyFont="1" applyFill="1" applyBorder="1" applyAlignment="1">
      <alignment vertical="center"/>
    </xf>
    <xf numFmtId="0" fontId="3" fillId="3658" borderId="3242" xfId="0" applyFont="1" applyFill="1" applyBorder="1" applyAlignment="1">
      <alignment vertical="center"/>
    </xf>
    <xf numFmtId="0" fontId="3" fillId="3659" borderId="3243" xfId="0" applyFont="1" applyFill="1" applyBorder="1" applyAlignment="1">
      <alignment vertical="center"/>
    </xf>
    <xf numFmtId="4" fontId="3" fillId="3660" borderId="3244" xfId="0" applyNumberFormat="1" applyFont="1" applyFill="1" applyBorder="1" applyAlignment="1">
      <alignment vertical="center"/>
    </xf>
    <xf numFmtId="4" fontId="3" fillId="3661" borderId="3245" xfId="0" applyNumberFormat="1" applyFont="1" applyFill="1" applyBorder="1" applyAlignment="1">
      <alignment vertical="center"/>
    </xf>
    <xf numFmtId="4" fontId="3" fillId="3662" borderId="3246" xfId="0" applyNumberFormat="1" applyFont="1" applyFill="1" applyBorder="1" applyAlignment="1">
      <alignment vertical="center"/>
    </xf>
    <xf numFmtId="0" fontId="3" fillId="3663" borderId="3247" xfId="0" applyFont="1" applyFill="1" applyBorder="1" applyAlignment="1">
      <alignment vertical="center"/>
    </xf>
    <xf numFmtId="0" fontId="3" fillId="3664" borderId="3248" xfId="0" applyFont="1" applyFill="1" applyBorder="1" applyAlignment="1">
      <alignment vertical="center"/>
    </xf>
    <xf numFmtId="0" fontId="3" fillId="3666" borderId="3249" xfId="0" applyFont="1" applyFill="1" applyBorder="1" applyAlignment="1">
      <alignment vertical="center"/>
    </xf>
    <xf numFmtId="0" fontId="3" fillId="3667" borderId="3250" xfId="0" applyFont="1" applyFill="1" applyBorder="1" applyAlignment="1">
      <alignment vertical="center"/>
    </xf>
    <xf numFmtId="0" fontId="3" fillId="3668" borderId="3251" xfId="0" applyFont="1" applyFill="1" applyBorder="1" applyAlignment="1">
      <alignment vertical="center"/>
    </xf>
    <xf numFmtId="4" fontId="3" fillId="3669" borderId="3252" xfId="0" applyNumberFormat="1" applyFont="1" applyFill="1" applyBorder="1" applyAlignment="1">
      <alignment vertical="center"/>
    </xf>
    <xf numFmtId="4" fontId="3" fillId="3670" borderId="3253" xfId="0" applyNumberFormat="1" applyFont="1" applyFill="1" applyBorder="1" applyAlignment="1">
      <alignment vertical="center"/>
    </xf>
    <xf numFmtId="4" fontId="3" fillId="3671" borderId="3254" xfId="0" applyNumberFormat="1" applyFont="1" applyFill="1" applyBorder="1" applyAlignment="1">
      <alignment vertical="center"/>
    </xf>
    <xf numFmtId="0" fontId="3" fillId="3672" borderId="3255" xfId="0" applyFont="1" applyFill="1" applyBorder="1" applyAlignment="1">
      <alignment vertical="center"/>
    </xf>
    <xf numFmtId="0" fontId="3" fillId="3673" borderId="3256" xfId="0" applyFont="1" applyFill="1" applyBorder="1" applyAlignment="1">
      <alignment vertical="center"/>
    </xf>
    <xf numFmtId="0" fontId="3" fillId="3675" borderId="3257" xfId="0" applyFont="1" applyFill="1" applyBorder="1" applyAlignment="1">
      <alignment vertical="center"/>
    </xf>
    <xf numFmtId="0" fontId="3" fillId="3676" borderId="3258" xfId="0" applyFont="1" applyFill="1" applyBorder="1" applyAlignment="1">
      <alignment vertical="center"/>
    </xf>
    <xf numFmtId="0" fontId="3" fillId="3677" borderId="3259" xfId="0" applyFont="1" applyFill="1" applyBorder="1" applyAlignment="1">
      <alignment vertical="center"/>
    </xf>
    <xf numFmtId="4" fontId="3" fillId="3678" borderId="3260" xfId="0" applyNumberFormat="1" applyFont="1" applyFill="1" applyBorder="1" applyAlignment="1">
      <alignment vertical="center"/>
    </xf>
    <xf numFmtId="4" fontId="3" fillId="3679" borderId="3261" xfId="0" applyNumberFormat="1" applyFont="1" applyFill="1" applyBorder="1" applyAlignment="1">
      <alignment vertical="center"/>
    </xf>
    <xf numFmtId="4" fontId="3" fillId="3680" borderId="3262" xfId="0" applyNumberFormat="1" applyFont="1" applyFill="1" applyBorder="1" applyAlignment="1">
      <alignment vertical="center"/>
    </xf>
    <xf numFmtId="0" fontId="3" fillId="3681" borderId="3263" xfId="0" applyFont="1" applyFill="1" applyBorder="1" applyAlignment="1">
      <alignment vertical="center"/>
    </xf>
    <xf numFmtId="0" fontId="3" fillId="3682" borderId="3264" xfId="0" applyFont="1" applyFill="1" applyBorder="1" applyAlignment="1">
      <alignment vertical="center"/>
    </xf>
    <xf numFmtId="0" fontId="3" fillId="3684" borderId="3265" xfId="0" applyFont="1" applyFill="1" applyBorder="1" applyAlignment="1">
      <alignment vertical="center"/>
    </xf>
    <xf numFmtId="0" fontId="3" fillId="3685" borderId="3266" xfId="0" applyFont="1" applyFill="1" applyBorder="1" applyAlignment="1">
      <alignment vertical="center"/>
    </xf>
    <xf numFmtId="0" fontId="3" fillId="3686" borderId="3267" xfId="0" applyFont="1" applyFill="1" applyBorder="1" applyAlignment="1">
      <alignment vertical="center"/>
    </xf>
    <xf numFmtId="4" fontId="3" fillId="3687" borderId="3268" xfId="0" applyNumberFormat="1" applyFont="1" applyFill="1" applyBorder="1" applyAlignment="1">
      <alignment vertical="center"/>
    </xf>
    <xf numFmtId="4" fontId="3" fillId="3688" borderId="3269" xfId="0" applyNumberFormat="1" applyFont="1" applyFill="1" applyBorder="1" applyAlignment="1">
      <alignment vertical="center"/>
    </xf>
    <xf numFmtId="4" fontId="3" fillId="3689" borderId="3270" xfId="0" applyNumberFormat="1" applyFont="1" applyFill="1" applyBorder="1" applyAlignment="1">
      <alignment vertical="center"/>
    </xf>
    <xf numFmtId="0" fontId="3" fillId="3690" borderId="3271" xfId="0" applyFont="1" applyFill="1" applyBorder="1" applyAlignment="1">
      <alignment vertical="center"/>
    </xf>
    <xf numFmtId="0" fontId="3" fillId="3691" borderId="3272" xfId="0" applyFont="1" applyFill="1" applyBorder="1" applyAlignment="1">
      <alignment vertical="center"/>
    </xf>
    <xf numFmtId="0" fontId="3" fillId="3693" borderId="3273" xfId="0" applyFont="1" applyFill="1" applyBorder="1" applyAlignment="1">
      <alignment vertical="center"/>
    </xf>
    <xf numFmtId="0" fontId="3" fillId="3694" borderId="3274" xfId="0" applyFont="1" applyFill="1" applyBorder="1" applyAlignment="1">
      <alignment vertical="center"/>
    </xf>
    <xf numFmtId="0" fontId="3" fillId="3695" borderId="3275" xfId="0" applyFont="1" applyFill="1" applyBorder="1" applyAlignment="1">
      <alignment vertical="center"/>
    </xf>
    <xf numFmtId="4" fontId="3" fillId="3696" borderId="3276" xfId="0" applyNumberFormat="1" applyFont="1" applyFill="1" applyBorder="1" applyAlignment="1">
      <alignment vertical="center"/>
    </xf>
    <xf numFmtId="4" fontId="3" fillId="3697" borderId="3277" xfId="0" applyNumberFormat="1" applyFont="1" applyFill="1" applyBorder="1" applyAlignment="1">
      <alignment vertical="center"/>
    </xf>
    <xf numFmtId="4" fontId="3" fillId="3698" borderId="3278" xfId="0" applyNumberFormat="1" applyFont="1" applyFill="1" applyBorder="1" applyAlignment="1">
      <alignment vertical="center"/>
    </xf>
    <xf numFmtId="0" fontId="3" fillId="3699" borderId="3279" xfId="0" applyFont="1" applyFill="1" applyBorder="1" applyAlignment="1">
      <alignment vertical="center"/>
    </xf>
    <xf numFmtId="0" fontId="3" fillId="3700" borderId="3280" xfId="0" applyFont="1" applyFill="1" applyBorder="1" applyAlignment="1">
      <alignment vertical="center"/>
    </xf>
    <xf numFmtId="0" fontId="3" fillId="3702" borderId="3281" xfId="0" applyFont="1" applyFill="1" applyBorder="1" applyAlignment="1">
      <alignment vertical="center"/>
    </xf>
    <xf numFmtId="0" fontId="3" fillId="3703" borderId="3282" xfId="0" applyFont="1" applyFill="1" applyBorder="1" applyAlignment="1">
      <alignment vertical="center"/>
    </xf>
    <xf numFmtId="0" fontId="3" fillId="3704" borderId="3283" xfId="0" applyFont="1" applyFill="1" applyBorder="1" applyAlignment="1">
      <alignment vertical="center"/>
    </xf>
    <xf numFmtId="4" fontId="3" fillId="3705" borderId="3284" xfId="0" applyNumberFormat="1" applyFont="1" applyFill="1" applyBorder="1" applyAlignment="1">
      <alignment vertical="center"/>
    </xf>
    <xf numFmtId="4" fontId="3" fillId="3706" borderId="3285" xfId="0" applyNumberFormat="1" applyFont="1" applyFill="1" applyBorder="1" applyAlignment="1">
      <alignment vertical="center"/>
    </xf>
    <xf numFmtId="4" fontId="3" fillId="3707" borderId="3286" xfId="0" applyNumberFormat="1" applyFont="1" applyFill="1" applyBorder="1" applyAlignment="1">
      <alignment vertical="center"/>
    </xf>
    <xf numFmtId="0" fontId="3" fillId="3708" borderId="3287" xfId="0" applyFont="1" applyFill="1" applyBorder="1" applyAlignment="1">
      <alignment vertical="center"/>
    </xf>
    <xf numFmtId="0" fontId="3" fillId="3709" borderId="3288" xfId="0" applyFont="1" applyFill="1" applyBorder="1" applyAlignment="1">
      <alignment vertical="center"/>
    </xf>
    <xf numFmtId="0" fontId="3" fillId="3711" borderId="3289" xfId="0" applyFont="1" applyFill="1" applyBorder="1" applyAlignment="1">
      <alignment vertical="center"/>
    </xf>
    <xf numFmtId="0" fontId="3" fillId="3712" borderId="3290" xfId="0" applyFont="1" applyFill="1" applyBorder="1" applyAlignment="1">
      <alignment vertical="center"/>
    </xf>
    <xf numFmtId="0" fontId="3" fillId="3713" borderId="3291" xfId="0" applyFont="1" applyFill="1" applyBorder="1" applyAlignment="1">
      <alignment vertical="center"/>
    </xf>
    <xf numFmtId="4" fontId="3" fillId="3714" borderId="3292" xfId="0" applyNumberFormat="1" applyFont="1" applyFill="1" applyBorder="1" applyAlignment="1">
      <alignment vertical="center"/>
    </xf>
    <xf numFmtId="4" fontId="3" fillId="3715" borderId="3293" xfId="0" applyNumberFormat="1" applyFont="1" applyFill="1" applyBorder="1" applyAlignment="1">
      <alignment vertical="center"/>
    </xf>
    <xf numFmtId="4" fontId="3" fillId="3716" borderId="3294" xfId="0" applyNumberFormat="1" applyFont="1" applyFill="1" applyBorder="1" applyAlignment="1">
      <alignment vertical="center"/>
    </xf>
    <xf numFmtId="0" fontId="3" fillId="3717" borderId="3295" xfId="0" applyFont="1" applyFill="1" applyBorder="1" applyAlignment="1">
      <alignment vertical="center"/>
    </xf>
    <xf numFmtId="0" fontId="3" fillId="3718" borderId="3296" xfId="0" applyFont="1" applyFill="1" applyBorder="1" applyAlignment="1">
      <alignment vertical="center"/>
    </xf>
    <xf numFmtId="0" fontId="3" fillId="3720" borderId="3297" xfId="0" applyFont="1" applyFill="1" applyBorder="1" applyAlignment="1">
      <alignment vertical="center"/>
    </xf>
    <xf numFmtId="0" fontId="3" fillId="3721" borderId="3298" xfId="0" applyFont="1" applyFill="1" applyBorder="1" applyAlignment="1">
      <alignment vertical="center"/>
    </xf>
    <xf numFmtId="0" fontId="3" fillId="3722" borderId="3299" xfId="0" applyFont="1" applyFill="1" applyBorder="1" applyAlignment="1">
      <alignment vertical="center"/>
    </xf>
    <xf numFmtId="4" fontId="3" fillId="3723" borderId="3300" xfId="0" applyNumberFormat="1" applyFont="1" applyFill="1" applyBorder="1" applyAlignment="1">
      <alignment vertical="center"/>
    </xf>
    <xf numFmtId="4" fontId="3" fillId="3724" borderId="3301" xfId="0" applyNumberFormat="1" applyFont="1" applyFill="1" applyBorder="1" applyAlignment="1">
      <alignment vertical="center"/>
    </xf>
    <xf numFmtId="4" fontId="3" fillId="3725" borderId="3302" xfId="0" applyNumberFormat="1" applyFont="1" applyFill="1" applyBorder="1" applyAlignment="1">
      <alignment vertical="center"/>
    </xf>
    <xf numFmtId="0" fontId="3" fillId="3726" borderId="3303" xfId="0" applyFont="1" applyFill="1" applyBorder="1" applyAlignment="1">
      <alignment vertical="center"/>
    </xf>
    <xf numFmtId="0" fontId="3" fillId="3727" borderId="3304" xfId="0" applyFont="1" applyFill="1" applyBorder="1" applyAlignment="1">
      <alignment vertical="center"/>
    </xf>
    <xf numFmtId="0" fontId="3" fillId="3729" borderId="3305" xfId="0" applyFont="1" applyFill="1" applyBorder="1" applyAlignment="1">
      <alignment vertical="center"/>
    </xf>
    <xf numFmtId="0" fontId="3" fillId="3730" borderId="3306" xfId="0" applyFont="1" applyFill="1" applyBorder="1" applyAlignment="1">
      <alignment vertical="center"/>
    </xf>
    <xf numFmtId="0" fontId="3" fillId="3731" borderId="3307" xfId="0" applyFont="1" applyFill="1" applyBorder="1" applyAlignment="1">
      <alignment vertical="center"/>
    </xf>
    <xf numFmtId="4" fontId="3" fillId="3732" borderId="3308" xfId="0" applyNumberFormat="1" applyFont="1" applyFill="1" applyBorder="1" applyAlignment="1">
      <alignment vertical="center"/>
    </xf>
    <xf numFmtId="4" fontId="3" fillId="3733" borderId="3309" xfId="0" applyNumberFormat="1" applyFont="1" applyFill="1" applyBorder="1" applyAlignment="1">
      <alignment vertical="center"/>
    </xf>
    <xf numFmtId="4" fontId="3" fillId="3734" borderId="3310" xfId="0" applyNumberFormat="1" applyFont="1" applyFill="1" applyBorder="1" applyAlignment="1">
      <alignment vertical="center"/>
    </xf>
    <xf numFmtId="0" fontId="3" fillId="3735" borderId="3311" xfId="0" applyFont="1" applyFill="1" applyBorder="1" applyAlignment="1">
      <alignment vertical="center"/>
    </xf>
    <xf numFmtId="0" fontId="3" fillId="3736" borderId="3312" xfId="0" applyFont="1" applyFill="1" applyBorder="1" applyAlignment="1">
      <alignment vertical="center"/>
    </xf>
    <xf numFmtId="0" fontId="3" fillId="3738" borderId="3313" xfId="0" applyFont="1" applyFill="1" applyBorder="1" applyAlignment="1">
      <alignment vertical="center"/>
    </xf>
    <xf numFmtId="0" fontId="3" fillId="3739" borderId="3314" xfId="0" applyFont="1" applyFill="1" applyBorder="1" applyAlignment="1">
      <alignment vertical="center"/>
    </xf>
    <xf numFmtId="0" fontId="3" fillId="3740" borderId="3315" xfId="0" applyFont="1" applyFill="1" applyBorder="1" applyAlignment="1">
      <alignment vertical="center"/>
    </xf>
    <xf numFmtId="4" fontId="3" fillId="3741" borderId="3316" xfId="0" applyNumberFormat="1" applyFont="1" applyFill="1" applyBorder="1" applyAlignment="1">
      <alignment vertical="center"/>
    </xf>
    <xf numFmtId="4" fontId="3" fillId="3742" borderId="3317" xfId="0" applyNumberFormat="1" applyFont="1" applyFill="1" applyBorder="1" applyAlignment="1">
      <alignment vertical="center"/>
    </xf>
    <xf numFmtId="4" fontId="3" fillId="3743" borderId="3318" xfId="0" applyNumberFormat="1" applyFont="1" applyFill="1" applyBorder="1" applyAlignment="1">
      <alignment vertical="center"/>
    </xf>
    <xf numFmtId="0" fontId="3" fillId="3744" borderId="3319" xfId="0" applyFont="1" applyFill="1" applyBorder="1" applyAlignment="1">
      <alignment vertical="center"/>
    </xf>
    <xf numFmtId="0" fontId="3" fillId="3745" borderId="3320" xfId="0" applyFont="1" applyFill="1" applyBorder="1" applyAlignment="1">
      <alignment vertical="center"/>
    </xf>
    <xf numFmtId="0" fontId="3" fillId="3747" borderId="3321" xfId="0" applyFont="1" applyFill="1" applyBorder="1" applyAlignment="1">
      <alignment vertical="center"/>
    </xf>
    <xf numFmtId="0" fontId="3" fillId="3748" borderId="3322" xfId="0" applyFont="1" applyFill="1" applyBorder="1" applyAlignment="1">
      <alignment vertical="center"/>
    </xf>
    <xf numFmtId="0" fontId="3" fillId="3749" borderId="3323" xfId="0" applyFont="1" applyFill="1" applyBorder="1" applyAlignment="1">
      <alignment vertical="center"/>
    </xf>
    <xf numFmtId="4" fontId="3" fillId="3750" borderId="3324" xfId="0" applyNumberFormat="1" applyFont="1" applyFill="1" applyBorder="1" applyAlignment="1">
      <alignment vertical="center"/>
    </xf>
    <xf numFmtId="4" fontId="3" fillId="3751" borderId="3325" xfId="0" applyNumberFormat="1" applyFont="1" applyFill="1" applyBorder="1" applyAlignment="1">
      <alignment vertical="center"/>
    </xf>
    <xf numFmtId="4" fontId="3" fillId="3752" borderId="3326" xfId="0" applyNumberFormat="1" applyFont="1" applyFill="1" applyBorder="1" applyAlignment="1">
      <alignment vertical="center"/>
    </xf>
    <xf numFmtId="0" fontId="3" fillId="3753" borderId="3327" xfId="0" applyFont="1" applyFill="1" applyBorder="1" applyAlignment="1">
      <alignment vertical="center"/>
    </xf>
    <xf numFmtId="0" fontId="3" fillId="3754" borderId="3328" xfId="0" applyFont="1" applyFill="1" applyBorder="1" applyAlignment="1">
      <alignment vertical="center"/>
    </xf>
    <xf numFmtId="0" fontId="3" fillId="3756" borderId="3329" xfId="0" applyFont="1" applyFill="1" applyBorder="1" applyAlignment="1">
      <alignment vertical="center"/>
    </xf>
    <xf numFmtId="0" fontId="3" fillId="3757" borderId="3330" xfId="0" applyFont="1" applyFill="1" applyBorder="1" applyAlignment="1">
      <alignment vertical="center"/>
    </xf>
    <xf numFmtId="0" fontId="3" fillId="3758" borderId="3331" xfId="0" applyFont="1" applyFill="1" applyBorder="1" applyAlignment="1">
      <alignment vertical="center"/>
    </xf>
    <xf numFmtId="4" fontId="3" fillId="3759" borderId="3332" xfId="0" applyNumberFormat="1" applyFont="1" applyFill="1" applyBorder="1" applyAlignment="1">
      <alignment vertical="center"/>
    </xf>
    <xf numFmtId="4" fontId="3" fillId="3760" borderId="3333" xfId="0" applyNumberFormat="1" applyFont="1" applyFill="1" applyBorder="1" applyAlignment="1">
      <alignment vertical="center"/>
    </xf>
    <xf numFmtId="4" fontId="3" fillId="3761" borderId="3334" xfId="0" applyNumberFormat="1" applyFont="1" applyFill="1" applyBorder="1" applyAlignment="1">
      <alignment vertical="center"/>
    </xf>
    <xf numFmtId="0" fontId="3" fillId="3762" borderId="3335" xfId="0" applyFont="1" applyFill="1" applyBorder="1" applyAlignment="1">
      <alignment vertical="center"/>
    </xf>
    <xf numFmtId="0" fontId="3" fillId="3763" borderId="3336" xfId="0" applyFont="1" applyFill="1" applyBorder="1" applyAlignment="1">
      <alignment vertical="center"/>
    </xf>
    <xf numFmtId="0" fontId="3" fillId="3765" borderId="3337" xfId="0" applyFont="1" applyFill="1" applyBorder="1" applyAlignment="1">
      <alignment vertical="center"/>
    </xf>
    <xf numFmtId="0" fontId="3" fillId="3766" borderId="3338" xfId="0" applyFont="1" applyFill="1" applyBorder="1" applyAlignment="1">
      <alignment vertical="center"/>
    </xf>
    <xf numFmtId="0" fontId="3" fillId="3767" borderId="3339" xfId="0" applyFont="1" applyFill="1" applyBorder="1" applyAlignment="1">
      <alignment vertical="center"/>
    </xf>
    <xf numFmtId="4" fontId="3" fillId="3768" borderId="3340" xfId="0" applyNumberFormat="1" applyFont="1" applyFill="1" applyBorder="1" applyAlignment="1">
      <alignment vertical="center"/>
    </xf>
    <xf numFmtId="4" fontId="3" fillId="3769" borderId="3341" xfId="0" applyNumberFormat="1" applyFont="1" applyFill="1" applyBorder="1" applyAlignment="1">
      <alignment vertical="center"/>
    </xf>
    <xf numFmtId="4" fontId="3" fillId="3770" borderId="3342" xfId="0" applyNumberFormat="1" applyFont="1" applyFill="1" applyBorder="1" applyAlignment="1">
      <alignment vertical="center"/>
    </xf>
    <xf numFmtId="0" fontId="3" fillId="3771" borderId="3343" xfId="0" applyFont="1" applyFill="1" applyBorder="1" applyAlignment="1">
      <alignment vertical="center"/>
    </xf>
    <xf numFmtId="0" fontId="3" fillId="3772" borderId="3344" xfId="0" applyFont="1" applyFill="1" applyBorder="1" applyAlignment="1">
      <alignment vertical="center"/>
    </xf>
    <xf numFmtId="0" fontId="3" fillId="3774" borderId="3345" xfId="0" applyFont="1" applyFill="1" applyBorder="1" applyAlignment="1">
      <alignment vertical="center"/>
    </xf>
    <xf numFmtId="0" fontId="3" fillId="3775" borderId="3346" xfId="0" applyFont="1" applyFill="1" applyBorder="1" applyAlignment="1">
      <alignment vertical="center"/>
    </xf>
    <xf numFmtId="0" fontId="3" fillId="3776" borderId="3347" xfId="0" applyFont="1" applyFill="1" applyBorder="1" applyAlignment="1">
      <alignment vertical="center"/>
    </xf>
    <xf numFmtId="4" fontId="3" fillId="3777" borderId="3348" xfId="0" applyNumberFormat="1" applyFont="1" applyFill="1" applyBorder="1" applyAlignment="1">
      <alignment vertical="center"/>
    </xf>
    <xf numFmtId="4" fontId="3" fillId="3778" borderId="3349" xfId="0" applyNumberFormat="1" applyFont="1" applyFill="1" applyBorder="1" applyAlignment="1">
      <alignment vertical="center"/>
    </xf>
    <xf numFmtId="4" fontId="3" fillId="3779" borderId="3350" xfId="0" applyNumberFormat="1" applyFont="1" applyFill="1" applyBorder="1" applyAlignment="1">
      <alignment vertical="center"/>
    </xf>
    <xf numFmtId="0" fontId="3" fillId="3780" borderId="3351" xfId="0" applyFont="1" applyFill="1" applyBorder="1" applyAlignment="1">
      <alignment vertical="center"/>
    </xf>
    <xf numFmtId="0" fontId="3" fillId="3781" borderId="3352" xfId="0" applyFont="1" applyFill="1" applyBorder="1" applyAlignment="1">
      <alignment vertical="center"/>
    </xf>
    <xf numFmtId="0" fontId="3" fillId="3783" borderId="3353" xfId="0" applyFont="1" applyFill="1" applyBorder="1" applyAlignment="1">
      <alignment vertical="center"/>
    </xf>
    <xf numFmtId="0" fontId="3" fillId="3784" borderId="3354" xfId="0" applyFont="1" applyFill="1" applyBorder="1" applyAlignment="1">
      <alignment vertical="center"/>
    </xf>
    <xf numFmtId="0" fontId="3" fillId="3785" borderId="3355" xfId="0" applyFont="1" applyFill="1" applyBorder="1" applyAlignment="1">
      <alignment vertical="center"/>
    </xf>
    <xf numFmtId="4" fontId="3" fillId="3786" borderId="3356" xfId="0" applyNumberFormat="1" applyFont="1" applyFill="1" applyBorder="1" applyAlignment="1">
      <alignment vertical="center"/>
    </xf>
    <xf numFmtId="4" fontId="3" fillId="3787" borderId="3357" xfId="0" applyNumberFormat="1" applyFont="1" applyFill="1" applyBorder="1" applyAlignment="1">
      <alignment vertical="center"/>
    </xf>
    <xf numFmtId="4" fontId="3" fillId="3788" borderId="3358" xfId="0" applyNumberFormat="1" applyFont="1" applyFill="1" applyBorder="1" applyAlignment="1">
      <alignment vertical="center"/>
    </xf>
    <xf numFmtId="0" fontId="3" fillId="3789" borderId="3359" xfId="0" applyFont="1" applyFill="1" applyBorder="1" applyAlignment="1">
      <alignment vertical="center"/>
    </xf>
    <xf numFmtId="0" fontId="3" fillId="3790" borderId="3360" xfId="0" applyFont="1" applyFill="1" applyBorder="1" applyAlignment="1">
      <alignment vertical="center"/>
    </xf>
    <xf numFmtId="0" fontId="3" fillId="3792" borderId="3361" xfId="0" applyFont="1" applyFill="1" applyBorder="1" applyAlignment="1">
      <alignment vertical="center"/>
    </xf>
    <xf numFmtId="0" fontId="3" fillId="3794" borderId="3363" xfId="0" applyFont="1" applyFill="1" applyBorder="1" applyAlignment="1">
      <alignment vertical="center"/>
    </xf>
    <xf numFmtId="4" fontId="3" fillId="3795" borderId="3364" xfId="0" applyNumberFormat="1" applyFont="1" applyFill="1" applyBorder="1" applyAlignment="1">
      <alignment vertical="center"/>
    </xf>
    <xf numFmtId="4" fontId="3" fillId="3796" borderId="3365" xfId="0" applyNumberFormat="1" applyFont="1" applyFill="1" applyBorder="1" applyAlignment="1">
      <alignment vertical="center"/>
    </xf>
    <xf numFmtId="4" fontId="3" fillId="3797" borderId="3366" xfId="0" applyNumberFormat="1" applyFont="1" applyFill="1" applyBorder="1" applyAlignment="1">
      <alignment vertical="center"/>
    </xf>
    <xf numFmtId="0" fontId="3" fillId="3798" borderId="3367" xfId="0" applyFont="1" applyFill="1" applyBorder="1" applyAlignment="1">
      <alignment vertical="center"/>
    </xf>
    <xf numFmtId="0" fontId="3" fillId="3799" borderId="3368" xfId="0" applyFont="1" applyFill="1" applyBorder="1" applyAlignment="1">
      <alignment vertical="center"/>
    </xf>
    <xf numFmtId="0" fontId="3" fillId="3801" borderId="3369" xfId="0" applyFont="1" applyFill="1" applyBorder="1" applyAlignment="1">
      <alignment vertical="center"/>
    </xf>
    <xf numFmtId="0" fontId="3" fillId="3802" borderId="3370" xfId="0" applyFont="1" applyFill="1" applyBorder="1" applyAlignment="1">
      <alignment vertical="center"/>
    </xf>
    <xf numFmtId="0" fontId="3" fillId="3803" borderId="3371" xfId="0" applyFont="1" applyFill="1" applyBorder="1" applyAlignment="1">
      <alignment vertical="center"/>
    </xf>
    <xf numFmtId="4" fontId="3" fillId="3804" borderId="3372" xfId="0" applyNumberFormat="1" applyFont="1" applyFill="1" applyBorder="1" applyAlignment="1">
      <alignment vertical="center"/>
    </xf>
    <xf numFmtId="4" fontId="3" fillId="3805" borderId="3373" xfId="0" applyNumberFormat="1" applyFont="1" applyFill="1" applyBorder="1" applyAlignment="1">
      <alignment vertical="center"/>
    </xf>
    <xf numFmtId="4" fontId="3" fillId="3806" borderId="3374" xfId="0" applyNumberFormat="1" applyFont="1" applyFill="1" applyBorder="1" applyAlignment="1">
      <alignment vertical="center"/>
    </xf>
    <xf numFmtId="0" fontId="3" fillId="3807" borderId="3375" xfId="0" applyFont="1" applyFill="1" applyBorder="1" applyAlignment="1">
      <alignment vertical="center"/>
    </xf>
    <xf numFmtId="0" fontId="3" fillId="3808" borderId="3376" xfId="0" applyFont="1" applyFill="1" applyBorder="1" applyAlignment="1">
      <alignment vertical="center"/>
    </xf>
    <xf numFmtId="0" fontId="3" fillId="3810" borderId="3377" xfId="0" applyFont="1" applyFill="1" applyBorder="1" applyAlignment="1">
      <alignment vertical="center"/>
    </xf>
    <xf numFmtId="0" fontId="3" fillId="3811" borderId="3378" xfId="0" applyFont="1" applyFill="1" applyBorder="1" applyAlignment="1">
      <alignment vertical="center"/>
    </xf>
    <xf numFmtId="0" fontId="3" fillId="3812" borderId="3379" xfId="0" applyFont="1" applyFill="1" applyBorder="1" applyAlignment="1">
      <alignment vertical="center"/>
    </xf>
    <xf numFmtId="4" fontId="3" fillId="3813" borderId="3380" xfId="0" applyNumberFormat="1" applyFont="1" applyFill="1" applyBorder="1" applyAlignment="1">
      <alignment vertical="center"/>
    </xf>
    <xf numFmtId="4" fontId="3" fillId="3814" borderId="3381" xfId="0" applyNumberFormat="1" applyFont="1" applyFill="1" applyBorder="1" applyAlignment="1">
      <alignment vertical="center"/>
    </xf>
    <xf numFmtId="4" fontId="3" fillId="3815" borderId="3382" xfId="0" applyNumberFormat="1" applyFont="1" applyFill="1" applyBorder="1" applyAlignment="1">
      <alignment vertical="center"/>
    </xf>
    <xf numFmtId="0" fontId="3" fillId="3816" borderId="3383" xfId="0" applyFont="1" applyFill="1" applyBorder="1" applyAlignment="1">
      <alignment vertical="center"/>
    </xf>
    <xf numFmtId="0" fontId="3" fillId="3817" borderId="3384" xfId="0" applyFont="1" applyFill="1" applyBorder="1" applyAlignment="1">
      <alignment vertical="center"/>
    </xf>
    <xf numFmtId="0" fontId="3" fillId="3819" borderId="3385" xfId="0" applyFont="1" applyFill="1" applyBorder="1" applyAlignment="1">
      <alignment vertical="center"/>
    </xf>
    <xf numFmtId="0" fontId="3" fillId="3820" borderId="3386" xfId="0" applyFont="1" applyFill="1" applyBorder="1" applyAlignment="1">
      <alignment vertical="center"/>
    </xf>
    <xf numFmtId="0" fontId="3" fillId="3821" borderId="3387" xfId="0" applyFont="1" applyFill="1" applyBorder="1" applyAlignment="1">
      <alignment vertical="center"/>
    </xf>
    <xf numFmtId="4" fontId="3" fillId="3822" borderId="3388" xfId="0" applyNumberFormat="1" applyFont="1" applyFill="1" applyBorder="1" applyAlignment="1">
      <alignment vertical="center"/>
    </xf>
    <xf numFmtId="4" fontId="3" fillId="3823" borderId="3389" xfId="0" applyNumberFormat="1" applyFont="1" applyFill="1" applyBorder="1" applyAlignment="1">
      <alignment vertical="center"/>
    </xf>
    <xf numFmtId="4" fontId="3" fillId="3824" borderId="3390" xfId="0" applyNumberFormat="1" applyFont="1" applyFill="1" applyBorder="1" applyAlignment="1">
      <alignment vertical="center"/>
    </xf>
    <xf numFmtId="0" fontId="3" fillId="3825" borderId="3391" xfId="0" applyFont="1" applyFill="1" applyBorder="1" applyAlignment="1">
      <alignment vertical="center"/>
    </xf>
    <xf numFmtId="0" fontId="3" fillId="3826" borderId="3392" xfId="0" applyFont="1" applyFill="1" applyBorder="1" applyAlignment="1">
      <alignment vertical="center"/>
    </xf>
    <xf numFmtId="0" fontId="3" fillId="3828" borderId="3393" xfId="0" applyFont="1" applyFill="1" applyBorder="1" applyAlignment="1">
      <alignment vertical="center"/>
    </xf>
    <xf numFmtId="0" fontId="3" fillId="3829" borderId="3394" xfId="0" applyFont="1" applyFill="1" applyBorder="1" applyAlignment="1">
      <alignment vertical="center"/>
    </xf>
    <xf numFmtId="0" fontId="3" fillId="3830" borderId="3395" xfId="0" applyFont="1" applyFill="1" applyBorder="1" applyAlignment="1">
      <alignment vertical="center"/>
    </xf>
    <xf numFmtId="4" fontId="3" fillId="3831" borderId="3396" xfId="0" applyNumberFormat="1" applyFont="1" applyFill="1" applyBorder="1" applyAlignment="1">
      <alignment vertical="center"/>
    </xf>
    <xf numFmtId="4" fontId="3" fillId="3832" borderId="3397" xfId="0" applyNumberFormat="1" applyFont="1" applyFill="1" applyBorder="1" applyAlignment="1">
      <alignment vertical="center"/>
    </xf>
    <xf numFmtId="4" fontId="3" fillId="3833" borderId="3398" xfId="0" applyNumberFormat="1" applyFont="1" applyFill="1" applyBorder="1" applyAlignment="1">
      <alignment vertical="center"/>
    </xf>
    <xf numFmtId="0" fontId="3" fillId="3834" borderId="3399" xfId="0" applyFont="1" applyFill="1" applyBorder="1" applyAlignment="1">
      <alignment vertical="center"/>
    </xf>
    <xf numFmtId="0" fontId="3" fillId="3835" borderId="3400" xfId="0" applyFont="1" applyFill="1" applyBorder="1" applyAlignment="1">
      <alignment vertical="center"/>
    </xf>
    <xf numFmtId="0" fontId="3" fillId="3837" borderId="3401" xfId="0" applyFont="1" applyFill="1" applyBorder="1" applyAlignment="1">
      <alignment vertical="center"/>
    </xf>
    <xf numFmtId="0" fontId="3" fillId="3838" borderId="3402" xfId="0" applyFont="1" applyFill="1" applyBorder="1" applyAlignment="1">
      <alignment vertical="center"/>
    </xf>
    <xf numFmtId="0" fontId="3" fillId="3839" borderId="3403" xfId="0" applyFont="1" applyFill="1" applyBorder="1" applyAlignment="1">
      <alignment vertical="center"/>
    </xf>
    <xf numFmtId="4" fontId="3" fillId="3840" borderId="3404" xfId="0" applyNumberFormat="1" applyFont="1" applyFill="1" applyBorder="1" applyAlignment="1">
      <alignment vertical="center"/>
    </xf>
    <xf numFmtId="4" fontId="3" fillId="3841" borderId="3405" xfId="0" applyNumberFormat="1" applyFont="1" applyFill="1" applyBorder="1" applyAlignment="1">
      <alignment vertical="center"/>
    </xf>
    <xf numFmtId="4" fontId="3" fillId="3842" borderId="3406" xfId="0" applyNumberFormat="1" applyFont="1" applyFill="1" applyBorder="1" applyAlignment="1">
      <alignment vertical="center"/>
    </xf>
    <xf numFmtId="0" fontId="3" fillId="3843" borderId="3407" xfId="0" applyFont="1" applyFill="1" applyBorder="1" applyAlignment="1">
      <alignment vertical="center"/>
    </xf>
    <xf numFmtId="0" fontId="3" fillId="3844" borderId="3408" xfId="0" applyFont="1" applyFill="1" applyBorder="1" applyAlignment="1">
      <alignment vertical="center"/>
    </xf>
    <xf numFmtId="0" fontId="3" fillId="3846" borderId="3409" xfId="0" applyFont="1" applyFill="1" applyBorder="1" applyAlignment="1">
      <alignment vertical="center"/>
    </xf>
    <xf numFmtId="0" fontId="3" fillId="3847" borderId="3410" xfId="0" applyFont="1" applyFill="1" applyBorder="1" applyAlignment="1">
      <alignment vertical="center"/>
    </xf>
    <xf numFmtId="0" fontId="3" fillId="3848" borderId="3411" xfId="0" applyFont="1" applyFill="1" applyBorder="1" applyAlignment="1">
      <alignment vertical="center"/>
    </xf>
    <xf numFmtId="4" fontId="3" fillId="3849" borderId="3412" xfId="0" applyNumberFormat="1" applyFont="1" applyFill="1" applyBorder="1" applyAlignment="1">
      <alignment vertical="center"/>
    </xf>
    <xf numFmtId="4" fontId="3" fillId="3850" borderId="3413" xfId="0" applyNumberFormat="1" applyFont="1" applyFill="1" applyBorder="1" applyAlignment="1">
      <alignment vertical="center"/>
    </xf>
    <xf numFmtId="4" fontId="3" fillId="3851" borderId="3414" xfId="0" applyNumberFormat="1" applyFont="1" applyFill="1" applyBorder="1" applyAlignment="1">
      <alignment vertical="center"/>
    </xf>
    <xf numFmtId="0" fontId="3" fillId="3852" borderId="3415" xfId="0" applyFont="1" applyFill="1" applyBorder="1" applyAlignment="1">
      <alignment vertical="center"/>
    </xf>
    <xf numFmtId="0" fontId="3" fillId="3853" borderId="3416" xfId="0" applyFont="1" applyFill="1" applyBorder="1" applyAlignment="1">
      <alignment vertical="center"/>
    </xf>
    <xf numFmtId="0" fontId="3" fillId="3855" borderId="3417" xfId="0" applyFont="1" applyFill="1" applyBorder="1" applyAlignment="1">
      <alignment vertical="center"/>
    </xf>
    <xf numFmtId="0" fontId="3" fillId="3856" borderId="3418" xfId="0" applyFont="1" applyFill="1" applyBorder="1" applyAlignment="1">
      <alignment vertical="center"/>
    </xf>
    <xf numFmtId="0" fontId="3" fillId="3857" borderId="3419" xfId="0" applyFont="1" applyFill="1" applyBorder="1" applyAlignment="1">
      <alignment vertical="center"/>
    </xf>
    <xf numFmtId="4" fontId="3" fillId="3858" borderId="3420" xfId="0" applyNumberFormat="1" applyFont="1" applyFill="1" applyBorder="1" applyAlignment="1">
      <alignment vertical="center"/>
    </xf>
    <xf numFmtId="4" fontId="3" fillId="3859" borderId="3421" xfId="0" applyNumberFormat="1" applyFont="1" applyFill="1" applyBorder="1" applyAlignment="1">
      <alignment vertical="center"/>
    </xf>
    <xf numFmtId="4" fontId="3" fillId="3860" borderId="3422" xfId="0" applyNumberFormat="1" applyFont="1" applyFill="1" applyBorder="1" applyAlignment="1">
      <alignment vertical="center"/>
    </xf>
    <xf numFmtId="0" fontId="3" fillId="3861" borderId="3423" xfId="0" applyFont="1" applyFill="1" applyBorder="1" applyAlignment="1">
      <alignment vertical="center"/>
    </xf>
    <xf numFmtId="0" fontId="3" fillId="3862" borderId="3424" xfId="0" applyFont="1" applyFill="1" applyBorder="1" applyAlignment="1">
      <alignment vertical="center"/>
    </xf>
    <xf numFmtId="0" fontId="3" fillId="3864" borderId="3425" xfId="0" applyFont="1" applyFill="1" applyBorder="1" applyAlignment="1">
      <alignment vertical="center"/>
    </xf>
    <xf numFmtId="0" fontId="3" fillId="3865" borderId="3426" xfId="0" applyFont="1" applyFill="1" applyBorder="1" applyAlignment="1">
      <alignment vertical="center"/>
    </xf>
    <xf numFmtId="0" fontId="3" fillId="3866" borderId="3427" xfId="0" applyFont="1" applyFill="1" applyBorder="1" applyAlignment="1">
      <alignment vertical="center"/>
    </xf>
    <xf numFmtId="4" fontId="3" fillId="3867" borderId="3428" xfId="0" applyNumberFormat="1" applyFont="1" applyFill="1" applyBorder="1" applyAlignment="1">
      <alignment vertical="center"/>
    </xf>
    <xf numFmtId="4" fontId="3" fillId="3868" borderId="3429" xfId="0" applyNumberFormat="1" applyFont="1" applyFill="1" applyBorder="1" applyAlignment="1">
      <alignment vertical="center"/>
    </xf>
    <xf numFmtId="4" fontId="3" fillId="3869" borderId="3430" xfId="0" applyNumberFormat="1" applyFont="1" applyFill="1" applyBorder="1" applyAlignment="1">
      <alignment vertical="center"/>
    </xf>
    <xf numFmtId="0" fontId="3" fillId="3870" borderId="3431" xfId="0" applyFont="1" applyFill="1" applyBorder="1" applyAlignment="1">
      <alignment vertical="center"/>
    </xf>
    <xf numFmtId="0" fontId="3" fillId="3871" borderId="3432" xfId="0" applyFont="1" applyFill="1" applyBorder="1" applyAlignment="1">
      <alignment vertical="center"/>
    </xf>
    <xf numFmtId="0" fontId="3" fillId="3873" borderId="3433" xfId="0" applyFont="1" applyFill="1" applyBorder="1" applyAlignment="1">
      <alignment vertical="center"/>
    </xf>
    <xf numFmtId="0" fontId="3" fillId="3874" borderId="3434" xfId="0" applyFont="1" applyFill="1" applyBorder="1" applyAlignment="1">
      <alignment vertical="center"/>
    </xf>
    <xf numFmtId="0" fontId="3" fillId="3875" borderId="3435" xfId="0" applyFont="1" applyFill="1" applyBorder="1" applyAlignment="1">
      <alignment vertical="center"/>
    </xf>
    <xf numFmtId="4" fontId="3" fillId="3876" borderId="3436" xfId="0" applyNumberFormat="1" applyFont="1" applyFill="1" applyBorder="1" applyAlignment="1">
      <alignment vertical="center"/>
    </xf>
    <xf numFmtId="4" fontId="3" fillId="3877" borderId="3437" xfId="0" applyNumberFormat="1" applyFont="1" applyFill="1" applyBorder="1" applyAlignment="1">
      <alignment vertical="center"/>
    </xf>
    <xf numFmtId="4" fontId="3" fillId="3878" borderId="3438" xfId="0" applyNumberFormat="1" applyFont="1" applyFill="1" applyBorder="1" applyAlignment="1">
      <alignment vertical="center"/>
    </xf>
    <xf numFmtId="0" fontId="3" fillId="3879" borderId="3439" xfId="0" applyFont="1" applyFill="1" applyBorder="1" applyAlignment="1">
      <alignment vertical="center"/>
    </xf>
    <xf numFmtId="0" fontId="3" fillId="3880" borderId="3440" xfId="0" applyFont="1" applyFill="1" applyBorder="1" applyAlignment="1">
      <alignment vertical="center"/>
    </xf>
    <xf numFmtId="0" fontId="3" fillId="3882" borderId="3441" xfId="0" applyFont="1" applyFill="1" applyBorder="1" applyAlignment="1">
      <alignment vertical="center"/>
    </xf>
    <xf numFmtId="0" fontId="3" fillId="3883" borderId="3442" xfId="0" applyFont="1" applyFill="1" applyBorder="1" applyAlignment="1">
      <alignment vertical="center"/>
    </xf>
    <xf numFmtId="0" fontId="3" fillId="3884" borderId="3443" xfId="0" applyFont="1" applyFill="1" applyBorder="1" applyAlignment="1">
      <alignment vertical="center"/>
    </xf>
    <xf numFmtId="4" fontId="3" fillId="3885" borderId="3444" xfId="0" applyNumberFormat="1" applyFont="1" applyFill="1" applyBorder="1" applyAlignment="1">
      <alignment vertical="center"/>
    </xf>
    <xf numFmtId="4" fontId="3" fillId="3886" borderId="3445" xfId="0" applyNumberFormat="1" applyFont="1" applyFill="1" applyBorder="1" applyAlignment="1">
      <alignment vertical="center"/>
    </xf>
    <xf numFmtId="4" fontId="3" fillId="3887" borderId="3446" xfId="0" applyNumberFormat="1" applyFont="1" applyFill="1" applyBorder="1" applyAlignment="1">
      <alignment vertical="center"/>
    </xf>
    <xf numFmtId="0" fontId="3" fillId="3888" borderId="3447" xfId="0" applyFont="1" applyFill="1" applyBorder="1" applyAlignment="1">
      <alignment vertical="center"/>
    </xf>
    <xf numFmtId="0" fontId="3" fillId="3889" borderId="3448" xfId="0" applyFont="1" applyFill="1" applyBorder="1" applyAlignment="1">
      <alignment vertical="center"/>
    </xf>
    <xf numFmtId="0" fontId="3" fillId="3891" borderId="3449" xfId="0" applyFont="1" applyFill="1" applyBorder="1" applyAlignment="1">
      <alignment vertical="center"/>
    </xf>
    <xf numFmtId="0" fontId="3" fillId="3892" borderId="3450" xfId="0" applyFont="1" applyFill="1" applyBorder="1" applyAlignment="1">
      <alignment vertical="center"/>
    </xf>
    <xf numFmtId="0" fontId="3" fillId="3893" borderId="3451" xfId="0" applyFont="1" applyFill="1" applyBorder="1" applyAlignment="1">
      <alignment vertical="center"/>
    </xf>
    <xf numFmtId="4" fontId="3" fillId="3894" borderId="3452" xfId="0" applyNumberFormat="1" applyFont="1" applyFill="1" applyBorder="1" applyAlignment="1">
      <alignment vertical="center"/>
    </xf>
    <xf numFmtId="4" fontId="3" fillId="3895" borderId="3453" xfId="0" applyNumberFormat="1" applyFont="1" applyFill="1" applyBorder="1" applyAlignment="1">
      <alignment vertical="center"/>
    </xf>
    <xf numFmtId="4" fontId="3" fillId="3896" borderId="3454" xfId="0" applyNumberFormat="1" applyFont="1" applyFill="1" applyBorder="1" applyAlignment="1">
      <alignment vertical="center"/>
    </xf>
    <xf numFmtId="0" fontId="3" fillId="3897" borderId="3455" xfId="0" applyFont="1" applyFill="1" applyBorder="1" applyAlignment="1">
      <alignment vertical="center"/>
    </xf>
    <xf numFmtId="0" fontId="3" fillId="3898" borderId="3456" xfId="0" applyFont="1" applyFill="1" applyBorder="1" applyAlignment="1">
      <alignment vertical="center"/>
    </xf>
    <xf numFmtId="0" fontId="3" fillId="3900" borderId="3457" xfId="0" applyFont="1" applyFill="1" applyBorder="1" applyAlignment="1">
      <alignment vertical="center"/>
    </xf>
    <xf numFmtId="0" fontId="3" fillId="3901" borderId="3458" xfId="0" applyFont="1" applyFill="1" applyBorder="1" applyAlignment="1">
      <alignment vertical="center"/>
    </xf>
    <xf numFmtId="0" fontId="3" fillId="3902" borderId="3459" xfId="0" applyFont="1" applyFill="1" applyBorder="1" applyAlignment="1">
      <alignment vertical="center"/>
    </xf>
    <xf numFmtId="4" fontId="3" fillId="3903" borderId="3460" xfId="0" applyNumberFormat="1" applyFont="1" applyFill="1" applyBorder="1" applyAlignment="1">
      <alignment vertical="center"/>
    </xf>
    <xf numFmtId="4" fontId="3" fillId="3904" borderId="3461" xfId="0" applyNumberFormat="1" applyFont="1" applyFill="1" applyBorder="1" applyAlignment="1">
      <alignment vertical="center"/>
    </xf>
    <xf numFmtId="4" fontId="3" fillId="3905" borderId="3462" xfId="0" applyNumberFormat="1" applyFont="1" applyFill="1" applyBorder="1" applyAlignment="1">
      <alignment vertical="center"/>
    </xf>
    <xf numFmtId="0" fontId="3" fillId="3906" borderId="3463" xfId="0" applyFont="1" applyFill="1" applyBorder="1" applyAlignment="1">
      <alignment vertical="center"/>
    </xf>
    <xf numFmtId="0" fontId="3" fillId="3907" borderId="3464" xfId="0" applyFont="1" applyFill="1" applyBorder="1" applyAlignment="1">
      <alignment vertical="center"/>
    </xf>
    <xf numFmtId="0" fontId="3" fillId="3909" borderId="3465" xfId="0" applyFont="1" applyFill="1" applyBorder="1" applyAlignment="1">
      <alignment vertical="center"/>
    </xf>
    <xf numFmtId="0" fontId="3" fillId="3910" borderId="3466" xfId="0" applyFont="1" applyFill="1" applyBorder="1" applyAlignment="1">
      <alignment vertical="center"/>
    </xf>
    <xf numFmtId="0" fontId="3" fillId="3911" borderId="3467" xfId="0" applyFont="1" applyFill="1" applyBorder="1" applyAlignment="1">
      <alignment vertical="center"/>
    </xf>
    <xf numFmtId="4" fontId="3" fillId="3912" borderId="3468" xfId="0" applyNumberFormat="1" applyFont="1" applyFill="1" applyBorder="1" applyAlignment="1">
      <alignment vertical="center"/>
    </xf>
    <xf numFmtId="4" fontId="3" fillId="3913" borderId="3469" xfId="0" applyNumberFormat="1" applyFont="1" applyFill="1" applyBorder="1" applyAlignment="1">
      <alignment vertical="center"/>
    </xf>
    <xf numFmtId="4" fontId="3" fillId="3914" borderId="3470" xfId="0" applyNumberFormat="1" applyFont="1" applyFill="1" applyBorder="1" applyAlignment="1">
      <alignment vertical="center"/>
    </xf>
    <xf numFmtId="0" fontId="3" fillId="3915" borderId="3471" xfId="0" applyFont="1" applyFill="1" applyBorder="1" applyAlignment="1">
      <alignment vertical="center"/>
    </xf>
    <xf numFmtId="0" fontId="3" fillId="3916" borderId="3472" xfId="0" applyFont="1" applyFill="1" applyBorder="1" applyAlignment="1">
      <alignment vertical="center"/>
    </xf>
    <xf numFmtId="0" fontId="3" fillId="3918" borderId="3473" xfId="0" applyFont="1" applyFill="1" applyBorder="1" applyAlignment="1">
      <alignment vertical="center"/>
    </xf>
    <xf numFmtId="0" fontId="3" fillId="3919" borderId="3474" xfId="0" applyFont="1" applyFill="1" applyBorder="1" applyAlignment="1">
      <alignment vertical="center"/>
    </xf>
    <xf numFmtId="0" fontId="3" fillId="3920" borderId="3475" xfId="0" applyFont="1" applyFill="1" applyBorder="1" applyAlignment="1">
      <alignment vertical="center"/>
    </xf>
    <xf numFmtId="4" fontId="3" fillId="3921" borderId="3476" xfId="0" applyNumberFormat="1" applyFont="1" applyFill="1" applyBorder="1" applyAlignment="1">
      <alignment vertical="center"/>
    </xf>
    <xf numFmtId="4" fontId="3" fillId="3922" borderId="3477" xfId="0" applyNumberFormat="1" applyFont="1" applyFill="1" applyBorder="1" applyAlignment="1">
      <alignment vertical="center"/>
    </xf>
    <xf numFmtId="4" fontId="3" fillId="3923" borderId="3478" xfId="0" applyNumberFormat="1" applyFont="1" applyFill="1" applyBorder="1" applyAlignment="1">
      <alignment vertical="center"/>
    </xf>
    <xf numFmtId="0" fontId="3" fillId="3924" borderId="3479" xfId="0" applyFont="1" applyFill="1" applyBorder="1" applyAlignment="1">
      <alignment vertical="center"/>
    </xf>
    <xf numFmtId="0" fontId="3" fillId="3925" borderId="3480" xfId="0" applyFont="1" applyFill="1" applyBorder="1" applyAlignment="1">
      <alignment vertical="center"/>
    </xf>
    <xf numFmtId="0" fontId="3" fillId="3927" borderId="3481" xfId="0" applyFont="1" applyFill="1" applyBorder="1" applyAlignment="1">
      <alignment vertical="center"/>
    </xf>
    <xf numFmtId="0" fontId="3" fillId="3928" borderId="3482" xfId="0" applyFont="1" applyFill="1" applyBorder="1" applyAlignment="1">
      <alignment vertical="center"/>
    </xf>
    <xf numFmtId="0" fontId="3" fillId="3929" borderId="3483" xfId="0" applyFont="1" applyFill="1" applyBorder="1" applyAlignment="1">
      <alignment vertical="center"/>
    </xf>
    <xf numFmtId="4" fontId="3" fillId="3930" borderId="3484" xfId="0" applyNumberFormat="1" applyFont="1" applyFill="1" applyBorder="1" applyAlignment="1">
      <alignment vertical="center"/>
    </xf>
    <xf numFmtId="4" fontId="3" fillId="3931" borderId="3485" xfId="0" applyNumberFormat="1" applyFont="1" applyFill="1" applyBorder="1" applyAlignment="1">
      <alignment vertical="center"/>
    </xf>
    <xf numFmtId="4" fontId="3" fillId="3932" borderId="3486" xfId="0" applyNumberFormat="1" applyFont="1" applyFill="1" applyBorder="1" applyAlignment="1">
      <alignment vertical="center"/>
    </xf>
    <xf numFmtId="0" fontId="3" fillId="3933" borderId="3487" xfId="0" applyFont="1" applyFill="1" applyBorder="1" applyAlignment="1">
      <alignment vertical="center"/>
    </xf>
    <xf numFmtId="0" fontId="3" fillId="3934" borderId="3488" xfId="0" applyFont="1" applyFill="1" applyBorder="1" applyAlignment="1">
      <alignment vertical="center"/>
    </xf>
    <xf numFmtId="0" fontId="3" fillId="3936" borderId="3489" xfId="0" applyFont="1" applyFill="1" applyBorder="1" applyAlignment="1">
      <alignment vertical="center"/>
    </xf>
    <xf numFmtId="0" fontId="3" fillId="3937" borderId="3490" xfId="0" applyFont="1" applyFill="1" applyBorder="1" applyAlignment="1">
      <alignment vertical="center"/>
    </xf>
    <xf numFmtId="0" fontId="3" fillId="3938" borderId="3491" xfId="0" applyFont="1" applyFill="1" applyBorder="1" applyAlignment="1">
      <alignment vertical="center"/>
    </xf>
    <xf numFmtId="4" fontId="3" fillId="3939" borderId="3492" xfId="0" applyNumberFormat="1" applyFont="1" applyFill="1" applyBorder="1" applyAlignment="1">
      <alignment vertical="center"/>
    </xf>
    <xf numFmtId="4" fontId="3" fillId="3940" borderId="3493" xfId="0" applyNumberFormat="1" applyFont="1" applyFill="1" applyBorder="1" applyAlignment="1">
      <alignment vertical="center"/>
    </xf>
    <xf numFmtId="4" fontId="3" fillId="3941" borderId="3494" xfId="0" applyNumberFormat="1" applyFont="1" applyFill="1" applyBorder="1" applyAlignment="1">
      <alignment vertical="center"/>
    </xf>
    <xf numFmtId="0" fontId="3" fillId="3942" borderId="3495" xfId="0" applyFont="1" applyFill="1" applyBorder="1" applyAlignment="1">
      <alignment vertical="center"/>
    </xf>
    <xf numFmtId="0" fontId="3" fillId="3943" borderId="3496" xfId="0" applyFont="1" applyFill="1" applyBorder="1" applyAlignment="1">
      <alignment vertical="center"/>
    </xf>
    <xf numFmtId="0" fontId="3" fillId="3945" borderId="3497" xfId="0" applyFont="1" applyFill="1" applyBorder="1" applyAlignment="1">
      <alignment vertical="center"/>
    </xf>
    <xf numFmtId="0" fontId="3" fillId="3946" borderId="3498" xfId="0" applyFont="1" applyFill="1" applyBorder="1" applyAlignment="1">
      <alignment vertical="center"/>
    </xf>
    <xf numFmtId="0" fontId="3" fillId="3947" borderId="3499" xfId="0" applyFont="1" applyFill="1" applyBorder="1" applyAlignment="1">
      <alignment vertical="center"/>
    </xf>
    <xf numFmtId="4" fontId="3" fillId="3948" borderId="3500" xfId="0" applyNumberFormat="1" applyFont="1" applyFill="1" applyBorder="1" applyAlignment="1">
      <alignment vertical="center"/>
    </xf>
    <xf numFmtId="4" fontId="3" fillId="3949" borderId="3501" xfId="0" applyNumberFormat="1" applyFont="1" applyFill="1" applyBorder="1" applyAlignment="1">
      <alignment vertical="center"/>
    </xf>
    <xf numFmtId="4" fontId="3" fillId="3950" borderId="3502" xfId="0" applyNumberFormat="1" applyFont="1" applyFill="1" applyBorder="1" applyAlignment="1">
      <alignment vertical="center"/>
    </xf>
    <xf numFmtId="0" fontId="3" fillId="3951" borderId="3503" xfId="0" applyFont="1" applyFill="1" applyBorder="1" applyAlignment="1">
      <alignment vertical="center"/>
    </xf>
    <xf numFmtId="0" fontId="3" fillId="3952" borderId="3504" xfId="0" applyFont="1" applyFill="1" applyBorder="1" applyAlignment="1">
      <alignment vertical="center"/>
    </xf>
    <xf numFmtId="0" fontId="3" fillId="3954" borderId="3505" xfId="0" applyFont="1" applyFill="1" applyBorder="1" applyAlignment="1">
      <alignment vertical="center"/>
    </xf>
    <xf numFmtId="0" fontId="3" fillId="3955" borderId="3506" xfId="0" applyFont="1" applyFill="1" applyBorder="1" applyAlignment="1">
      <alignment vertical="center"/>
    </xf>
    <xf numFmtId="0" fontId="3" fillId="3956" borderId="3507" xfId="0" applyFont="1" applyFill="1" applyBorder="1" applyAlignment="1">
      <alignment vertical="center"/>
    </xf>
    <xf numFmtId="4" fontId="3" fillId="3957" borderId="3508" xfId="0" applyNumberFormat="1" applyFont="1" applyFill="1" applyBorder="1" applyAlignment="1">
      <alignment vertical="center"/>
    </xf>
    <xf numFmtId="4" fontId="3" fillId="3958" borderId="3509" xfId="0" applyNumberFormat="1" applyFont="1" applyFill="1" applyBorder="1" applyAlignment="1">
      <alignment vertical="center"/>
    </xf>
    <xf numFmtId="4" fontId="3" fillId="3959" borderId="3510" xfId="0" applyNumberFormat="1" applyFont="1" applyFill="1" applyBorder="1" applyAlignment="1">
      <alignment vertical="center"/>
    </xf>
    <xf numFmtId="0" fontId="3" fillId="3960" borderId="3511" xfId="0" applyFont="1" applyFill="1" applyBorder="1" applyAlignment="1">
      <alignment vertical="center"/>
    </xf>
    <xf numFmtId="0" fontId="3" fillId="3961" borderId="3512" xfId="0" applyFont="1" applyFill="1" applyBorder="1" applyAlignment="1">
      <alignment vertical="center"/>
    </xf>
    <xf numFmtId="0" fontId="3" fillId="3963" borderId="3513" xfId="0" applyFont="1" applyFill="1" applyBorder="1" applyAlignment="1">
      <alignment vertical="center"/>
    </xf>
    <xf numFmtId="0" fontId="3" fillId="3964" borderId="3514" xfId="0" applyFont="1" applyFill="1" applyBorder="1" applyAlignment="1">
      <alignment vertical="center"/>
    </xf>
    <xf numFmtId="0" fontId="3" fillId="3965" borderId="3515" xfId="0" applyFont="1" applyFill="1" applyBorder="1" applyAlignment="1">
      <alignment vertical="center"/>
    </xf>
    <xf numFmtId="4" fontId="3" fillId="3966" borderId="3516" xfId="0" applyNumberFormat="1" applyFont="1" applyFill="1" applyBorder="1" applyAlignment="1">
      <alignment vertical="center"/>
    </xf>
    <xf numFmtId="4" fontId="3" fillId="3967" borderId="3517" xfId="0" applyNumberFormat="1" applyFont="1" applyFill="1" applyBorder="1" applyAlignment="1">
      <alignment vertical="center"/>
    </xf>
    <xf numFmtId="4" fontId="3" fillId="3968" borderId="3518" xfId="0" applyNumberFormat="1" applyFont="1" applyFill="1" applyBorder="1" applyAlignment="1">
      <alignment vertical="center"/>
    </xf>
    <xf numFmtId="0" fontId="3" fillId="3969" borderId="3519" xfId="0" applyFont="1" applyFill="1" applyBorder="1" applyAlignment="1">
      <alignment vertical="center"/>
    </xf>
    <xf numFmtId="0" fontId="3" fillId="3970" borderId="3520" xfId="0" applyFont="1" applyFill="1" applyBorder="1" applyAlignment="1">
      <alignment vertical="center"/>
    </xf>
    <xf numFmtId="0" fontId="3" fillId="3972" borderId="3521" xfId="0" applyFont="1" applyFill="1" applyBorder="1" applyAlignment="1">
      <alignment vertical="center"/>
    </xf>
    <xf numFmtId="0" fontId="3" fillId="3973" borderId="3522" xfId="0" applyFont="1" applyFill="1" applyBorder="1" applyAlignment="1">
      <alignment vertical="center"/>
    </xf>
    <xf numFmtId="0" fontId="3" fillId="3974" borderId="3523" xfId="0" applyFont="1" applyFill="1" applyBorder="1" applyAlignment="1">
      <alignment vertical="center"/>
    </xf>
    <xf numFmtId="4" fontId="3" fillId="3975" borderId="3524" xfId="0" applyNumberFormat="1" applyFont="1" applyFill="1" applyBorder="1" applyAlignment="1">
      <alignment vertical="center"/>
    </xf>
    <xf numFmtId="4" fontId="3" fillId="3976" borderId="3525" xfId="0" applyNumberFormat="1" applyFont="1" applyFill="1" applyBorder="1" applyAlignment="1">
      <alignment vertical="center"/>
    </xf>
    <xf numFmtId="4" fontId="3" fillId="3977" borderId="3526" xfId="0" applyNumberFormat="1" applyFont="1" applyFill="1" applyBorder="1" applyAlignment="1">
      <alignment vertical="center"/>
    </xf>
    <xf numFmtId="0" fontId="3" fillId="3978" borderId="3527" xfId="0" applyFont="1" applyFill="1" applyBorder="1" applyAlignment="1">
      <alignment vertical="center"/>
    </xf>
    <xf numFmtId="0" fontId="3" fillId="3979" borderId="3528" xfId="0" applyFont="1" applyFill="1" applyBorder="1" applyAlignment="1">
      <alignment vertical="center"/>
    </xf>
    <xf numFmtId="0" fontId="3" fillId="3981" borderId="3529" xfId="0" applyFont="1" applyFill="1" applyBorder="1" applyAlignment="1">
      <alignment vertical="center"/>
    </xf>
    <xf numFmtId="0" fontId="3" fillId="3982" borderId="3530" xfId="0" applyFont="1" applyFill="1" applyBorder="1" applyAlignment="1">
      <alignment vertical="center"/>
    </xf>
    <xf numFmtId="0" fontId="3" fillId="3983" borderId="3531" xfId="0" applyFont="1" applyFill="1" applyBorder="1" applyAlignment="1">
      <alignment vertical="center"/>
    </xf>
    <xf numFmtId="4" fontId="3" fillId="3984" borderId="3532" xfId="0" applyNumberFormat="1" applyFont="1" applyFill="1" applyBorder="1" applyAlignment="1">
      <alignment vertical="center"/>
    </xf>
    <xf numFmtId="4" fontId="3" fillId="3985" borderId="3533" xfId="0" applyNumberFormat="1" applyFont="1" applyFill="1" applyBorder="1" applyAlignment="1">
      <alignment vertical="center"/>
    </xf>
    <xf numFmtId="4" fontId="3" fillId="3986" borderId="3534" xfId="0" applyNumberFormat="1" applyFont="1" applyFill="1" applyBorder="1" applyAlignment="1">
      <alignment vertical="center"/>
    </xf>
    <xf numFmtId="0" fontId="3" fillId="3987" borderId="3535" xfId="0" applyFont="1" applyFill="1" applyBorder="1" applyAlignment="1">
      <alignment vertical="center"/>
    </xf>
    <xf numFmtId="0" fontId="3" fillId="3988" borderId="3536" xfId="0" applyFont="1" applyFill="1" applyBorder="1" applyAlignment="1">
      <alignment vertical="center"/>
    </xf>
    <xf numFmtId="0" fontId="3" fillId="3990" borderId="3537" xfId="0" applyFont="1" applyFill="1" applyBorder="1" applyAlignment="1">
      <alignment vertical="center"/>
    </xf>
    <xf numFmtId="0" fontId="3" fillId="3991" borderId="3538" xfId="0" applyFont="1" applyFill="1" applyBorder="1" applyAlignment="1">
      <alignment vertical="center"/>
    </xf>
    <xf numFmtId="0" fontId="3" fillId="3992" borderId="3539" xfId="0" applyFont="1" applyFill="1" applyBorder="1" applyAlignment="1">
      <alignment vertical="center"/>
    </xf>
    <xf numFmtId="4" fontId="3" fillId="3993" borderId="3540" xfId="0" applyNumberFormat="1" applyFont="1" applyFill="1" applyBorder="1" applyAlignment="1">
      <alignment vertical="center"/>
    </xf>
    <xf numFmtId="4" fontId="3" fillId="3994" borderId="3541" xfId="0" applyNumberFormat="1" applyFont="1" applyFill="1" applyBorder="1" applyAlignment="1">
      <alignment vertical="center"/>
    </xf>
    <xf numFmtId="4" fontId="3" fillId="3995" borderId="3542" xfId="0" applyNumberFormat="1" applyFont="1" applyFill="1" applyBorder="1" applyAlignment="1">
      <alignment vertical="center"/>
    </xf>
    <xf numFmtId="0" fontId="3" fillId="3996" borderId="3543" xfId="0" applyFont="1" applyFill="1" applyBorder="1" applyAlignment="1">
      <alignment vertical="center"/>
    </xf>
    <xf numFmtId="0" fontId="3" fillId="3997" borderId="3544" xfId="0" applyFont="1" applyFill="1" applyBorder="1" applyAlignment="1">
      <alignment vertical="center"/>
    </xf>
    <xf numFmtId="0" fontId="3" fillId="3999" borderId="3545" xfId="0" applyFont="1" applyFill="1" applyBorder="1" applyAlignment="1">
      <alignment vertical="center"/>
    </xf>
    <xf numFmtId="0" fontId="3" fillId="4000" borderId="3546" xfId="0" applyFont="1" applyFill="1" applyBorder="1" applyAlignment="1">
      <alignment vertical="center"/>
    </xf>
    <xf numFmtId="0" fontId="3" fillId="4001" borderId="3547" xfId="0" applyFont="1" applyFill="1" applyBorder="1" applyAlignment="1">
      <alignment vertical="center"/>
    </xf>
    <xf numFmtId="4" fontId="3" fillId="4002" borderId="3548" xfId="0" applyNumberFormat="1" applyFont="1" applyFill="1" applyBorder="1" applyAlignment="1">
      <alignment vertical="center"/>
    </xf>
    <xf numFmtId="4" fontId="3" fillId="4003" borderId="3549" xfId="0" applyNumberFormat="1" applyFont="1" applyFill="1" applyBorder="1" applyAlignment="1">
      <alignment vertical="center"/>
    </xf>
    <xf numFmtId="4" fontId="3" fillId="4004" borderId="3550" xfId="0" applyNumberFormat="1" applyFont="1" applyFill="1" applyBorder="1" applyAlignment="1">
      <alignment vertical="center"/>
    </xf>
    <xf numFmtId="0" fontId="3" fillId="4005" borderId="3551" xfId="0" applyFont="1" applyFill="1" applyBorder="1" applyAlignment="1">
      <alignment vertical="center"/>
    </xf>
    <xf numFmtId="0" fontId="3" fillId="4006" borderId="3552" xfId="0" applyFont="1" applyFill="1" applyBorder="1" applyAlignment="1">
      <alignment vertical="center"/>
    </xf>
    <xf numFmtId="0" fontId="3" fillId="4008" borderId="3553" xfId="0" applyFont="1" applyFill="1" applyBorder="1" applyAlignment="1">
      <alignment vertical="center"/>
    </xf>
    <xf numFmtId="0" fontId="3" fillId="4009" borderId="3554" xfId="0" applyFont="1" applyFill="1" applyBorder="1" applyAlignment="1">
      <alignment vertical="center"/>
    </xf>
    <xf numFmtId="0" fontId="3" fillId="4010" borderId="3555" xfId="0" applyFont="1" applyFill="1" applyBorder="1" applyAlignment="1">
      <alignment vertical="center"/>
    </xf>
    <xf numFmtId="4" fontId="3" fillId="4011" borderId="3556" xfId="0" applyNumberFormat="1" applyFont="1" applyFill="1" applyBorder="1" applyAlignment="1">
      <alignment vertical="center"/>
    </xf>
    <xf numFmtId="4" fontId="3" fillId="4012" borderId="3557" xfId="0" applyNumberFormat="1" applyFont="1" applyFill="1" applyBorder="1" applyAlignment="1">
      <alignment vertical="center"/>
    </xf>
    <xf numFmtId="4" fontId="3" fillId="4013" borderId="3558" xfId="0" applyNumberFormat="1" applyFont="1" applyFill="1" applyBorder="1" applyAlignment="1">
      <alignment vertical="center"/>
    </xf>
    <xf numFmtId="0" fontId="3" fillId="4014" borderId="3559" xfId="0" applyFont="1" applyFill="1" applyBorder="1" applyAlignment="1">
      <alignment vertical="center"/>
    </xf>
    <xf numFmtId="0" fontId="3" fillId="4015" borderId="3560" xfId="0" applyFont="1" applyFill="1" applyBorder="1" applyAlignment="1">
      <alignment vertical="center"/>
    </xf>
    <xf numFmtId="0" fontId="3" fillId="4017" borderId="3561" xfId="0" applyFont="1" applyFill="1" applyBorder="1" applyAlignment="1">
      <alignment vertical="center"/>
    </xf>
    <xf numFmtId="0" fontId="3" fillId="4018" borderId="3562" xfId="0" applyFont="1" applyFill="1" applyBorder="1" applyAlignment="1">
      <alignment vertical="center"/>
    </xf>
    <xf numFmtId="0" fontId="3" fillId="4019" borderId="3563" xfId="0" applyFont="1" applyFill="1" applyBorder="1" applyAlignment="1">
      <alignment vertical="center"/>
    </xf>
    <xf numFmtId="4" fontId="3" fillId="4020" borderId="3564" xfId="0" applyNumberFormat="1" applyFont="1" applyFill="1" applyBorder="1" applyAlignment="1">
      <alignment vertical="center"/>
    </xf>
    <xf numFmtId="4" fontId="3" fillId="4021" borderId="3565" xfId="0" applyNumberFormat="1" applyFont="1" applyFill="1" applyBorder="1" applyAlignment="1">
      <alignment vertical="center"/>
    </xf>
    <xf numFmtId="4" fontId="3" fillId="4022" borderId="3566" xfId="0" applyNumberFormat="1" applyFont="1" applyFill="1" applyBorder="1" applyAlignment="1">
      <alignment vertical="center"/>
    </xf>
    <xf numFmtId="0" fontId="3" fillId="4023" borderId="3567" xfId="0" applyFont="1" applyFill="1" applyBorder="1" applyAlignment="1">
      <alignment vertical="center"/>
    </xf>
    <xf numFmtId="0" fontId="3" fillId="4024" borderId="3568" xfId="0" applyFont="1" applyFill="1" applyBorder="1" applyAlignment="1">
      <alignment vertical="center"/>
    </xf>
    <xf numFmtId="0" fontId="3" fillId="4026" borderId="3569" xfId="0" applyFont="1" applyFill="1" applyBorder="1" applyAlignment="1">
      <alignment vertical="center"/>
    </xf>
    <xf numFmtId="0" fontId="3" fillId="4027" borderId="3570" xfId="0" applyFont="1" applyFill="1" applyBorder="1" applyAlignment="1">
      <alignment vertical="center"/>
    </xf>
    <xf numFmtId="0" fontId="3" fillId="4028" borderId="3571" xfId="0" applyFont="1" applyFill="1" applyBorder="1" applyAlignment="1">
      <alignment vertical="center"/>
    </xf>
    <xf numFmtId="4" fontId="3" fillId="4029" borderId="3572" xfId="0" applyNumberFormat="1" applyFont="1" applyFill="1" applyBorder="1" applyAlignment="1">
      <alignment vertical="center"/>
    </xf>
    <xf numFmtId="4" fontId="3" fillId="4030" borderId="3573" xfId="0" applyNumberFormat="1" applyFont="1" applyFill="1" applyBorder="1" applyAlignment="1">
      <alignment vertical="center"/>
    </xf>
    <xf numFmtId="4" fontId="3" fillId="4031" borderId="3574" xfId="0" applyNumberFormat="1" applyFont="1" applyFill="1" applyBorder="1" applyAlignment="1">
      <alignment vertical="center"/>
    </xf>
    <xf numFmtId="0" fontId="3" fillId="4032" borderId="3575" xfId="0" applyFont="1" applyFill="1" applyBorder="1" applyAlignment="1">
      <alignment vertical="center"/>
    </xf>
    <xf numFmtId="0" fontId="3" fillId="4033" borderId="3576" xfId="0" applyFont="1" applyFill="1" applyBorder="1" applyAlignment="1">
      <alignment vertical="center"/>
    </xf>
    <xf numFmtId="0" fontId="3" fillId="4035" borderId="3577" xfId="0" applyFont="1" applyFill="1" applyBorder="1" applyAlignment="1">
      <alignment vertical="center"/>
    </xf>
    <xf numFmtId="0" fontId="3" fillId="4036" borderId="3578" xfId="0" applyFont="1" applyFill="1" applyBorder="1" applyAlignment="1">
      <alignment vertical="center"/>
    </xf>
    <xf numFmtId="0" fontId="3" fillId="4037" borderId="3579" xfId="0" applyFont="1" applyFill="1" applyBorder="1" applyAlignment="1">
      <alignment vertical="center"/>
    </xf>
    <xf numFmtId="4" fontId="3" fillId="4038" borderId="3580" xfId="0" applyNumberFormat="1" applyFont="1" applyFill="1" applyBorder="1" applyAlignment="1">
      <alignment vertical="center"/>
    </xf>
    <xf numFmtId="4" fontId="3" fillId="4039" borderId="3581" xfId="0" applyNumberFormat="1" applyFont="1" applyFill="1" applyBorder="1" applyAlignment="1">
      <alignment vertical="center"/>
    </xf>
    <xf numFmtId="4" fontId="3" fillId="4040" borderId="3582" xfId="0" applyNumberFormat="1" applyFont="1" applyFill="1" applyBorder="1" applyAlignment="1">
      <alignment vertical="center"/>
    </xf>
    <xf numFmtId="0" fontId="3" fillId="4041" borderId="3583" xfId="0" applyFont="1" applyFill="1" applyBorder="1" applyAlignment="1">
      <alignment vertical="center"/>
    </xf>
    <xf numFmtId="0" fontId="3" fillId="4042" borderId="3584" xfId="0" applyFont="1" applyFill="1" applyBorder="1" applyAlignment="1">
      <alignment vertical="center"/>
    </xf>
    <xf numFmtId="0" fontId="3" fillId="4044" borderId="3585" xfId="0" applyFont="1" applyFill="1" applyBorder="1" applyAlignment="1">
      <alignment vertical="center"/>
    </xf>
    <xf numFmtId="0" fontId="3" fillId="4045" borderId="3586" xfId="0" applyFont="1" applyFill="1" applyBorder="1" applyAlignment="1">
      <alignment vertical="center"/>
    </xf>
    <xf numFmtId="0" fontId="3" fillId="4046" borderId="3587" xfId="0" applyFont="1" applyFill="1" applyBorder="1" applyAlignment="1">
      <alignment vertical="center"/>
    </xf>
    <xf numFmtId="4" fontId="3" fillId="4047" borderId="3588" xfId="0" applyNumberFormat="1" applyFont="1" applyFill="1" applyBorder="1" applyAlignment="1">
      <alignment vertical="center"/>
    </xf>
    <xf numFmtId="4" fontId="3" fillId="4048" borderId="3589" xfId="0" applyNumberFormat="1" applyFont="1" applyFill="1" applyBorder="1" applyAlignment="1">
      <alignment vertical="center"/>
    </xf>
    <xf numFmtId="4" fontId="3" fillId="4049" borderId="3590" xfId="0" applyNumberFormat="1" applyFont="1" applyFill="1" applyBorder="1" applyAlignment="1">
      <alignment vertical="center"/>
    </xf>
    <xf numFmtId="0" fontId="3" fillId="4050" borderId="3591" xfId="0" applyFont="1" applyFill="1" applyBorder="1" applyAlignment="1">
      <alignment vertical="center"/>
    </xf>
    <xf numFmtId="0" fontId="3" fillId="4051" borderId="3592" xfId="0" applyFont="1" applyFill="1" applyBorder="1" applyAlignment="1">
      <alignment vertical="center"/>
    </xf>
    <xf numFmtId="0" fontId="3" fillId="4053" borderId="3593" xfId="0" applyFont="1" applyFill="1" applyBorder="1" applyAlignment="1">
      <alignment vertical="center"/>
    </xf>
    <xf numFmtId="0" fontId="3" fillId="4054" borderId="3594" xfId="0" applyFont="1" applyFill="1" applyBorder="1" applyAlignment="1">
      <alignment vertical="center"/>
    </xf>
    <xf numFmtId="0" fontId="3" fillId="4055" borderId="3595" xfId="0" applyFont="1" applyFill="1" applyBorder="1" applyAlignment="1">
      <alignment vertical="center"/>
    </xf>
    <xf numFmtId="4" fontId="3" fillId="4056" borderId="3596" xfId="0" applyNumberFormat="1" applyFont="1" applyFill="1" applyBorder="1" applyAlignment="1">
      <alignment vertical="center"/>
    </xf>
    <xf numFmtId="4" fontId="3" fillId="4057" borderId="3597" xfId="0" applyNumberFormat="1" applyFont="1" applyFill="1" applyBorder="1" applyAlignment="1">
      <alignment vertical="center"/>
    </xf>
    <xf numFmtId="4" fontId="3" fillId="4058" borderId="3598" xfId="0" applyNumberFormat="1" applyFont="1" applyFill="1" applyBorder="1" applyAlignment="1">
      <alignment vertical="center"/>
    </xf>
    <xf numFmtId="0" fontId="3" fillId="4059" borderId="3599" xfId="0" applyFont="1" applyFill="1" applyBorder="1" applyAlignment="1">
      <alignment vertical="center"/>
    </xf>
    <xf numFmtId="0" fontId="3" fillId="4060" borderId="3600" xfId="0" applyFont="1" applyFill="1" applyBorder="1" applyAlignment="1">
      <alignment vertical="center"/>
    </xf>
    <xf numFmtId="0" fontId="3" fillId="4062" borderId="3601" xfId="0" applyFont="1" applyFill="1" applyBorder="1" applyAlignment="1">
      <alignment vertical="center"/>
    </xf>
    <xf numFmtId="0" fontId="3" fillId="4063" borderId="3602" xfId="0" applyFont="1" applyFill="1" applyBorder="1" applyAlignment="1">
      <alignment vertical="center"/>
    </xf>
    <xf numFmtId="0" fontId="3" fillId="4064" borderId="3603" xfId="0" applyFont="1" applyFill="1" applyBorder="1" applyAlignment="1">
      <alignment vertical="center"/>
    </xf>
    <xf numFmtId="4" fontId="3" fillId="4065" borderId="3604" xfId="0" applyNumberFormat="1" applyFont="1" applyFill="1" applyBorder="1" applyAlignment="1">
      <alignment vertical="center"/>
    </xf>
    <xf numFmtId="4" fontId="3" fillId="4066" borderId="3605" xfId="0" applyNumberFormat="1" applyFont="1" applyFill="1" applyBorder="1" applyAlignment="1">
      <alignment vertical="center"/>
    </xf>
    <xf numFmtId="4" fontId="3" fillId="4067" borderId="3606" xfId="0" applyNumberFormat="1" applyFont="1" applyFill="1" applyBorder="1" applyAlignment="1">
      <alignment vertical="center"/>
    </xf>
    <xf numFmtId="0" fontId="3" fillId="4068" borderId="3607" xfId="0" applyFont="1" applyFill="1" applyBorder="1" applyAlignment="1">
      <alignment vertical="center"/>
    </xf>
    <xf numFmtId="0" fontId="3" fillId="4069" borderId="3608" xfId="0" applyFont="1" applyFill="1" applyBorder="1" applyAlignment="1">
      <alignment vertical="center"/>
    </xf>
    <xf numFmtId="0" fontId="3" fillId="4071" borderId="3609" xfId="0" applyFont="1" applyFill="1" applyBorder="1" applyAlignment="1">
      <alignment vertical="center"/>
    </xf>
    <xf numFmtId="0" fontId="3" fillId="4072" borderId="3610" xfId="0" applyFont="1" applyFill="1" applyBorder="1" applyAlignment="1">
      <alignment vertical="center"/>
    </xf>
    <xf numFmtId="0" fontId="3" fillId="4073" borderId="3611" xfId="0" applyFont="1" applyFill="1" applyBorder="1" applyAlignment="1">
      <alignment vertical="center"/>
    </xf>
    <xf numFmtId="4" fontId="3" fillId="4074" borderId="3612" xfId="0" applyNumberFormat="1" applyFont="1" applyFill="1" applyBorder="1" applyAlignment="1">
      <alignment vertical="center"/>
    </xf>
    <xf numFmtId="4" fontId="3" fillId="4075" borderId="3613" xfId="0" applyNumberFormat="1" applyFont="1" applyFill="1" applyBorder="1" applyAlignment="1">
      <alignment vertical="center"/>
    </xf>
    <xf numFmtId="4" fontId="3" fillId="4076" borderId="3614" xfId="0" applyNumberFormat="1" applyFont="1" applyFill="1" applyBorder="1" applyAlignment="1">
      <alignment vertical="center"/>
    </xf>
    <xf numFmtId="0" fontId="3" fillId="4077" borderId="3615" xfId="0" applyFont="1" applyFill="1" applyBorder="1" applyAlignment="1">
      <alignment vertical="center"/>
    </xf>
    <xf numFmtId="0" fontId="3" fillId="4078" borderId="3616" xfId="0" applyFont="1" applyFill="1" applyBorder="1" applyAlignment="1">
      <alignment vertical="center"/>
    </xf>
    <xf numFmtId="0" fontId="3" fillId="4080" borderId="3617" xfId="0" applyFont="1" applyFill="1" applyBorder="1" applyAlignment="1">
      <alignment vertical="center"/>
    </xf>
    <xf numFmtId="0" fontId="3" fillId="4081" borderId="3618" xfId="0" applyFont="1" applyFill="1" applyBorder="1" applyAlignment="1">
      <alignment vertical="center"/>
    </xf>
    <xf numFmtId="0" fontId="3" fillId="4082" borderId="3619" xfId="0" applyFont="1" applyFill="1" applyBorder="1" applyAlignment="1">
      <alignment vertical="center"/>
    </xf>
    <xf numFmtId="4" fontId="3" fillId="4083" borderId="3620" xfId="0" applyNumberFormat="1" applyFont="1" applyFill="1" applyBorder="1" applyAlignment="1">
      <alignment vertical="center"/>
    </xf>
    <xf numFmtId="4" fontId="3" fillId="4084" borderId="3621" xfId="0" applyNumberFormat="1" applyFont="1" applyFill="1" applyBorder="1" applyAlignment="1">
      <alignment vertical="center"/>
    </xf>
    <xf numFmtId="4" fontId="3" fillId="4085" borderId="3622" xfId="0" applyNumberFormat="1" applyFont="1" applyFill="1" applyBorder="1" applyAlignment="1">
      <alignment vertical="center"/>
    </xf>
    <xf numFmtId="0" fontId="3" fillId="4086" borderId="3623" xfId="0" applyFont="1" applyFill="1" applyBorder="1" applyAlignment="1">
      <alignment vertical="center"/>
    </xf>
    <xf numFmtId="0" fontId="3" fillId="4087" borderId="3624" xfId="0" applyFont="1" applyFill="1" applyBorder="1" applyAlignment="1">
      <alignment vertical="center"/>
    </xf>
    <xf numFmtId="0" fontId="3" fillId="4089" borderId="3625" xfId="0" applyFont="1" applyFill="1" applyBorder="1" applyAlignment="1">
      <alignment vertical="center"/>
    </xf>
    <xf numFmtId="0" fontId="3" fillId="4090" borderId="3626" xfId="0" applyFont="1" applyFill="1" applyBorder="1" applyAlignment="1">
      <alignment vertical="center"/>
    </xf>
    <xf numFmtId="0" fontId="3" fillId="4091" borderId="3627" xfId="0" applyFont="1" applyFill="1" applyBorder="1" applyAlignment="1">
      <alignment vertical="center"/>
    </xf>
    <xf numFmtId="4" fontId="3" fillId="4092" borderId="3628" xfId="0" applyNumberFormat="1" applyFont="1" applyFill="1" applyBorder="1" applyAlignment="1">
      <alignment vertical="center"/>
    </xf>
    <xf numFmtId="4" fontId="3" fillId="4093" borderId="3629" xfId="0" applyNumberFormat="1" applyFont="1" applyFill="1" applyBorder="1" applyAlignment="1">
      <alignment vertical="center"/>
    </xf>
    <xf numFmtId="4" fontId="3" fillId="4094" borderId="3630" xfId="0" applyNumberFormat="1" applyFont="1" applyFill="1" applyBorder="1" applyAlignment="1">
      <alignment vertical="center"/>
    </xf>
    <xf numFmtId="0" fontId="3" fillId="4095" borderId="3631" xfId="0" applyFont="1" applyFill="1" applyBorder="1" applyAlignment="1">
      <alignment vertical="center"/>
    </xf>
    <xf numFmtId="0" fontId="3" fillId="4096" borderId="3632" xfId="0" applyFont="1" applyFill="1" applyBorder="1" applyAlignment="1">
      <alignment vertical="center"/>
    </xf>
    <xf numFmtId="0" fontId="3" fillId="4098" borderId="3633" xfId="0" applyFont="1" applyFill="1" applyBorder="1" applyAlignment="1">
      <alignment vertical="center"/>
    </xf>
    <xf numFmtId="0" fontId="3" fillId="4099" borderId="3634" xfId="0" applyFont="1" applyFill="1" applyBorder="1" applyAlignment="1">
      <alignment vertical="center"/>
    </xf>
    <xf numFmtId="0" fontId="3" fillId="4100" borderId="3635" xfId="0" applyFont="1" applyFill="1" applyBorder="1" applyAlignment="1">
      <alignment vertical="center"/>
    </xf>
    <xf numFmtId="4" fontId="3" fillId="4101" borderId="3636" xfId="0" applyNumberFormat="1" applyFont="1" applyFill="1" applyBorder="1" applyAlignment="1">
      <alignment vertical="center"/>
    </xf>
    <xf numFmtId="4" fontId="3" fillId="4102" borderId="3637" xfId="0" applyNumberFormat="1" applyFont="1" applyFill="1" applyBorder="1" applyAlignment="1">
      <alignment vertical="center"/>
    </xf>
    <xf numFmtId="4" fontId="3" fillId="4103" borderId="3638" xfId="0" applyNumberFormat="1" applyFont="1" applyFill="1" applyBorder="1" applyAlignment="1">
      <alignment vertical="center"/>
    </xf>
    <xf numFmtId="0" fontId="3" fillId="4104" borderId="3639" xfId="0" applyFont="1" applyFill="1" applyBorder="1" applyAlignment="1">
      <alignment vertical="center"/>
    </xf>
    <xf numFmtId="0" fontId="3" fillId="4105" borderId="3640" xfId="0" applyFont="1" applyFill="1" applyBorder="1" applyAlignment="1">
      <alignment vertical="center"/>
    </xf>
    <xf numFmtId="0" fontId="3" fillId="4107" borderId="3641" xfId="0" applyFont="1" applyFill="1" applyBorder="1" applyAlignment="1">
      <alignment vertical="center"/>
    </xf>
    <xf numFmtId="0" fontId="3" fillId="4108" borderId="3642" xfId="0" applyFont="1" applyFill="1" applyBorder="1" applyAlignment="1">
      <alignment vertical="center"/>
    </xf>
    <xf numFmtId="0" fontId="3" fillId="4109" borderId="3643" xfId="0" applyFont="1" applyFill="1" applyBorder="1" applyAlignment="1">
      <alignment vertical="center"/>
    </xf>
    <xf numFmtId="4" fontId="3" fillId="4110" borderId="3644" xfId="0" applyNumberFormat="1" applyFont="1" applyFill="1" applyBorder="1" applyAlignment="1">
      <alignment vertical="center"/>
    </xf>
    <xf numFmtId="4" fontId="3" fillId="4111" borderId="3645" xfId="0" applyNumberFormat="1" applyFont="1" applyFill="1" applyBorder="1" applyAlignment="1">
      <alignment vertical="center"/>
    </xf>
    <xf numFmtId="4" fontId="3" fillId="4112" borderId="3646" xfId="0" applyNumberFormat="1" applyFont="1" applyFill="1" applyBorder="1" applyAlignment="1">
      <alignment vertical="center"/>
    </xf>
    <xf numFmtId="0" fontId="3" fillId="4113" borderId="3647" xfId="0" applyFont="1" applyFill="1" applyBorder="1" applyAlignment="1">
      <alignment vertical="center"/>
    </xf>
    <xf numFmtId="0" fontId="3" fillId="4114" borderId="3648" xfId="0" applyFont="1" applyFill="1" applyBorder="1" applyAlignment="1">
      <alignment vertical="center"/>
    </xf>
    <xf numFmtId="0" fontId="3" fillId="4116" borderId="3649" xfId="0" applyFont="1" applyFill="1" applyBorder="1" applyAlignment="1">
      <alignment vertical="center"/>
    </xf>
    <xf numFmtId="0" fontId="3" fillId="4117" borderId="3650" xfId="0" applyFont="1" applyFill="1" applyBorder="1" applyAlignment="1">
      <alignment vertical="center"/>
    </xf>
    <xf numFmtId="0" fontId="3" fillId="4118" borderId="3651" xfId="0" applyFont="1" applyFill="1" applyBorder="1" applyAlignment="1">
      <alignment vertical="center"/>
    </xf>
    <xf numFmtId="4" fontId="3" fillId="4119" borderId="3652" xfId="0" applyNumberFormat="1" applyFont="1" applyFill="1" applyBorder="1" applyAlignment="1">
      <alignment vertical="center"/>
    </xf>
    <xf numFmtId="4" fontId="3" fillId="4120" borderId="3653" xfId="0" applyNumberFormat="1" applyFont="1" applyFill="1" applyBorder="1" applyAlignment="1">
      <alignment vertical="center"/>
    </xf>
    <xf numFmtId="4" fontId="3" fillId="4121" borderId="3654" xfId="0" applyNumberFormat="1" applyFont="1" applyFill="1" applyBorder="1" applyAlignment="1">
      <alignment vertical="center"/>
    </xf>
    <xf numFmtId="0" fontId="3" fillId="4122" borderId="3655" xfId="0" applyFont="1" applyFill="1" applyBorder="1" applyAlignment="1">
      <alignment vertical="center"/>
    </xf>
    <xf numFmtId="0" fontId="3" fillId="4123" borderId="3656" xfId="0" applyFont="1" applyFill="1" applyBorder="1" applyAlignment="1">
      <alignment vertical="center"/>
    </xf>
    <xf numFmtId="0" fontId="3" fillId="4125" borderId="3657" xfId="0" applyFont="1" applyFill="1" applyBorder="1" applyAlignment="1">
      <alignment vertical="center"/>
    </xf>
    <xf numFmtId="0" fontId="3" fillId="4126" borderId="3658" xfId="0" applyFont="1" applyFill="1" applyBorder="1" applyAlignment="1">
      <alignment vertical="center"/>
    </xf>
    <xf numFmtId="0" fontId="3" fillId="4127" borderId="3659" xfId="0" applyFont="1" applyFill="1" applyBorder="1" applyAlignment="1">
      <alignment vertical="center"/>
    </xf>
    <xf numFmtId="4" fontId="3" fillId="4128" borderId="3660" xfId="0" applyNumberFormat="1" applyFont="1" applyFill="1" applyBorder="1" applyAlignment="1">
      <alignment vertical="center"/>
    </xf>
    <xf numFmtId="4" fontId="3" fillId="4129" borderId="3661" xfId="0" applyNumberFormat="1" applyFont="1" applyFill="1" applyBorder="1" applyAlignment="1">
      <alignment vertical="center"/>
    </xf>
    <xf numFmtId="4" fontId="3" fillId="4130" borderId="3662" xfId="0" applyNumberFormat="1" applyFont="1" applyFill="1" applyBorder="1" applyAlignment="1">
      <alignment vertical="center"/>
    </xf>
    <xf numFmtId="0" fontId="3" fillId="4131" borderId="3663" xfId="0" applyFont="1" applyFill="1" applyBorder="1" applyAlignment="1">
      <alignment vertical="center"/>
    </xf>
    <xf numFmtId="0" fontId="3" fillId="4132" borderId="3664" xfId="0" applyFont="1" applyFill="1" applyBorder="1" applyAlignment="1">
      <alignment vertical="center"/>
    </xf>
    <xf numFmtId="0" fontId="3" fillId="4134" borderId="3665" xfId="0" applyFont="1" applyFill="1" applyBorder="1" applyAlignment="1">
      <alignment vertical="center"/>
    </xf>
    <xf numFmtId="0" fontId="3" fillId="4135" borderId="3666" xfId="0" applyFont="1" applyFill="1" applyBorder="1" applyAlignment="1">
      <alignment vertical="center"/>
    </xf>
    <xf numFmtId="0" fontId="3" fillId="4136" borderId="3667" xfId="0" applyFont="1" applyFill="1" applyBorder="1" applyAlignment="1">
      <alignment vertical="center"/>
    </xf>
    <xf numFmtId="4" fontId="3" fillId="4137" borderId="3668" xfId="0" applyNumberFormat="1" applyFont="1" applyFill="1" applyBorder="1" applyAlignment="1">
      <alignment vertical="center"/>
    </xf>
    <xf numFmtId="4" fontId="3" fillId="4138" borderId="3669" xfId="0" applyNumberFormat="1" applyFont="1" applyFill="1" applyBorder="1" applyAlignment="1">
      <alignment vertical="center"/>
    </xf>
    <xf numFmtId="4" fontId="3" fillId="4139" borderId="3670" xfId="0" applyNumberFormat="1" applyFont="1" applyFill="1" applyBorder="1" applyAlignment="1">
      <alignment vertical="center"/>
    </xf>
    <xf numFmtId="0" fontId="3" fillId="4140" borderId="3671" xfId="0" applyFont="1" applyFill="1" applyBorder="1" applyAlignment="1">
      <alignment vertical="center"/>
    </xf>
    <xf numFmtId="0" fontId="3" fillId="4141" borderId="3672" xfId="0" applyFont="1" applyFill="1" applyBorder="1" applyAlignment="1">
      <alignment vertical="center"/>
    </xf>
    <xf numFmtId="0" fontId="3" fillId="4143" borderId="3673" xfId="0" applyFont="1" applyFill="1" applyBorder="1" applyAlignment="1">
      <alignment vertical="center"/>
    </xf>
    <xf numFmtId="0" fontId="3" fillId="4144" borderId="3674" xfId="0" applyFont="1" applyFill="1" applyBorder="1" applyAlignment="1">
      <alignment vertical="center"/>
    </xf>
    <xf numFmtId="0" fontId="3" fillId="4145" borderId="3675" xfId="0" applyFont="1" applyFill="1" applyBorder="1" applyAlignment="1">
      <alignment vertical="center"/>
    </xf>
    <xf numFmtId="4" fontId="3" fillId="4146" borderId="3676" xfId="0" applyNumberFormat="1" applyFont="1" applyFill="1" applyBorder="1" applyAlignment="1">
      <alignment vertical="center"/>
    </xf>
    <xf numFmtId="4" fontId="3" fillId="4147" borderId="3677" xfId="0" applyNumberFormat="1" applyFont="1" applyFill="1" applyBorder="1" applyAlignment="1">
      <alignment vertical="center"/>
    </xf>
    <xf numFmtId="4" fontId="3" fillId="4148" borderId="3678" xfId="0" applyNumberFormat="1" applyFont="1" applyFill="1" applyBorder="1" applyAlignment="1">
      <alignment vertical="center"/>
    </xf>
    <xf numFmtId="0" fontId="3" fillId="4149" borderId="3679" xfId="0" applyFont="1" applyFill="1" applyBorder="1" applyAlignment="1">
      <alignment vertical="center"/>
    </xf>
    <xf numFmtId="0" fontId="3" fillId="4150" borderId="3680" xfId="0" applyFont="1" applyFill="1" applyBorder="1" applyAlignment="1">
      <alignment vertical="center"/>
    </xf>
    <xf numFmtId="0" fontId="3" fillId="4152" borderId="3681" xfId="0" applyFont="1" applyFill="1" applyBorder="1" applyAlignment="1">
      <alignment vertical="center"/>
    </xf>
    <xf numFmtId="0" fontId="3" fillId="4153" borderId="3682" xfId="0" applyFont="1" applyFill="1" applyBorder="1" applyAlignment="1">
      <alignment vertical="center"/>
    </xf>
    <xf numFmtId="0" fontId="3" fillId="4154" borderId="3683" xfId="0" applyFont="1" applyFill="1" applyBorder="1" applyAlignment="1">
      <alignment vertical="center"/>
    </xf>
    <xf numFmtId="4" fontId="3" fillId="4155" borderId="3684" xfId="0" applyNumberFormat="1" applyFont="1" applyFill="1" applyBorder="1" applyAlignment="1">
      <alignment vertical="center"/>
    </xf>
    <xf numFmtId="4" fontId="3" fillId="4156" borderId="3685" xfId="0" applyNumberFormat="1" applyFont="1" applyFill="1" applyBorder="1" applyAlignment="1">
      <alignment vertical="center"/>
    </xf>
    <xf numFmtId="4" fontId="3" fillId="4157" borderId="3686" xfId="0" applyNumberFormat="1" applyFont="1" applyFill="1" applyBorder="1" applyAlignment="1">
      <alignment vertical="center"/>
    </xf>
    <xf numFmtId="0" fontId="3" fillId="4158" borderId="3687" xfId="0" applyFont="1" applyFill="1" applyBorder="1" applyAlignment="1">
      <alignment vertical="center"/>
    </xf>
    <xf numFmtId="0" fontId="3" fillId="4159" borderId="3688" xfId="0" applyFont="1" applyFill="1" applyBorder="1" applyAlignment="1">
      <alignment vertical="center"/>
    </xf>
    <xf numFmtId="0" fontId="3" fillId="4161" borderId="3689" xfId="0" applyFont="1" applyFill="1" applyBorder="1" applyAlignment="1">
      <alignment vertical="center"/>
    </xf>
    <xf numFmtId="0" fontId="3" fillId="4162" borderId="3690" xfId="0" applyFont="1" applyFill="1" applyBorder="1" applyAlignment="1">
      <alignment vertical="center"/>
    </xf>
    <xf numFmtId="0" fontId="3" fillId="4163" borderId="3691" xfId="0" applyFont="1" applyFill="1" applyBorder="1" applyAlignment="1">
      <alignment vertical="center"/>
    </xf>
    <xf numFmtId="4" fontId="3" fillId="4164" borderId="3692" xfId="0" applyNumberFormat="1" applyFont="1" applyFill="1" applyBorder="1" applyAlignment="1">
      <alignment vertical="center"/>
    </xf>
    <xf numFmtId="4" fontId="3" fillId="4165" borderId="3693" xfId="0" applyNumberFormat="1" applyFont="1" applyFill="1" applyBorder="1" applyAlignment="1">
      <alignment vertical="center"/>
    </xf>
    <xf numFmtId="4" fontId="3" fillId="4166" borderId="3694" xfId="0" applyNumberFormat="1" applyFont="1" applyFill="1" applyBorder="1" applyAlignment="1">
      <alignment vertical="center"/>
    </xf>
    <xf numFmtId="0" fontId="3" fillId="4167" borderId="3695" xfId="0" applyFont="1" applyFill="1" applyBorder="1" applyAlignment="1">
      <alignment vertical="center"/>
    </xf>
    <xf numFmtId="0" fontId="3" fillId="4168" borderId="3696" xfId="0" applyFont="1" applyFill="1" applyBorder="1" applyAlignment="1">
      <alignment vertical="center"/>
    </xf>
    <xf numFmtId="0" fontId="3" fillId="4170" borderId="3697" xfId="0" applyFont="1" applyFill="1" applyBorder="1" applyAlignment="1">
      <alignment vertical="center"/>
    </xf>
    <xf numFmtId="0" fontId="3" fillId="4171" borderId="3698" xfId="0" applyFont="1" applyFill="1" applyBorder="1" applyAlignment="1">
      <alignment vertical="center"/>
    </xf>
    <xf numFmtId="0" fontId="3" fillId="4172" borderId="3699" xfId="0" applyFont="1" applyFill="1" applyBorder="1" applyAlignment="1">
      <alignment vertical="center"/>
    </xf>
    <xf numFmtId="4" fontId="3" fillId="4173" borderId="3700" xfId="0" applyNumberFormat="1" applyFont="1" applyFill="1" applyBorder="1" applyAlignment="1">
      <alignment vertical="center"/>
    </xf>
    <xf numFmtId="4" fontId="3" fillId="4174" borderId="3701" xfId="0" applyNumberFormat="1" applyFont="1" applyFill="1" applyBorder="1" applyAlignment="1">
      <alignment vertical="center"/>
    </xf>
    <xf numFmtId="4" fontId="3" fillId="4175" borderId="3702" xfId="0" applyNumberFormat="1" applyFont="1" applyFill="1" applyBorder="1" applyAlignment="1">
      <alignment vertical="center"/>
    </xf>
    <xf numFmtId="0" fontId="3" fillId="4176" borderId="3703" xfId="0" applyFont="1" applyFill="1" applyBorder="1" applyAlignment="1">
      <alignment vertical="center"/>
    </xf>
    <xf numFmtId="0" fontId="3" fillId="4177" borderId="3704" xfId="0" applyFont="1" applyFill="1" applyBorder="1" applyAlignment="1">
      <alignment vertical="center"/>
    </xf>
    <xf numFmtId="0" fontId="3" fillId="4179" borderId="3705" xfId="0" applyFont="1" applyFill="1" applyBorder="1" applyAlignment="1">
      <alignment vertical="center"/>
    </xf>
    <xf numFmtId="0" fontId="3" fillId="4180" borderId="3706" xfId="0" applyFont="1" applyFill="1" applyBorder="1" applyAlignment="1">
      <alignment vertical="center"/>
    </xf>
    <xf numFmtId="0" fontId="3" fillId="4181" borderId="3707" xfId="0" applyFont="1" applyFill="1" applyBorder="1" applyAlignment="1">
      <alignment vertical="center"/>
    </xf>
    <xf numFmtId="4" fontId="3" fillId="4182" borderId="3708" xfId="0" applyNumberFormat="1" applyFont="1" applyFill="1" applyBorder="1" applyAlignment="1">
      <alignment vertical="center"/>
    </xf>
    <xf numFmtId="4" fontId="3" fillId="4183" borderId="3709" xfId="0" applyNumberFormat="1" applyFont="1" applyFill="1" applyBorder="1" applyAlignment="1">
      <alignment vertical="center"/>
    </xf>
    <xf numFmtId="4" fontId="3" fillId="4184" borderId="3710" xfId="0" applyNumberFormat="1" applyFont="1" applyFill="1" applyBorder="1" applyAlignment="1">
      <alignment vertical="center"/>
    </xf>
    <xf numFmtId="0" fontId="3" fillId="4185" borderId="3711" xfId="0" applyFont="1" applyFill="1" applyBorder="1" applyAlignment="1">
      <alignment vertical="center"/>
    </xf>
    <xf numFmtId="0" fontId="3" fillId="4186" borderId="3712" xfId="0" applyFont="1" applyFill="1" applyBorder="1" applyAlignment="1">
      <alignment vertical="center"/>
    </xf>
    <xf numFmtId="0" fontId="3" fillId="4188" borderId="3713" xfId="0" applyFont="1" applyFill="1" applyBorder="1" applyAlignment="1">
      <alignment vertical="center"/>
    </xf>
    <xf numFmtId="0" fontId="3" fillId="4189" borderId="3714" xfId="0" applyFont="1" applyFill="1" applyBorder="1" applyAlignment="1">
      <alignment vertical="center"/>
    </xf>
    <xf numFmtId="0" fontId="3" fillId="4190" borderId="3715" xfId="0" applyFont="1" applyFill="1" applyBorder="1" applyAlignment="1">
      <alignment vertical="center"/>
    </xf>
    <xf numFmtId="4" fontId="3" fillId="4191" borderId="3716" xfId="0" applyNumberFormat="1" applyFont="1" applyFill="1" applyBorder="1" applyAlignment="1">
      <alignment vertical="center"/>
    </xf>
    <xf numFmtId="4" fontId="3" fillId="4192" borderId="3717" xfId="0" applyNumberFormat="1" applyFont="1" applyFill="1" applyBorder="1" applyAlignment="1">
      <alignment vertical="center"/>
    </xf>
    <xf numFmtId="4" fontId="3" fillId="4193" borderId="3718" xfId="0" applyNumberFormat="1" applyFont="1" applyFill="1" applyBorder="1" applyAlignment="1">
      <alignment vertical="center"/>
    </xf>
    <xf numFmtId="0" fontId="3" fillId="4194" borderId="3719" xfId="0" applyFont="1" applyFill="1" applyBorder="1" applyAlignment="1">
      <alignment vertical="center"/>
    </xf>
    <xf numFmtId="0" fontId="3" fillId="4195" borderId="3720" xfId="0" applyFont="1" applyFill="1" applyBorder="1" applyAlignment="1">
      <alignment vertical="center"/>
    </xf>
    <xf numFmtId="0" fontId="3" fillId="4197" borderId="3721" xfId="0" applyFont="1" applyFill="1" applyBorder="1" applyAlignment="1">
      <alignment vertical="center"/>
    </xf>
    <xf numFmtId="0" fontId="3" fillId="4198" borderId="3722" xfId="0" applyFont="1" applyFill="1" applyBorder="1" applyAlignment="1">
      <alignment vertical="center"/>
    </xf>
    <xf numFmtId="0" fontId="3" fillId="4199" borderId="3723" xfId="0" applyFont="1" applyFill="1" applyBorder="1" applyAlignment="1">
      <alignment vertical="center"/>
    </xf>
    <xf numFmtId="4" fontId="3" fillId="4200" borderId="3724" xfId="0" applyNumberFormat="1" applyFont="1" applyFill="1" applyBorder="1" applyAlignment="1">
      <alignment vertical="center"/>
    </xf>
    <xf numFmtId="4" fontId="3" fillId="4201" borderId="3725" xfId="0" applyNumberFormat="1" applyFont="1" applyFill="1" applyBorder="1" applyAlignment="1">
      <alignment vertical="center"/>
    </xf>
    <xf numFmtId="4" fontId="3" fillId="4202" borderId="3726" xfId="0" applyNumberFormat="1" applyFont="1" applyFill="1" applyBorder="1" applyAlignment="1">
      <alignment vertical="center"/>
    </xf>
    <xf numFmtId="0" fontId="3" fillId="4203" borderId="3727" xfId="0" applyFont="1" applyFill="1" applyBorder="1" applyAlignment="1">
      <alignment vertical="center"/>
    </xf>
    <xf numFmtId="0" fontId="3" fillId="4204" borderId="3728" xfId="0" applyFont="1" applyFill="1" applyBorder="1" applyAlignment="1">
      <alignment vertical="center"/>
    </xf>
    <xf numFmtId="0" fontId="3" fillId="4206" borderId="3729" xfId="0" applyFont="1" applyFill="1" applyBorder="1" applyAlignment="1">
      <alignment vertical="center"/>
    </xf>
    <xf numFmtId="0" fontId="3" fillId="4207" borderId="3730" xfId="0" applyFont="1" applyFill="1" applyBorder="1" applyAlignment="1">
      <alignment vertical="center"/>
    </xf>
    <xf numFmtId="0" fontId="3" fillId="4208" borderId="3731" xfId="0" applyFont="1" applyFill="1" applyBorder="1" applyAlignment="1">
      <alignment vertical="center"/>
    </xf>
    <xf numFmtId="4" fontId="3" fillId="4209" borderId="3732" xfId="0" applyNumberFormat="1" applyFont="1" applyFill="1" applyBorder="1" applyAlignment="1">
      <alignment vertical="center"/>
    </xf>
    <xf numFmtId="4" fontId="3" fillId="4210" borderId="3733" xfId="0" applyNumberFormat="1" applyFont="1" applyFill="1" applyBorder="1" applyAlignment="1">
      <alignment vertical="center"/>
    </xf>
    <xf numFmtId="4" fontId="3" fillId="4211" borderId="3734" xfId="0" applyNumberFormat="1" applyFont="1" applyFill="1" applyBorder="1" applyAlignment="1">
      <alignment vertical="center"/>
    </xf>
    <xf numFmtId="0" fontId="3" fillId="4212" borderId="3735" xfId="0" applyFont="1" applyFill="1" applyBorder="1" applyAlignment="1">
      <alignment vertical="center"/>
    </xf>
    <xf numFmtId="0" fontId="3" fillId="4213" borderId="3736" xfId="0" applyFont="1" applyFill="1" applyBorder="1" applyAlignment="1">
      <alignment vertical="center"/>
    </xf>
    <xf numFmtId="0" fontId="3" fillId="4215" borderId="3737" xfId="0" applyFont="1" applyFill="1" applyBorder="1" applyAlignment="1">
      <alignment vertical="center"/>
    </xf>
    <xf numFmtId="0" fontId="3" fillId="4216" borderId="3738" xfId="0" applyFont="1" applyFill="1" applyBorder="1" applyAlignment="1">
      <alignment vertical="center"/>
    </xf>
    <xf numFmtId="0" fontId="3" fillId="4217" borderId="3739" xfId="0" applyFont="1" applyFill="1" applyBorder="1" applyAlignment="1">
      <alignment vertical="center"/>
    </xf>
    <xf numFmtId="4" fontId="3" fillId="4218" borderId="3740" xfId="0" applyNumberFormat="1" applyFont="1" applyFill="1" applyBorder="1" applyAlignment="1">
      <alignment vertical="center"/>
    </xf>
    <xf numFmtId="4" fontId="3" fillId="4219" borderId="3741" xfId="0" applyNumberFormat="1" applyFont="1" applyFill="1" applyBorder="1" applyAlignment="1">
      <alignment vertical="center"/>
    </xf>
    <xf numFmtId="4" fontId="3" fillId="4220" borderId="3742" xfId="0" applyNumberFormat="1" applyFont="1" applyFill="1" applyBorder="1" applyAlignment="1">
      <alignment vertical="center"/>
    </xf>
    <xf numFmtId="0" fontId="3" fillId="4221" borderId="3743" xfId="0" applyFont="1" applyFill="1" applyBorder="1" applyAlignment="1">
      <alignment vertical="center"/>
    </xf>
    <xf numFmtId="0" fontId="3" fillId="4222" borderId="3744" xfId="0" applyFont="1" applyFill="1" applyBorder="1" applyAlignment="1">
      <alignment vertical="center"/>
    </xf>
    <xf numFmtId="0" fontId="3" fillId="4224" borderId="3745" xfId="0" applyFont="1" applyFill="1" applyBorder="1" applyAlignment="1">
      <alignment vertical="center"/>
    </xf>
    <xf numFmtId="0" fontId="3" fillId="4225" borderId="3746" xfId="0" applyFont="1" applyFill="1" applyBorder="1" applyAlignment="1">
      <alignment vertical="center"/>
    </xf>
    <xf numFmtId="0" fontId="3" fillId="4226" borderId="3747" xfId="0" applyFont="1" applyFill="1" applyBorder="1" applyAlignment="1">
      <alignment vertical="center"/>
    </xf>
    <xf numFmtId="4" fontId="3" fillId="4227" borderId="3748" xfId="0" applyNumberFormat="1" applyFont="1" applyFill="1" applyBorder="1" applyAlignment="1">
      <alignment vertical="center"/>
    </xf>
    <xf numFmtId="4" fontId="3" fillId="4228" borderId="3749" xfId="0" applyNumberFormat="1" applyFont="1" applyFill="1" applyBorder="1" applyAlignment="1">
      <alignment vertical="center"/>
    </xf>
    <xf numFmtId="4" fontId="3" fillId="4229" borderId="3750" xfId="0" applyNumberFormat="1" applyFont="1" applyFill="1" applyBorder="1" applyAlignment="1">
      <alignment vertical="center"/>
    </xf>
    <xf numFmtId="0" fontId="3" fillId="4230" borderId="3751" xfId="0" applyFont="1" applyFill="1" applyBorder="1" applyAlignment="1">
      <alignment vertical="center"/>
    </xf>
    <xf numFmtId="0" fontId="3" fillId="4231" borderId="3752" xfId="0" applyFont="1" applyFill="1" applyBorder="1" applyAlignment="1">
      <alignment vertical="center"/>
    </xf>
    <xf numFmtId="0" fontId="3" fillId="4233" borderId="3753" xfId="0" applyFont="1" applyFill="1" applyBorder="1" applyAlignment="1">
      <alignment vertical="center"/>
    </xf>
    <xf numFmtId="0" fontId="3" fillId="4234" borderId="3754" xfId="0" applyFont="1" applyFill="1" applyBorder="1" applyAlignment="1">
      <alignment vertical="center"/>
    </xf>
    <xf numFmtId="0" fontId="3" fillId="4235" borderId="3755" xfId="0" applyFont="1" applyFill="1" applyBorder="1" applyAlignment="1">
      <alignment vertical="center"/>
    </xf>
    <xf numFmtId="4" fontId="3" fillId="4236" borderId="3756" xfId="0" applyNumberFormat="1" applyFont="1" applyFill="1" applyBorder="1" applyAlignment="1">
      <alignment vertical="center"/>
    </xf>
    <xf numFmtId="4" fontId="3" fillId="4237" borderId="3757" xfId="0" applyNumberFormat="1" applyFont="1" applyFill="1" applyBorder="1" applyAlignment="1">
      <alignment vertical="center"/>
    </xf>
    <xf numFmtId="4" fontId="3" fillId="4238" borderId="3758" xfId="0" applyNumberFormat="1" applyFont="1" applyFill="1" applyBorder="1" applyAlignment="1">
      <alignment vertical="center"/>
    </xf>
    <xf numFmtId="0" fontId="3" fillId="4239" borderId="3759" xfId="0" applyFont="1" applyFill="1" applyBorder="1" applyAlignment="1">
      <alignment vertical="center"/>
    </xf>
    <xf numFmtId="0" fontId="3" fillId="4240" borderId="3760" xfId="0" applyFont="1" applyFill="1" applyBorder="1" applyAlignment="1">
      <alignment vertical="center"/>
    </xf>
    <xf numFmtId="0" fontId="3" fillId="4242" borderId="3761" xfId="0" applyFont="1" applyFill="1" applyBorder="1" applyAlignment="1">
      <alignment vertical="center"/>
    </xf>
    <xf numFmtId="0" fontId="3" fillId="4243" borderId="3762" xfId="0" applyFont="1" applyFill="1" applyBorder="1" applyAlignment="1">
      <alignment vertical="center"/>
    </xf>
    <xf numFmtId="0" fontId="3" fillId="4244" borderId="3763" xfId="0" applyFont="1" applyFill="1" applyBorder="1" applyAlignment="1">
      <alignment vertical="center"/>
    </xf>
    <xf numFmtId="4" fontId="3" fillId="4245" borderId="3764" xfId="0" applyNumberFormat="1" applyFont="1" applyFill="1" applyBorder="1" applyAlignment="1">
      <alignment vertical="center"/>
    </xf>
    <xf numFmtId="4" fontId="3" fillId="4246" borderId="3765" xfId="0" applyNumberFormat="1" applyFont="1" applyFill="1" applyBorder="1" applyAlignment="1">
      <alignment vertical="center"/>
    </xf>
    <xf numFmtId="4" fontId="3" fillId="4247" borderId="3766" xfId="0" applyNumberFormat="1" applyFont="1" applyFill="1" applyBorder="1" applyAlignment="1">
      <alignment vertical="center"/>
    </xf>
    <xf numFmtId="0" fontId="3" fillId="4248" borderId="3767" xfId="0" applyFont="1" applyFill="1" applyBorder="1" applyAlignment="1">
      <alignment vertical="center"/>
    </xf>
    <xf numFmtId="0" fontId="3" fillId="4249" borderId="3768" xfId="0" applyFont="1" applyFill="1" applyBorder="1" applyAlignment="1">
      <alignment vertical="center"/>
    </xf>
    <xf numFmtId="0" fontId="3" fillId="4251" borderId="3769" xfId="0" applyFont="1" applyFill="1" applyBorder="1" applyAlignment="1">
      <alignment vertical="center"/>
    </xf>
    <xf numFmtId="0" fontId="3" fillId="4252" borderId="3770" xfId="0" applyFont="1" applyFill="1" applyBorder="1" applyAlignment="1">
      <alignment vertical="center"/>
    </xf>
    <xf numFmtId="0" fontId="3" fillId="4253" borderId="3771" xfId="0" applyFont="1" applyFill="1" applyBorder="1" applyAlignment="1">
      <alignment vertical="center"/>
    </xf>
    <xf numFmtId="4" fontId="3" fillId="4254" borderId="3772" xfId="0" applyNumberFormat="1" applyFont="1" applyFill="1" applyBorder="1" applyAlignment="1">
      <alignment vertical="center"/>
    </xf>
    <xf numFmtId="4" fontId="3" fillId="4255" borderId="3773" xfId="0" applyNumberFormat="1" applyFont="1" applyFill="1" applyBorder="1" applyAlignment="1">
      <alignment vertical="center"/>
    </xf>
    <xf numFmtId="4" fontId="3" fillId="4256" borderId="3774" xfId="0" applyNumberFormat="1" applyFont="1" applyFill="1" applyBorder="1" applyAlignment="1">
      <alignment vertical="center"/>
    </xf>
    <xf numFmtId="0" fontId="3" fillId="4257" borderId="3775" xfId="0" applyFont="1" applyFill="1" applyBorder="1" applyAlignment="1">
      <alignment vertical="center"/>
    </xf>
    <xf numFmtId="0" fontId="3" fillId="4258" borderId="3776" xfId="0" applyFont="1" applyFill="1" applyBorder="1" applyAlignment="1">
      <alignment vertical="center"/>
    </xf>
    <xf numFmtId="0" fontId="3" fillId="4260" borderId="3777" xfId="0" applyFont="1" applyFill="1" applyBorder="1" applyAlignment="1">
      <alignment vertical="center"/>
    </xf>
    <xf numFmtId="0" fontId="3" fillId="4261" borderId="3778" xfId="0" applyFont="1" applyFill="1" applyBorder="1" applyAlignment="1">
      <alignment vertical="center"/>
    </xf>
    <xf numFmtId="0" fontId="3" fillId="4262" borderId="3779" xfId="0" applyFont="1" applyFill="1" applyBorder="1" applyAlignment="1">
      <alignment vertical="center"/>
    </xf>
    <xf numFmtId="4" fontId="3" fillId="4263" borderId="3780" xfId="0" applyNumberFormat="1" applyFont="1" applyFill="1" applyBorder="1" applyAlignment="1">
      <alignment vertical="center"/>
    </xf>
    <xf numFmtId="4" fontId="3" fillId="4264" borderId="3781" xfId="0" applyNumberFormat="1" applyFont="1" applyFill="1" applyBorder="1" applyAlignment="1">
      <alignment vertical="center"/>
    </xf>
    <xf numFmtId="4" fontId="3" fillId="4265" borderId="3782" xfId="0" applyNumberFormat="1" applyFont="1" applyFill="1" applyBorder="1" applyAlignment="1">
      <alignment vertical="center"/>
    </xf>
    <xf numFmtId="0" fontId="3" fillId="4266" borderId="3783" xfId="0" applyFont="1" applyFill="1" applyBorder="1" applyAlignment="1">
      <alignment vertical="center"/>
    </xf>
    <xf numFmtId="0" fontId="3" fillId="4267" borderId="3784" xfId="0" applyFont="1" applyFill="1" applyBorder="1" applyAlignment="1">
      <alignment vertical="center"/>
    </xf>
    <xf numFmtId="0" fontId="3" fillId="4269" borderId="3785" xfId="0" applyFont="1" applyFill="1" applyBorder="1" applyAlignment="1">
      <alignment vertical="center"/>
    </xf>
    <xf numFmtId="0" fontId="3" fillId="4270" borderId="3786" xfId="0" applyFont="1" applyFill="1" applyBorder="1" applyAlignment="1">
      <alignment vertical="center"/>
    </xf>
    <xf numFmtId="0" fontId="3" fillId="4271" borderId="3787" xfId="0" applyFont="1" applyFill="1" applyBorder="1" applyAlignment="1">
      <alignment vertical="center"/>
    </xf>
    <xf numFmtId="4" fontId="3" fillId="4272" borderId="3788" xfId="0" applyNumberFormat="1" applyFont="1" applyFill="1" applyBorder="1" applyAlignment="1">
      <alignment vertical="center"/>
    </xf>
    <xf numFmtId="4" fontId="3" fillId="4273" borderId="3789" xfId="0" applyNumberFormat="1" applyFont="1" applyFill="1" applyBorder="1" applyAlignment="1">
      <alignment vertical="center"/>
    </xf>
    <xf numFmtId="4" fontId="3" fillId="4274" borderId="3790" xfId="0" applyNumberFormat="1" applyFont="1" applyFill="1" applyBorder="1" applyAlignment="1">
      <alignment vertical="center"/>
    </xf>
    <xf numFmtId="0" fontId="3" fillId="4275" borderId="3791" xfId="0" applyFont="1" applyFill="1" applyBorder="1" applyAlignment="1">
      <alignment vertical="center"/>
    </xf>
    <xf numFmtId="0" fontId="3" fillId="4276" borderId="3792" xfId="0" applyFont="1" applyFill="1" applyBorder="1" applyAlignment="1">
      <alignment vertical="center"/>
    </xf>
    <xf numFmtId="0" fontId="3" fillId="4278" borderId="3793" xfId="0" applyFont="1" applyFill="1" applyBorder="1" applyAlignment="1">
      <alignment vertical="center"/>
    </xf>
    <xf numFmtId="0" fontId="3" fillId="4279" borderId="3794" xfId="0" applyFont="1" applyFill="1" applyBorder="1" applyAlignment="1">
      <alignment vertical="center"/>
    </xf>
    <xf numFmtId="0" fontId="3" fillId="4280" borderId="3795" xfId="0" applyFont="1" applyFill="1" applyBorder="1" applyAlignment="1">
      <alignment vertical="center"/>
    </xf>
    <xf numFmtId="4" fontId="3" fillId="4281" borderId="3796" xfId="0" applyNumberFormat="1" applyFont="1" applyFill="1" applyBorder="1" applyAlignment="1">
      <alignment vertical="center"/>
    </xf>
    <xf numFmtId="4" fontId="3" fillId="4282" borderId="3797" xfId="0" applyNumberFormat="1" applyFont="1" applyFill="1" applyBorder="1" applyAlignment="1">
      <alignment vertical="center"/>
    </xf>
    <xf numFmtId="4" fontId="3" fillId="4283" borderId="3798" xfId="0" applyNumberFormat="1" applyFont="1" applyFill="1" applyBorder="1" applyAlignment="1">
      <alignment vertical="center"/>
    </xf>
    <xf numFmtId="0" fontId="3" fillId="4284" borderId="3799" xfId="0" applyFont="1" applyFill="1" applyBorder="1" applyAlignment="1">
      <alignment vertical="center"/>
    </xf>
    <xf numFmtId="0" fontId="3" fillId="4285" borderId="3800" xfId="0" applyFont="1" applyFill="1" applyBorder="1" applyAlignment="1">
      <alignment vertical="center"/>
    </xf>
    <xf numFmtId="0" fontId="3" fillId="4287" borderId="3801" xfId="0" applyFont="1" applyFill="1" applyBorder="1" applyAlignment="1">
      <alignment vertical="center"/>
    </xf>
    <xf numFmtId="0" fontId="3" fillId="4288" borderId="3802" xfId="0" applyFont="1" applyFill="1" applyBorder="1" applyAlignment="1">
      <alignment vertical="center"/>
    </xf>
    <xf numFmtId="0" fontId="3" fillId="4289" borderId="3803" xfId="0" applyFont="1" applyFill="1" applyBorder="1" applyAlignment="1">
      <alignment vertical="center"/>
    </xf>
    <xf numFmtId="4" fontId="3" fillId="4290" borderId="3804" xfId="0" applyNumberFormat="1" applyFont="1" applyFill="1" applyBorder="1" applyAlignment="1">
      <alignment vertical="center"/>
    </xf>
    <xf numFmtId="4" fontId="3" fillId="4291" borderId="3805" xfId="0" applyNumberFormat="1" applyFont="1" applyFill="1" applyBorder="1" applyAlignment="1">
      <alignment vertical="center"/>
    </xf>
    <xf numFmtId="4" fontId="3" fillId="4292" borderId="3806" xfId="0" applyNumberFormat="1" applyFont="1" applyFill="1" applyBorder="1" applyAlignment="1">
      <alignment vertical="center"/>
    </xf>
    <xf numFmtId="0" fontId="3" fillId="4293" borderId="3807" xfId="0" applyFont="1" applyFill="1" applyBorder="1" applyAlignment="1">
      <alignment vertical="center"/>
    </xf>
    <xf numFmtId="0" fontId="3" fillId="4294" borderId="3808" xfId="0" applyFont="1" applyFill="1" applyBorder="1" applyAlignment="1">
      <alignment vertical="center"/>
    </xf>
    <xf numFmtId="0" fontId="3" fillId="4296" borderId="3809" xfId="0" applyFont="1" applyFill="1" applyBorder="1" applyAlignment="1">
      <alignment vertical="center"/>
    </xf>
    <xf numFmtId="0" fontId="3" fillId="4297" borderId="3810" xfId="0" applyFont="1" applyFill="1" applyBorder="1" applyAlignment="1">
      <alignment vertical="center"/>
    </xf>
    <xf numFmtId="0" fontId="3" fillId="4298" borderId="3811" xfId="0" applyFont="1" applyFill="1" applyBorder="1" applyAlignment="1">
      <alignment vertical="center"/>
    </xf>
    <xf numFmtId="4" fontId="3" fillId="4299" borderId="3812" xfId="0" applyNumberFormat="1" applyFont="1" applyFill="1" applyBorder="1" applyAlignment="1">
      <alignment vertical="center"/>
    </xf>
    <xf numFmtId="4" fontId="3" fillId="4300" borderId="3813" xfId="0" applyNumberFormat="1" applyFont="1" applyFill="1" applyBorder="1" applyAlignment="1">
      <alignment vertical="center"/>
    </xf>
    <xf numFmtId="4" fontId="3" fillId="4301" borderId="3814" xfId="0" applyNumberFormat="1" applyFont="1" applyFill="1" applyBorder="1" applyAlignment="1">
      <alignment vertical="center"/>
    </xf>
    <xf numFmtId="0" fontId="3" fillId="4302" borderId="3815" xfId="0" applyFont="1" applyFill="1" applyBorder="1" applyAlignment="1">
      <alignment vertical="center"/>
    </xf>
    <xf numFmtId="0" fontId="3" fillId="4303" borderId="3816" xfId="0" applyFont="1" applyFill="1" applyBorder="1" applyAlignment="1">
      <alignment vertical="center"/>
    </xf>
    <xf numFmtId="0" fontId="3" fillId="4305" borderId="3817" xfId="0" applyFont="1" applyFill="1" applyBorder="1" applyAlignment="1">
      <alignment vertical="center"/>
    </xf>
    <xf numFmtId="0" fontId="3" fillId="4306" borderId="3818" xfId="0" applyFont="1" applyFill="1" applyBorder="1" applyAlignment="1">
      <alignment vertical="center"/>
    </xf>
    <xf numFmtId="0" fontId="3" fillId="4307" borderId="3819" xfId="0" applyFont="1" applyFill="1" applyBorder="1" applyAlignment="1">
      <alignment vertical="center"/>
    </xf>
    <xf numFmtId="4" fontId="3" fillId="4308" borderId="3820" xfId="0" applyNumberFormat="1" applyFont="1" applyFill="1" applyBorder="1" applyAlignment="1">
      <alignment vertical="center"/>
    </xf>
    <xf numFmtId="4" fontId="3" fillId="4309" borderId="3821" xfId="0" applyNumberFormat="1" applyFont="1" applyFill="1" applyBorder="1" applyAlignment="1">
      <alignment vertical="center"/>
    </xf>
    <xf numFmtId="4" fontId="3" fillId="4310" borderId="3822" xfId="0" applyNumberFormat="1" applyFont="1" applyFill="1" applyBorder="1" applyAlignment="1">
      <alignment vertical="center"/>
    </xf>
    <xf numFmtId="0" fontId="3" fillId="4311" borderId="3823" xfId="0" applyFont="1" applyFill="1" applyBorder="1" applyAlignment="1">
      <alignment vertical="center"/>
    </xf>
    <xf numFmtId="0" fontId="3" fillId="4312" borderId="3824" xfId="0" applyFont="1" applyFill="1" applyBorder="1" applyAlignment="1">
      <alignment vertical="center"/>
    </xf>
    <xf numFmtId="0" fontId="3" fillId="4314" borderId="3825" xfId="0" applyFont="1" applyFill="1" applyBorder="1" applyAlignment="1">
      <alignment vertical="center"/>
    </xf>
    <xf numFmtId="0" fontId="3" fillId="4315" borderId="3826" xfId="0" applyFont="1" applyFill="1" applyBorder="1" applyAlignment="1">
      <alignment vertical="center"/>
    </xf>
    <xf numFmtId="0" fontId="3" fillId="4316" borderId="3827" xfId="0" applyFont="1" applyFill="1" applyBorder="1" applyAlignment="1">
      <alignment vertical="center"/>
    </xf>
    <xf numFmtId="4" fontId="3" fillId="4317" borderId="3828" xfId="0" applyNumberFormat="1" applyFont="1" applyFill="1" applyBorder="1" applyAlignment="1">
      <alignment vertical="center"/>
    </xf>
    <xf numFmtId="4" fontId="3" fillId="4318" borderId="3829" xfId="0" applyNumberFormat="1" applyFont="1" applyFill="1" applyBorder="1" applyAlignment="1">
      <alignment vertical="center"/>
    </xf>
    <xf numFmtId="4" fontId="3" fillId="4319" borderId="3830" xfId="0" applyNumberFormat="1" applyFont="1" applyFill="1" applyBorder="1" applyAlignment="1">
      <alignment vertical="center"/>
    </xf>
    <xf numFmtId="0" fontId="3" fillId="4320" borderId="3831" xfId="0" applyFont="1" applyFill="1" applyBorder="1" applyAlignment="1">
      <alignment vertical="center"/>
    </xf>
    <xf numFmtId="0" fontId="3" fillId="4321" borderId="3832" xfId="0" applyFont="1" applyFill="1" applyBorder="1" applyAlignment="1">
      <alignment vertical="center"/>
    </xf>
    <xf numFmtId="0" fontId="3" fillId="4323" borderId="3833" xfId="0" applyFont="1" applyFill="1" applyBorder="1" applyAlignment="1">
      <alignment vertical="center"/>
    </xf>
    <xf numFmtId="0" fontId="3" fillId="4324" borderId="3834" xfId="0" applyFont="1" applyFill="1" applyBorder="1" applyAlignment="1">
      <alignment vertical="center"/>
    </xf>
    <xf numFmtId="0" fontId="3" fillId="4325" borderId="3835" xfId="0" applyFont="1" applyFill="1" applyBorder="1" applyAlignment="1">
      <alignment vertical="center"/>
    </xf>
    <xf numFmtId="4" fontId="3" fillId="4326" borderId="3836" xfId="0" applyNumberFormat="1" applyFont="1" applyFill="1" applyBorder="1" applyAlignment="1">
      <alignment vertical="center"/>
    </xf>
    <xf numFmtId="4" fontId="3" fillId="4327" borderId="3837" xfId="0" applyNumberFormat="1" applyFont="1" applyFill="1" applyBorder="1" applyAlignment="1">
      <alignment vertical="center"/>
    </xf>
    <xf numFmtId="4" fontId="3" fillId="4328" borderId="3838" xfId="0" applyNumberFormat="1" applyFont="1" applyFill="1" applyBorder="1" applyAlignment="1">
      <alignment vertical="center"/>
    </xf>
    <xf numFmtId="0" fontId="3" fillId="4329" borderId="3839" xfId="0" applyFont="1" applyFill="1" applyBorder="1" applyAlignment="1">
      <alignment vertical="center"/>
    </xf>
    <xf numFmtId="0" fontId="3" fillId="4330" borderId="3840" xfId="0" applyFont="1" applyFill="1" applyBorder="1" applyAlignment="1">
      <alignment vertical="center"/>
    </xf>
    <xf numFmtId="0" fontId="3" fillId="4332" borderId="3841" xfId="0" applyFont="1" applyFill="1" applyBorder="1" applyAlignment="1">
      <alignment vertical="center"/>
    </xf>
    <xf numFmtId="0" fontId="3" fillId="4333" borderId="3842" xfId="0" applyFont="1" applyFill="1" applyBorder="1" applyAlignment="1">
      <alignment vertical="center"/>
    </xf>
    <xf numFmtId="0" fontId="3" fillId="4334" borderId="3843" xfId="0" applyFont="1" applyFill="1" applyBorder="1" applyAlignment="1">
      <alignment vertical="center"/>
    </xf>
    <xf numFmtId="4" fontId="3" fillId="4335" borderId="3844" xfId="0" applyNumberFormat="1" applyFont="1" applyFill="1" applyBorder="1" applyAlignment="1">
      <alignment vertical="center"/>
    </xf>
    <xf numFmtId="4" fontId="3" fillId="4336" borderId="3845" xfId="0" applyNumberFormat="1" applyFont="1" applyFill="1" applyBorder="1" applyAlignment="1">
      <alignment vertical="center"/>
    </xf>
    <xf numFmtId="4" fontId="3" fillId="4337" borderId="3846" xfId="0" applyNumberFormat="1" applyFont="1" applyFill="1" applyBorder="1" applyAlignment="1">
      <alignment vertical="center"/>
    </xf>
    <xf numFmtId="0" fontId="3" fillId="4338" borderId="3847" xfId="0" applyFont="1" applyFill="1" applyBorder="1" applyAlignment="1">
      <alignment vertical="center"/>
    </xf>
    <xf numFmtId="0" fontId="3" fillId="4339" borderId="3848" xfId="0" applyFont="1" applyFill="1" applyBorder="1" applyAlignment="1">
      <alignment vertical="center"/>
    </xf>
    <xf numFmtId="0" fontId="3" fillId="4341" borderId="3849" xfId="0" applyFont="1" applyFill="1" applyBorder="1" applyAlignment="1">
      <alignment vertical="center"/>
    </xf>
    <xf numFmtId="0" fontId="3" fillId="4342" borderId="3850" xfId="0" applyFont="1" applyFill="1" applyBorder="1" applyAlignment="1">
      <alignment vertical="center"/>
    </xf>
    <xf numFmtId="0" fontId="3" fillId="4343" borderId="3851" xfId="0" applyFont="1" applyFill="1" applyBorder="1" applyAlignment="1">
      <alignment vertical="center"/>
    </xf>
    <xf numFmtId="4" fontId="3" fillId="4344" borderId="3852" xfId="0" applyNumberFormat="1" applyFont="1" applyFill="1" applyBorder="1" applyAlignment="1">
      <alignment vertical="center"/>
    </xf>
    <xf numFmtId="4" fontId="3" fillId="4345" borderId="3853" xfId="0" applyNumberFormat="1" applyFont="1" applyFill="1" applyBorder="1" applyAlignment="1">
      <alignment vertical="center"/>
    </xf>
    <xf numFmtId="4" fontId="3" fillId="4346" borderId="3854" xfId="0" applyNumberFormat="1" applyFont="1" applyFill="1" applyBorder="1" applyAlignment="1">
      <alignment vertical="center"/>
    </xf>
    <xf numFmtId="0" fontId="3" fillId="4347" borderId="3855" xfId="0" applyFont="1" applyFill="1" applyBorder="1" applyAlignment="1">
      <alignment vertical="center"/>
    </xf>
    <xf numFmtId="0" fontId="3" fillId="4348" borderId="3856" xfId="0" applyFont="1" applyFill="1" applyBorder="1" applyAlignment="1">
      <alignment vertical="center"/>
    </xf>
    <xf numFmtId="0" fontId="3" fillId="4350" borderId="3857" xfId="0" applyFont="1" applyFill="1" applyBorder="1" applyAlignment="1">
      <alignment vertical="center"/>
    </xf>
    <xf numFmtId="0" fontId="3" fillId="4351" borderId="3858" xfId="0" applyFont="1" applyFill="1" applyBorder="1" applyAlignment="1">
      <alignment vertical="center"/>
    </xf>
    <xf numFmtId="0" fontId="3" fillId="4352" borderId="3859" xfId="0" applyFont="1" applyFill="1" applyBorder="1" applyAlignment="1">
      <alignment vertical="center"/>
    </xf>
    <xf numFmtId="4" fontId="3" fillId="4353" borderId="3860" xfId="0" applyNumberFormat="1" applyFont="1" applyFill="1" applyBorder="1" applyAlignment="1">
      <alignment vertical="center"/>
    </xf>
    <xf numFmtId="4" fontId="3" fillId="4354" borderId="3861" xfId="0" applyNumberFormat="1" applyFont="1" applyFill="1" applyBorder="1" applyAlignment="1">
      <alignment vertical="center"/>
    </xf>
    <xf numFmtId="4" fontId="3" fillId="4355" borderId="3862" xfId="0" applyNumberFormat="1" applyFont="1" applyFill="1" applyBorder="1" applyAlignment="1">
      <alignment vertical="center"/>
    </xf>
    <xf numFmtId="0" fontId="3" fillId="4356" borderId="3863" xfId="0" applyFont="1" applyFill="1" applyBorder="1" applyAlignment="1">
      <alignment vertical="center"/>
    </xf>
    <xf numFmtId="0" fontId="3" fillId="4357" borderId="3864" xfId="0" applyFont="1" applyFill="1" applyBorder="1" applyAlignment="1">
      <alignment vertical="center"/>
    </xf>
    <xf numFmtId="0" fontId="3" fillId="4359" borderId="3865" xfId="0" applyFont="1" applyFill="1" applyBorder="1" applyAlignment="1">
      <alignment vertical="center"/>
    </xf>
    <xf numFmtId="0" fontId="3" fillId="4360" borderId="3866" xfId="0" applyFont="1" applyFill="1" applyBorder="1" applyAlignment="1">
      <alignment vertical="center"/>
    </xf>
    <xf numFmtId="0" fontId="3" fillId="4361" borderId="3867" xfId="0" applyFont="1" applyFill="1" applyBorder="1" applyAlignment="1">
      <alignment vertical="center"/>
    </xf>
    <xf numFmtId="4" fontId="3" fillId="4362" borderId="3868" xfId="0" applyNumberFormat="1" applyFont="1" applyFill="1" applyBorder="1" applyAlignment="1">
      <alignment vertical="center"/>
    </xf>
    <xf numFmtId="4" fontId="3" fillId="4363" borderId="3869" xfId="0" applyNumberFormat="1" applyFont="1" applyFill="1" applyBorder="1" applyAlignment="1">
      <alignment vertical="center"/>
    </xf>
    <xf numFmtId="4" fontId="3" fillId="4364" borderId="3870" xfId="0" applyNumberFormat="1" applyFont="1" applyFill="1" applyBorder="1" applyAlignment="1">
      <alignment vertical="center"/>
    </xf>
    <xf numFmtId="0" fontId="3" fillId="4365" borderId="3871" xfId="0" applyFont="1" applyFill="1" applyBorder="1" applyAlignment="1">
      <alignment vertical="center"/>
    </xf>
    <xf numFmtId="0" fontId="3" fillId="4366" borderId="3872" xfId="0" applyFont="1" applyFill="1" applyBorder="1" applyAlignment="1">
      <alignment vertical="center"/>
    </xf>
    <xf numFmtId="0" fontId="3" fillId="4368" borderId="3873" xfId="0" applyFont="1" applyFill="1" applyBorder="1" applyAlignment="1">
      <alignment vertical="center"/>
    </xf>
    <xf numFmtId="0" fontId="3" fillId="4369" borderId="3874" xfId="0" applyFont="1" applyFill="1" applyBorder="1" applyAlignment="1">
      <alignment vertical="center"/>
    </xf>
    <xf numFmtId="0" fontId="3" fillId="4370" borderId="3875" xfId="0" applyFont="1" applyFill="1" applyBorder="1" applyAlignment="1">
      <alignment vertical="center"/>
    </xf>
    <xf numFmtId="4" fontId="3" fillId="4371" borderId="3876" xfId="0" applyNumberFormat="1" applyFont="1" applyFill="1" applyBorder="1" applyAlignment="1">
      <alignment vertical="center"/>
    </xf>
    <xf numFmtId="4" fontId="3" fillId="4372" borderId="3877" xfId="0" applyNumberFormat="1" applyFont="1" applyFill="1" applyBorder="1" applyAlignment="1">
      <alignment vertical="center"/>
    </xf>
    <xf numFmtId="4" fontId="3" fillId="4373" borderId="3878" xfId="0" applyNumberFormat="1" applyFont="1" applyFill="1" applyBorder="1" applyAlignment="1">
      <alignment vertical="center"/>
    </xf>
    <xf numFmtId="0" fontId="3" fillId="4374" borderId="3879" xfId="0" applyFont="1" applyFill="1" applyBorder="1" applyAlignment="1">
      <alignment vertical="center"/>
    </xf>
    <xf numFmtId="0" fontId="3" fillId="4375" borderId="3880" xfId="0" applyFont="1" applyFill="1" applyBorder="1" applyAlignment="1">
      <alignment vertical="center"/>
    </xf>
    <xf numFmtId="0" fontId="3" fillId="4377" borderId="3881" xfId="0" applyFont="1" applyFill="1" applyBorder="1" applyAlignment="1">
      <alignment vertical="center"/>
    </xf>
    <xf numFmtId="0" fontId="3" fillId="4378" borderId="3882" xfId="0" applyFont="1" applyFill="1" applyBorder="1" applyAlignment="1">
      <alignment vertical="center"/>
    </xf>
    <xf numFmtId="0" fontId="3" fillId="4379" borderId="3883" xfId="0" applyFont="1" applyFill="1" applyBorder="1" applyAlignment="1">
      <alignment vertical="center"/>
    </xf>
    <xf numFmtId="4" fontId="3" fillId="4380" borderId="3884" xfId="0" applyNumberFormat="1" applyFont="1" applyFill="1" applyBorder="1" applyAlignment="1">
      <alignment vertical="center"/>
    </xf>
    <xf numFmtId="4" fontId="3" fillId="4381" borderId="3885" xfId="0" applyNumberFormat="1" applyFont="1" applyFill="1" applyBorder="1" applyAlignment="1">
      <alignment vertical="center"/>
    </xf>
    <xf numFmtId="4" fontId="3" fillId="4382" borderId="3886" xfId="0" applyNumberFormat="1" applyFont="1" applyFill="1" applyBorder="1" applyAlignment="1">
      <alignment vertical="center"/>
    </xf>
    <xf numFmtId="0" fontId="3" fillId="4383" borderId="3887" xfId="0" applyFont="1" applyFill="1" applyBorder="1" applyAlignment="1">
      <alignment vertical="center"/>
    </xf>
    <xf numFmtId="0" fontId="3" fillId="4384" borderId="3888" xfId="0" applyFont="1" applyFill="1" applyBorder="1" applyAlignment="1">
      <alignment vertical="center"/>
    </xf>
    <xf numFmtId="0" fontId="3" fillId="4386" borderId="3889" xfId="0" applyFont="1" applyFill="1" applyBorder="1" applyAlignment="1">
      <alignment vertical="center"/>
    </xf>
    <xf numFmtId="0" fontId="3" fillId="4387" borderId="3890" xfId="0" applyFont="1" applyFill="1" applyBorder="1" applyAlignment="1">
      <alignment vertical="center"/>
    </xf>
    <xf numFmtId="0" fontId="3" fillId="4388" borderId="3891" xfId="0" applyFont="1" applyFill="1" applyBorder="1" applyAlignment="1">
      <alignment vertical="center"/>
    </xf>
    <xf numFmtId="4" fontId="3" fillId="4389" borderId="3892" xfId="0" applyNumberFormat="1" applyFont="1" applyFill="1" applyBorder="1" applyAlignment="1">
      <alignment vertical="center"/>
    </xf>
    <xf numFmtId="4" fontId="3" fillId="4390" borderId="3893" xfId="0" applyNumberFormat="1" applyFont="1" applyFill="1" applyBorder="1" applyAlignment="1">
      <alignment vertical="center"/>
    </xf>
    <xf numFmtId="4" fontId="3" fillId="4391" borderId="3894" xfId="0" applyNumberFormat="1" applyFont="1" applyFill="1" applyBorder="1" applyAlignment="1">
      <alignment vertical="center"/>
    </xf>
    <xf numFmtId="0" fontId="3" fillId="4392" borderId="3895" xfId="0" applyFont="1" applyFill="1" applyBorder="1" applyAlignment="1">
      <alignment vertical="center"/>
    </xf>
    <xf numFmtId="0" fontId="3" fillId="4393" borderId="3896" xfId="0" applyFont="1" applyFill="1" applyBorder="1" applyAlignment="1">
      <alignment vertical="center"/>
    </xf>
    <xf numFmtId="0" fontId="3" fillId="4395" borderId="3897" xfId="0" applyFont="1" applyFill="1" applyBorder="1" applyAlignment="1">
      <alignment vertical="center"/>
    </xf>
    <xf numFmtId="0" fontId="3" fillId="4396" borderId="3898" xfId="0" applyFont="1" applyFill="1" applyBorder="1" applyAlignment="1">
      <alignment vertical="center"/>
    </xf>
    <xf numFmtId="0" fontId="3" fillId="4397" borderId="3899" xfId="0" applyFont="1" applyFill="1" applyBorder="1" applyAlignment="1">
      <alignment vertical="center"/>
    </xf>
    <xf numFmtId="4" fontId="3" fillId="4398" borderId="3900" xfId="0" applyNumberFormat="1" applyFont="1" applyFill="1" applyBorder="1" applyAlignment="1">
      <alignment vertical="center"/>
    </xf>
    <xf numFmtId="4" fontId="3" fillId="4399" borderId="3901" xfId="0" applyNumberFormat="1" applyFont="1" applyFill="1" applyBorder="1" applyAlignment="1">
      <alignment vertical="center"/>
    </xf>
    <xf numFmtId="4" fontId="3" fillId="4400" borderId="3902" xfId="0" applyNumberFormat="1" applyFont="1" applyFill="1" applyBorder="1" applyAlignment="1">
      <alignment vertical="center"/>
    </xf>
    <xf numFmtId="0" fontId="3" fillId="4401" borderId="3903" xfId="0" applyFont="1" applyFill="1" applyBorder="1" applyAlignment="1">
      <alignment vertical="center"/>
    </xf>
    <xf numFmtId="0" fontId="3" fillId="4402" borderId="3904" xfId="0" applyFont="1" applyFill="1" applyBorder="1" applyAlignment="1">
      <alignment vertical="center"/>
    </xf>
    <xf numFmtId="0" fontId="3" fillId="4404" borderId="3905" xfId="0" applyFont="1" applyFill="1" applyBorder="1" applyAlignment="1">
      <alignment vertical="center"/>
    </xf>
    <xf numFmtId="0" fontId="3" fillId="4405" borderId="3906" xfId="0" applyFont="1" applyFill="1" applyBorder="1" applyAlignment="1">
      <alignment vertical="center"/>
    </xf>
    <xf numFmtId="0" fontId="3" fillId="4406" borderId="3907" xfId="0" applyFont="1" applyFill="1" applyBorder="1" applyAlignment="1">
      <alignment vertical="center"/>
    </xf>
    <xf numFmtId="4" fontId="3" fillId="4407" borderId="3908" xfId="0" applyNumberFormat="1" applyFont="1" applyFill="1" applyBorder="1" applyAlignment="1">
      <alignment vertical="center"/>
    </xf>
    <xf numFmtId="4" fontId="3" fillId="4408" borderId="3909" xfId="0" applyNumberFormat="1" applyFont="1" applyFill="1" applyBorder="1" applyAlignment="1">
      <alignment vertical="center"/>
    </xf>
    <xf numFmtId="4" fontId="3" fillId="4409" borderId="3910" xfId="0" applyNumberFormat="1" applyFont="1" applyFill="1" applyBorder="1" applyAlignment="1">
      <alignment vertical="center"/>
    </xf>
    <xf numFmtId="0" fontId="3" fillId="4410" borderId="3911" xfId="0" applyFont="1" applyFill="1" applyBorder="1" applyAlignment="1">
      <alignment vertical="center"/>
    </xf>
    <xf numFmtId="0" fontId="3" fillId="4411" borderId="3912" xfId="0" applyFont="1" applyFill="1" applyBorder="1" applyAlignment="1">
      <alignment vertical="center"/>
    </xf>
    <xf numFmtId="0" fontId="3" fillId="4413" borderId="3913" xfId="0" applyFont="1" applyFill="1" applyBorder="1" applyAlignment="1">
      <alignment vertical="center"/>
    </xf>
    <xf numFmtId="0" fontId="3" fillId="4414" borderId="3914" xfId="0" applyFont="1" applyFill="1" applyBorder="1" applyAlignment="1">
      <alignment vertical="center"/>
    </xf>
    <xf numFmtId="0" fontId="3" fillId="4415" borderId="3915" xfId="0" applyFont="1" applyFill="1" applyBorder="1" applyAlignment="1">
      <alignment vertical="center"/>
    </xf>
    <xf numFmtId="4" fontId="3" fillId="4416" borderId="3916" xfId="0" applyNumberFormat="1" applyFont="1" applyFill="1" applyBorder="1" applyAlignment="1">
      <alignment vertical="center"/>
    </xf>
    <xf numFmtId="4" fontId="3" fillId="4417" borderId="3917" xfId="0" applyNumberFormat="1" applyFont="1" applyFill="1" applyBorder="1" applyAlignment="1">
      <alignment vertical="center"/>
    </xf>
    <xf numFmtId="4" fontId="3" fillId="4418" borderId="3918" xfId="0" applyNumberFormat="1" applyFont="1" applyFill="1" applyBorder="1" applyAlignment="1">
      <alignment vertical="center"/>
    </xf>
    <xf numFmtId="0" fontId="3" fillId="4419" borderId="3919" xfId="0" applyFont="1" applyFill="1" applyBorder="1" applyAlignment="1">
      <alignment vertical="center"/>
    </xf>
    <xf numFmtId="0" fontId="3" fillId="4420" borderId="3920" xfId="0" applyFont="1" applyFill="1" applyBorder="1" applyAlignment="1">
      <alignment vertical="center"/>
    </xf>
    <xf numFmtId="0" fontId="3" fillId="4422" borderId="3921" xfId="0" applyFont="1" applyFill="1" applyBorder="1" applyAlignment="1">
      <alignment vertical="center"/>
    </xf>
    <xf numFmtId="0" fontId="3" fillId="4423" borderId="3922" xfId="0" applyFont="1" applyFill="1" applyBorder="1" applyAlignment="1">
      <alignment vertical="center"/>
    </xf>
    <xf numFmtId="0" fontId="3" fillId="4424" borderId="3923" xfId="0" applyFont="1" applyFill="1" applyBorder="1" applyAlignment="1">
      <alignment vertical="center"/>
    </xf>
    <xf numFmtId="4" fontId="3" fillId="4425" borderId="3924" xfId="0" applyNumberFormat="1" applyFont="1" applyFill="1" applyBorder="1" applyAlignment="1">
      <alignment vertical="center"/>
    </xf>
    <xf numFmtId="4" fontId="3" fillId="4426" borderId="3925" xfId="0" applyNumberFormat="1" applyFont="1" applyFill="1" applyBorder="1" applyAlignment="1">
      <alignment vertical="center"/>
    </xf>
    <xf numFmtId="4" fontId="3" fillId="4427" borderId="3926" xfId="0" applyNumberFormat="1" applyFont="1" applyFill="1" applyBorder="1" applyAlignment="1">
      <alignment vertical="center"/>
    </xf>
    <xf numFmtId="0" fontId="3" fillId="4428" borderId="3927" xfId="0" applyFont="1" applyFill="1" applyBorder="1" applyAlignment="1">
      <alignment vertical="center"/>
    </xf>
    <xf numFmtId="0" fontId="3" fillId="4429" borderId="3928" xfId="0" applyFont="1" applyFill="1" applyBorder="1" applyAlignment="1">
      <alignment vertical="center"/>
    </xf>
    <xf numFmtId="0" fontId="3" fillId="4431" borderId="3929" xfId="0" applyFont="1" applyFill="1" applyBorder="1" applyAlignment="1">
      <alignment vertical="center"/>
    </xf>
    <xf numFmtId="0" fontId="3" fillId="4432" borderId="3930" xfId="0" applyFont="1" applyFill="1" applyBorder="1" applyAlignment="1">
      <alignment vertical="center"/>
    </xf>
    <xf numFmtId="0" fontId="3" fillId="4433" borderId="3931" xfId="0" applyFont="1" applyFill="1" applyBorder="1" applyAlignment="1">
      <alignment vertical="center"/>
    </xf>
    <xf numFmtId="4" fontId="3" fillId="4434" borderId="3932" xfId="0" applyNumberFormat="1" applyFont="1" applyFill="1" applyBorder="1" applyAlignment="1">
      <alignment vertical="center"/>
    </xf>
    <xf numFmtId="4" fontId="3" fillId="4435" borderId="3933" xfId="0" applyNumberFormat="1" applyFont="1" applyFill="1" applyBorder="1" applyAlignment="1">
      <alignment vertical="center"/>
    </xf>
    <xf numFmtId="4" fontId="3" fillId="4436" borderId="3934" xfId="0" applyNumberFormat="1" applyFont="1" applyFill="1" applyBorder="1" applyAlignment="1">
      <alignment vertical="center"/>
    </xf>
    <xf numFmtId="0" fontId="3" fillId="4437" borderId="3935" xfId="0" applyFont="1" applyFill="1" applyBorder="1" applyAlignment="1">
      <alignment vertical="center"/>
    </xf>
    <xf numFmtId="0" fontId="3" fillId="4438" borderId="3936" xfId="0" applyFont="1" applyFill="1" applyBorder="1" applyAlignment="1">
      <alignment vertical="center"/>
    </xf>
    <xf numFmtId="0" fontId="3" fillId="4440" borderId="3937" xfId="0" applyFont="1" applyFill="1" applyBorder="1" applyAlignment="1">
      <alignment vertical="center"/>
    </xf>
    <xf numFmtId="0" fontId="3" fillId="4441" borderId="3938" xfId="0" applyFont="1" applyFill="1" applyBorder="1" applyAlignment="1">
      <alignment vertical="center"/>
    </xf>
    <xf numFmtId="0" fontId="3" fillId="4442" borderId="3939" xfId="0" applyFont="1" applyFill="1" applyBorder="1" applyAlignment="1">
      <alignment vertical="center"/>
    </xf>
    <xf numFmtId="4" fontId="3" fillId="4443" borderId="3940" xfId="0" applyNumberFormat="1" applyFont="1" applyFill="1" applyBorder="1" applyAlignment="1">
      <alignment vertical="center"/>
    </xf>
    <xf numFmtId="4" fontId="3" fillId="4444" borderId="3941" xfId="0" applyNumberFormat="1" applyFont="1" applyFill="1" applyBorder="1" applyAlignment="1">
      <alignment vertical="center"/>
    </xf>
    <xf numFmtId="4" fontId="3" fillId="4445" borderId="3942" xfId="0" applyNumberFormat="1" applyFont="1" applyFill="1" applyBorder="1" applyAlignment="1">
      <alignment vertical="center"/>
    </xf>
    <xf numFmtId="0" fontId="3" fillId="4446" borderId="3943" xfId="0" applyFont="1" applyFill="1" applyBorder="1" applyAlignment="1">
      <alignment vertical="center"/>
    </xf>
    <xf numFmtId="0" fontId="3" fillId="4447" borderId="3944" xfId="0" applyFont="1" applyFill="1" applyBorder="1" applyAlignment="1">
      <alignment vertical="center"/>
    </xf>
    <xf numFmtId="0" fontId="3" fillId="4449" borderId="3945" xfId="0" applyFont="1" applyFill="1" applyBorder="1" applyAlignment="1">
      <alignment vertical="center"/>
    </xf>
    <xf numFmtId="0" fontId="3" fillId="4450" borderId="3946" xfId="0" applyFont="1" applyFill="1" applyBorder="1" applyAlignment="1">
      <alignment vertical="center"/>
    </xf>
    <xf numFmtId="0" fontId="3" fillId="4451" borderId="3947" xfId="0" applyFont="1" applyFill="1" applyBorder="1" applyAlignment="1">
      <alignment vertical="center"/>
    </xf>
    <xf numFmtId="4" fontId="3" fillId="4452" borderId="3948" xfId="0" applyNumberFormat="1" applyFont="1" applyFill="1" applyBorder="1" applyAlignment="1">
      <alignment vertical="center"/>
    </xf>
    <xf numFmtId="4" fontId="3" fillId="4453" borderId="3949" xfId="0" applyNumberFormat="1" applyFont="1" applyFill="1" applyBorder="1" applyAlignment="1">
      <alignment vertical="center"/>
    </xf>
    <xf numFmtId="4" fontId="3" fillId="4454" borderId="3950" xfId="0" applyNumberFormat="1" applyFont="1" applyFill="1" applyBorder="1" applyAlignment="1">
      <alignment vertical="center"/>
    </xf>
    <xf numFmtId="0" fontId="3" fillId="4455" borderId="3951" xfId="0" applyFont="1" applyFill="1" applyBorder="1" applyAlignment="1">
      <alignment vertical="center"/>
    </xf>
    <xf numFmtId="0" fontId="3" fillId="4456" borderId="3952" xfId="0" applyFont="1" applyFill="1" applyBorder="1" applyAlignment="1">
      <alignment vertical="center"/>
    </xf>
    <xf numFmtId="0" fontId="3" fillId="4458" borderId="3953" xfId="0" applyFont="1" applyFill="1" applyBorder="1" applyAlignment="1">
      <alignment vertical="center"/>
    </xf>
    <xf numFmtId="0" fontId="3" fillId="4459" borderId="3954" xfId="0" applyFont="1" applyFill="1" applyBorder="1" applyAlignment="1">
      <alignment vertical="center"/>
    </xf>
    <xf numFmtId="0" fontId="3" fillId="4460" borderId="3955" xfId="0" applyFont="1" applyFill="1" applyBorder="1" applyAlignment="1">
      <alignment vertical="center"/>
    </xf>
    <xf numFmtId="4" fontId="3" fillId="4461" borderId="3956" xfId="0" applyNumberFormat="1" applyFont="1" applyFill="1" applyBorder="1" applyAlignment="1">
      <alignment vertical="center"/>
    </xf>
    <xf numFmtId="4" fontId="3" fillId="4462" borderId="3957" xfId="0" applyNumberFormat="1" applyFont="1" applyFill="1" applyBorder="1" applyAlignment="1">
      <alignment vertical="center"/>
    </xf>
    <xf numFmtId="4" fontId="3" fillId="4463" borderId="3958" xfId="0" applyNumberFormat="1" applyFont="1" applyFill="1" applyBorder="1" applyAlignment="1">
      <alignment vertical="center"/>
    </xf>
    <xf numFmtId="0" fontId="3" fillId="4464" borderId="3959" xfId="0" applyFont="1" applyFill="1" applyBorder="1" applyAlignment="1">
      <alignment vertical="center"/>
    </xf>
    <xf numFmtId="0" fontId="3" fillId="4465" borderId="3960" xfId="0" applyFont="1" applyFill="1" applyBorder="1" applyAlignment="1">
      <alignment vertical="center"/>
    </xf>
    <xf numFmtId="0" fontId="3" fillId="4467" borderId="3961" xfId="0" applyFont="1" applyFill="1" applyBorder="1" applyAlignment="1">
      <alignment vertical="center"/>
    </xf>
    <xf numFmtId="0" fontId="3" fillId="4468" borderId="3962" xfId="0" applyFont="1" applyFill="1" applyBorder="1" applyAlignment="1">
      <alignment vertical="center"/>
    </xf>
    <xf numFmtId="0" fontId="3" fillId="4469" borderId="3963" xfId="0" applyFont="1" applyFill="1" applyBorder="1" applyAlignment="1">
      <alignment vertical="center"/>
    </xf>
    <xf numFmtId="4" fontId="3" fillId="4470" borderId="3964" xfId="0" applyNumberFormat="1" applyFont="1" applyFill="1" applyBorder="1" applyAlignment="1">
      <alignment vertical="center"/>
    </xf>
    <xf numFmtId="4" fontId="3" fillId="4471" borderId="3965" xfId="0" applyNumberFormat="1" applyFont="1" applyFill="1" applyBorder="1" applyAlignment="1">
      <alignment vertical="center"/>
    </xf>
    <xf numFmtId="4" fontId="3" fillId="4472" borderId="3966" xfId="0" applyNumberFormat="1" applyFont="1" applyFill="1" applyBorder="1" applyAlignment="1">
      <alignment vertical="center"/>
    </xf>
    <xf numFmtId="0" fontId="3" fillId="4473" borderId="3967" xfId="0" applyFont="1" applyFill="1" applyBorder="1" applyAlignment="1">
      <alignment vertical="center"/>
    </xf>
    <xf numFmtId="0" fontId="3" fillId="4474" borderId="3968" xfId="0" applyFont="1" applyFill="1" applyBorder="1" applyAlignment="1">
      <alignment vertical="center"/>
    </xf>
    <xf numFmtId="0" fontId="3" fillId="4476" borderId="3969" xfId="0" applyFont="1" applyFill="1" applyBorder="1" applyAlignment="1">
      <alignment vertical="center"/>
    </xf>
    <xf numFmtId="0" fontId="3" fillId="4477" borderId="3970" xfId="0" applyFont="1" applyFill="1" applyBorder="1" applyAlignment="1">
      <alignment vertical="center"/>
    </xf>
    <xf numFmtId="0" fontId="3" fillId="4478" borderId="3971" xfId="0" applyFont="1" applyFill="1" applyBorder="1" applyAlignment="1">
      <alignment vertical="center"/>
    </xf>
    <xf numFmtId="4" fontId="3" fillId="4479" borderId="3972" xfId="0" applyNumberFormat="1" applyFont="1" applyFill="1" applyBorder="1" applyAlignment="1">
      <alignment vertical="center"/>
    </xf>
    <xf numFmtId="4" fontId="3" fillId="4480" borderId="3973" xfId="0" applyNumberFormat="1" applyFont="1" applyFill="1" applyBorder="1" applyAlignment="1">
      <alignment vertical="center"/>
    </xf>
    <xf numFmtId="4" fontId="3" fillId="4481" borderId="3974" xfId="0" applyNumberFormat="1" applyFont="1" applyFill="1" applyBorder="1" applyAlignment="1">
      <alignment vertical="center"/>
    </xf>
    <xf numFmtId="0" fontId="3" fillId="4482" borderId="3975" xfId="0" applyFont="1" applyFill="1" applyBorder="1" applyAlignment="1">
      <alignment vertical="center"/>
    </xf>
    <xf numFmtId="0" fontId="3" fillId="4483" borderId="3976" xfId="0" applyFont="1" applyFill="1" applyBorder="1" applyAlignment="1">
      <alignment vertical="center"/>
    </xf>
    <xf numFmtId="0" fontId="3" fillId="4485" borderId="3977" xfId="0" applyFont="1" applyFill="1" applyBorder="1" applyAlignment="1">
      <alignment vertical="center"/>
    </xf>
    <xf numFmtId="0" fontId="3" fillId="4486" borderId="3978" xfId="0" applyFont="1" applyFill="1" applyBorder="1" applyAlignment="1">
      <alignment vertical="center"/>
    </xf>
    <xf numFmtId="0" fontId="3" fillId="4487" borderId="3979" xfId="0" applyFont="1" applyFill="1" applyBorder="1" applyAlignment="1">
      <alignment vertical="center"/>
    </xf>
    <xf numFmtId="4" fontId="3" fillId="4488" borderId="3980" xfId="0" applyNumberFormat="1" applyFont="1" applyFill="1" applyBorder="1" applyAlignment="1">
      <alignment vertical="center"/>
    </xf>
    <xf numFmtId="4" fontId="3" fillId="4489" borderId="3981" xfId="0" applyNumberFormat="1" applyFont="1" applyFill="1" applyBorder="1" applyAlignment="1">
      <alignment vertical="center"/>
    </xf>
    <xf numFmtId="4" fontId="3" fillId="4490" borderId="3982" xfId="0" applyNumberFormat="1" applyFont="1" applyFill="1" applyBorder="1" applyAlignment="1">
      <alignment vertical="center"/>
    </xf>
    <xf numFmtId="0" fontId="3" fillId="4491" borderId="3983" xfId="0" applyFont="1" applyFill="1" applyBorder="1" applyAlignment="1">
      <alignment vertical="center"/>
    </xf>
    <xf numFmtId="0" fontId="3" fillId="4492" borderId="3984" xfId="0" applyFont="1" applyFill="1" applyBorder="1" applyAlignment="1">
      <alignment vertical="center"/>
    </xf>
    <xf numFmtId="0" fontId="3" fillId="4494" borderId="3985" xfId="0" applyFont="1" applyFill="1" applyBorder="1" applyAlignment="1">
      <alignment vertical="center"/>
    </xf>
    <xf numFmtId="0" fontId="3" fillId="4495" borderId="3986" xfId="0" applyFont="1" applyFill="1" applyBorder="1" applyAlignment="1">
      <alignment vertical="center"/>
    </xf>
    <xf numFmtId="0" fontId="3" fillId="4496" borderId="3987" xfId="0" applyFont="1" applyFill="1" applyBorder="1" applyAlignment="1">
      <alignment vertical="center"/>
    </xf>
    <xf numFmtId="4" fontId="3" fillId="4497" borderId="3988" xfId="0" applyNumberFormat="1" applyFont="1" applyFill="1" applyBorder="1" applyAlignment="1">
      <alignment vertical="center"/>
    </xf>
    <xf numFmtId="4" fontId="3" fillId="4498" borderId="3989" xfId="0" applyNumberFormat="1" applyFont="1" applyFill="1" applyBorder="1" applyAlignment="1">
      <alignment vertical="center"/>
    </xf>
    <xf numFmtId="4" fontId="3" fillId="4499" borderId="3990" xfId="0" applyNumberFormat="1" applyFont="1" applyFill="1" applyBorder="1" applyAlignment="1">
      <alignment vertical="center"/>
    </xf>
    <xf numFmtId="0" fontId="3" fillId="4500" borderId="3991" xfId="0" applyFont="1" applyFill="1" applyBorder="1" applyAlignment="1">
      <alignment vertical="center"/>
    </xf>
    <xf numFmtId="0" fontId="3" fillId="4501" borderId="3992" xfId="0" applyFont="1" applyFill="1" applyBorder="1" applyAlignment="1">
      <alignment vertical="center"/>
    </xf>
    <xf numFmtId="0" fontId="3" fillId="4503" borderId="3993" xfId="0" applyFont="1" applyFill="1" applyBorder="1" applyAlignment="1">
      <alignment vertical="center"/>
    </xf>
    <xf numFmtId="0" fontId="3" fillId="4504" borderId="3994" xfId="0" applyFont="1" applyFill="1" applyBorder="1" applyAlignment="1">
      <alignment vertical="center"/>
    </xf>
    <xf numFmtId="0" fontId="3" fillId="4505" borderId="3995" xfId="0" applyFont="1" applyFill="1" applyBorder="1" applyAlignment="1">
      <alignment vertical="center"/>
    </xf>
    <xf numFmtId="4" fontId="3" fillId="4506" borderId="3996" xfId="0" applyNumberFormat="1" applyFont="1" applyFill="1" applyBorder="1" applyAlignment="1">
      <alignment vertical="center"/>
    </xf>
    <xf numFmtId="4" fontId="3" fillId="4507" borderId="3997" xfId="0" applyNumberFormat="1" applyFont="1" applyFill="1" applyBorder="1" applyAlignment="1">
      <alignment vertical="center"/>
    </xf>
    <xf numFmtId="4" fontId="3" fillId="4508" borderId="3998" xfId="0" applyNumberFormat="1" applyFont="1" applyFill="1" applyBorder="1" applyAlignment="1">
      <alignment vertical="center"/>
    </xf>
    <xf numFmtId="0" fontId="3" fillId="4509" borderId="3999" xfId="0" applyFont="1" applyFill="1" applyBorder="1" applyAlignment="1">
      <alignment vertical="center"/>
    </xf>
    <xf numFmtId="0" fontId="3" fillId="4510" borderId="4000" xfId="0" applyFont="1" applyFill="1" applyBorder="1" applyAlignment="1">
      <alignment vertical="center"/>
    </xf>
    <xf numFmtId="0" fontId="3" fillId="4512" borderId="4001" xfId="0" applyFont="1" applyFill="1" applyBorder="1" applyAlignment="1">
      <alignment vertical="center"/>
    </xf>
    <xf numFmtId="0" fontId="3" fillId="4513" borderId="4002" xfId="0" applyFont="1" applyFill="1" applyBorder="1" applyAlignment="1">
      <alignment vertical="center"/>
    </xf>
    <xf numFmtId="0" fontId="3" fillId="4514" borderId="4003" xfId="0" applyFont="1" applyFill="1" applyBorder="1" applyAlignment="1">
      <alignment vertical="center"/>
    </xf>
    <xf numFmtId="4" fontId="3" fillId="4515" borderId="4004" xfId="0" applyNumberFormat="1" applyFont="1" applyFill="1" applyBorder="1" applyAlignment="1">
      <alignment vertical="center"/>
    </xf>
    <xf numFmtId="4" fontId="3" fillId="4516" borderId="4005" xfId="0" applyNumberFormat="1" applyFont="1" applyFill="1" applyBorder="1" applyAlignment="1">
      <alignment vertical="center"/>
    </xf>
    <xf numFmtId="4" fontId="3" fillId="4517" borderId="4006" xfId="0" applyNumberFormat="1" applyFont="1" applyFill="1" applyBorder="1" applyAlignment="1">
      <alignment vertical="center"/>
    </xf>
    <xf numFmtId="0" fontId="3" fillId="4518" borderId="4007" xfId="0" applyFont="1" applyFill="1" applyBorder="1" applyAlignment="1">
      <alignment vertical="center"/>
    </xf>
    <xf numFmtId="0" fontId="3" fillId="4519" borderId="4008" xfId="0" applyFont="1" applyFill="1" applyBorder="1" applyAlignment="1">
      <alignment vertical="center"/>
    </xf>
    <xf numFmtId="0" fontId="3" fillId="4521" borderId="4009" xfId="0" applyFont="1" applyFill="1" applyBorder="1" applyAlignment="1">
      <alignment vertical="center"/>
    </xf>
    <xf numFmtId="0" fontId="3" fillId="4522" borderId="4010" xfId="0" applyFont="1" applyFill="1" applyBorder="1" applyAlignment="1">
      <alignment vertical="center"/>
    </xf>
    <xf numFmtId="0" fontId="3" fillId="4523" borderId="4011" xfId="0" applyFont="1" applyFill="1" applyBorder="1" applyAlignment="1">
      <alignment vertical="center"/>
    </xf>
    <xf numFmtId="4" fontId="3" fillId="4524" borderId="4012" xfId="0" applyNumberFormat="1" applyFont="1" applyFill="1" applyBorder="1" applyAlignment="1">
      <alignment vertical="center"/>
    </xf>
    <xf numFmtId="4" fontId="3" fillId="4525" borderId="4013" xfId="0" applyNumberFormat="1" applyFont="1" applyFill="1" applyBorder="1" applyAlignment="1">
      <alignment vertical="center"/>
    </xf>
    <xf numFmtId="4" fontId="3" fillId="4526" borderId="4014" xfId="0" applyNumberFormat="1" applyFont="1" applyFill="1" applyBorder="1" applyAlignment="1">
      <alignment vertical="center"/>
    </xf>
    <xf numFmtId="0" fontId="3" fillId="4527" borderId="4015" xfId="0" applyFont="1" applyFill="1" applyBorder="1" applyAlignment="1">
      <alignment vertical="center"/>
    </xf>
    <xf numFmtId="0" fontId="3" fillId="4528" borderId="4016" xfId="0" applyFont="1" applyFill="1" applyBorder="1" applyAlignment="1">
      <alignment vertical="center"/>
    </xf>
    <xf numFmtId="0" fontId="3" fillId="4530" borderId="4017" xfId="0" applyFont="1" applyFill="1" applyBorder="1" applyAlignment="1">
      <alignment vertical="center"/>
    </xf>
    <xf numFmtId="0" fontId="3" fillId="4531" borderId="4018" xfId="0" applyFont="1" applyFill="1" applyBorder="1" applyAlignment="1">
      <alignment vertical="center"/>
    </xf>
    <xf numFmtId="0" fontId="3" fillId="4532" borderId="4019" xfId="0" applyFont="1" applyFill="1" applyBorder="1" applyAlignment="1">
      <alignment vertical="center"/>
    </xf>
    <xf numFmtId="4" fontId="3" fillId="4533" borderId="4020" xfId="0" applyNumberFormat="1" applyFont="1" applyFill="1" applyBorder="1" applyAlignment="1">
      <alignment vertical="center"/>
    </xf>
    <xf numFmtId="4" fontId="3" fillId="4534" borderId="4021" xfId="0" applyNumberFormat="1" applyFont="1" applyFill="1" applyBorder="1" applyAlignment="1">
      <alignment vertical="center"/>
    </xf>
    <xf numFmtId="4" fontId="3" fillId="4535" borderId="4022" xfId="0" applyNumberFormat="1" applyFont="1" applyFill="1" applyBorder="1" applyAlignment="1">
      <alignment vertical="center"/>
    </xf>
    <xf numFmtId="0" fontId="3" fillId="4536" borderId="4023" xfId="0" applyFont="1" applyFill="1" applyBorder="1" applyAlignment="1">
      <alignment vertical="center"/>
    </xf>
    <xf numFmtId="0" fontId="3" fillId="4537" borderId="4024" xfId="0" applyFont="1" applyFill="1" applyBorder="1" applyAlignment="1">
      <alignment vertical="center"/>
    </xf>
    <xf numFmtId="0" fontId="3" fillId="4539" borderId="4025" xfId="0" applyFont="1" applyFill="1" applyBorder="1" applyAlignment="1">
      <alignment vertical="center"/>
    </xf>
    <xf numFmtId="0" fontId="3" fillId="4540" borderId="4026" xfId="0" applyFont="1" applyFill="1" applyBorder="1" applyAlignment="1">
      <alignment vertical="center"/>
    </xf>
    <xf numFmtId="0" fontId="3" fillId="4541" borderId="4027" xfId="0" applyFont="1" applyFill="1" applyBorder="1" applyAlignment="1">
      <alignment vertical="center"/>
    </xf>
    <xf numFmtId="4" fontId="3" fillId="4542" borderId="4028" xfId="0" applyNumberFormat="1" applyFont="1" applyFill="1" applyBorder="1" applyAlignment="1">
      <alignment vertical="center"/>
    </xf>
    <xf numFmtId="4" fontId="3" fillId="4543" borderId="4029" xfId="0" applyNumberFormat="1" applyFont="1" applyFill="1" applyBorder="1" applyAlignment="1">
      <alignment vertical="center"/>
    </xf>
    <xf numFmtId="4" fontId="3" fillId="4544" borderId="4030" xfId="0" applyNumberFormat="1" applyFont="1" applyFill="1" applyBorder="1" applyAlignment="1">
      <alignment vertical="center"/>
    </xf>
    <xf numFmtId="0" fontId="3" fillId="4545" borderId="4031" xfId="0" applyFont="1" applyFill="1" applyBorder="1" applyAlignment="1">
      <alignment vertical="center"/>
    </xf>
    <xf numFmtId="0" fontId="3" fillId="4546" borderId="4032" xfId="0" applyFont="1" applyFill="1" applyBorder="1" applyAlignment="1">
      <alignment vertical="center"/>
    </xf>
    <xf numFmtId="0" fontId="3" fillId="4548" borderId="4033" xfId="0" applyFont="1" applyFill="1" applyBorder="1" applyAlignment="1">
      <alignment vertical="center"/>
    </xf>
    <xf numFmtId="0" fontId="3" fillId="4549" borderId="4034" xfId="0" applyFont="1" applyFill="1" applyBorder="1" applyAlignment="1">
      <alignment vertical="center"/>
    </xf>
    <xf numFmtId="0" fontId="3" fillId="4550" borderId="4035" xfId="0" applyFont="1" applyFill="1" applyBorder="1" applyAlignment="1">
      <alignment vertical="center"/>
    </xf>
    <xf numFmtId="4" fontId="3" fillId="4551" borderId="4036" xfId="0" applyNumberFormat="1" applyFont="1" applyFill="1" applyBorder="1" applyAlignment="1">
      <alignment vertical="center"/>
    </xf>
    <xf numFmtId="4" fontId="3" fillId="4552" borderId="4037" xfId="0" applyNumberFormat="1" applyFont="1" applyFill="1" applyBorder="1" applyAlignment="1">
      <alignment vertical="center"/>
    </xf>
    <xf numFmtId="4" fontId="3" fillId="4553" borderId="4038" xfId="0" applyNumberFormat="1" applyFont="1" applyFill="1" applyBorder="1" applyAlignment="1">
      <alignment vertical="center"/>
    </xf>
    <xf numFmtId="0" fontId="3" fillId="4554" borderId="4039" xfId="0" applyFont="1" applyFill="1" applyBorder="1" applyAlignment="1">
      <alignment vertical="center"/>
    </xf>
    <xf numFmtId="0" fontId="3" fillId="4555" borderId="4040" xfId="0" applyFont="1" applyFill="1" applyBorder="1" applyAlignment="1">
      <alignment vertical="center"/>
    </xf>
    <xf numFmtId="0" fontId="3" fillId="4557" borderId="4041" xfId="0" applyFont="1" applyFill="1" applyBorder="1" applyAlignment="1">
      <alignment vertical="center"/>
    </xf>
    <xf numFmtId="0" fontId="3" fillId="4558" borderId="4042" xfId="0" applyFont="1" applyFill="1" applyBorder="1" applyAlignment="1">
      <alignment vertical="center"/>
    </xf>
    <xf numFmtId="0" fontId="3" fillId="4559" borderId="4043" xfId="0" applyFont="1" applyFill="1" applyBorder="1" applyAlignment="1">
      <alignment vertical="center"/>
    </xf>
    <xf numFmtId="4" fontId="3" fillId="4560" borderId="4044" xfId="0" applyNumberFormat="1" applyFont="1" applyFill="1" applyBorder="1" applyAlignment="1">
      <alignment vertical="center"/>
    </xf>
    <xf numFmtId="4" fontId="3" fillId="4561" borderId="4045" xfId="0" applyNumberFormat="1" applyFont="1" applyFill="1" applyBorder="1" applyAlignment="1">
      <alignment vertical="center"/>
    </xf>
    <xf numFmtId="4" fontId="3" fillId="4562" borderId="4046" xfId="0" applyNumberFormat="1" applyFont="1" applyFill="1" applyBorder="1" applyAlignment="1">
      <alignment vertical="center"/>
    </xf>
    <xf numFmtId="0" fontId="3" fillId="4563" borderId="4047" xfId="0" applyFont="1" applyFill="1" applyBorder="1" applyAlignment="1">
      <alignment vertical="center"/>
    </xf>
    <xf numFmtId="0" fontId="3" fillId="4564" borderId="4048" xfId="0" applyFont="1" applyFill="1" applyBorder="1" applyAlignment="1">
      <alignment vertical="center"/>
    </xf>
    <xf numFmtId="0" fontId="3" fillId="4566" borderId="4049" xfId="0" applyFont="1" applyFill="1" applyBorder="1" applyAlignment="1">
      <alignment vertical="center"/>
    </xf>
    <xf numFmtId="0" fontId="3" fillId="4567" borderId="4050" xfId="0" applyFont="1" applyFill="1" applyBorder="1" applyAlignment="1">
      <alignment vertical="center"/>
    </xf>
    <xf numFmtId="0" fontId="3" fillId="4568" borderId="4051" xfId="0" applyFont="1" applyFill="1" applyBorder="1" applyAlignment="1">
      <alignment vertical="center"/>
    </xf>
    <xf numFmtId="4" fontId="3" fillId="4569" borderId="4052" xfId="0" applyNumberFormat="1" applyFont="1" applyFill="1" applyBorder="1" applyAlignment="1">
      <alignment vertical="center"/>
    </xf>
    <xf numFmtId="4" fontId="3" fillId="4570" borderId="4053" xfId="0" applyNumberFormat="1" applyFont="1" applyFill="1" applyBorder="1" applyAlignment="1">
      <alignment vertical="center"/>
    </xf>
    <xf numFmtId="4" fontId="3" fillId="4571" borderId="4054" xfId="0" applyNumberFormat="1" applyFont="1" applyFill="1" applyBorder="1" applyAlignment="1">
      <alignment vertical="center"/>
    </xf>
    <xf numFmtId="0" fontId="3" fillId="4572" borderId="4055" xfId="0" applyFont="1" applyFill="1" applyBorder="1" applyAlignment="1">
      <alignment vertical="center"/>
    </xf>
    <xf numFmtId="0" fontId="3" fillId="4573" borderId="4056" xfId="0" applyFont="1" applyFill="1" applyBorder="1" applyAlignment="1">
      <alignment vertical="center"/>
    </xf>
    <xf numFmtId="0" fontId="3" fillId="4575" borderId="4057" xfId="0" applyFont="1" applyFill="1" applyBorder="1" applyAlignment="1">
      <alignment vertical="center"/>
    </xf>
    <xf numFmtId="0" fontId="3" fillId="4576" borderId="4058" xfId="0" applyFont="1" applyFill="1" applyBorder="1" applyAlignment="1">
      <alignment vertical="center"/>
    </xf>
    <xf numFmtId="0" fontId="3" fillId="4577" borderId="4059" xfId="0" applyFont="1" applyFill="1" applyBorder="1" applyAlignment="1">
      <alignment vertical="center"/>
    </xf>
    <xf numFmtId="4" fontId="3" fillId="4578" borderId="4060" xfId="0" applyNumberFormat="1" applyFont="1" applyFill="1" applyBorder="1" applyAlignment="1">
      <alignment vertical="center"/>
    </xf>
    <xf numFmtId="4" fontId="3" fillId="4579" borderId="4061" xfId="0" applyNumberFormat="1" applyFont="1" applyFill="1" applyBorder="1" applyAlignment="1">
      <alignment vertical="center"/>
    </xf>
    <xf numFmtId="4" fontId="3" fillId="4580" borderId="4062" xfId="0" applyNumberFormat="1" applyFont="1" applyFill="1" applyBorder="1" applyAlignment="1">
      <alignment vertical="center"/>
    </xf>
    <xf numFmtId="0" fontId="3" fillId="4581" borderId="4063" xfId="0" applyFont="1" applyFill="1" applyBorder="1" applyAlignment="1">
      <alignment vertical="center"/>
    </xf>
    <xf numFmtId="0" fontId="3" fillId="4582" borderId="4064" xfId="0" applyFont="1" applyFill="1" applyBorder="1" applyAlignment="1">
      <alignment vertical="center"/>
    </xf>
    <xf numFmtId="0" fontId="3" fillId="4584" borderId="4065" xfId="0" applyFont="1" applyFill="1" applyBorder="1" applyAlignment="1">
      <alignment vertical="center"/>
    </xf>
    <xf numFmtId="0" fontId="3" fillId="4585" borderId="4066" xfId="0" applyFont="1" applyFill="1" applyBorder="1" applyAlignment="1">
      <alignment vertical="center"/>
    </xf>
    <xf numFmtId="0" fontId="3" fillId="4586" borderId="4067" xfId="0" applyFont="1" applyFill="1" applyBorder="1" applyAlignment="1">
      <alignment vertical="center"/>
    </xf>
    <xf numFmtId="4" fontId="3" fillId="4587" borderId="4068" xfId="0" applyNumberFormat="1" applyFont="1" applyFill="1" applyBorder="1" applyAlignment="1">
      <alignment vertical="center"/>
    </xf>
    <xf numFmtId="4" fontId="3" fillId="4588" borderId="4069" xfId="0" applyNumberFormat="1" applyFont="1" applyFill="1" applyBorder="1" applyAlignment="1">
      <alignment vertical="center"/>
    </xf>
    <xf numFmtId="4" fontId="3" fillId="4589" borderId="4070" xfId="0" applyNumberFormat="1" applyFont="1" applyFill="1" applyBorder="1" applyAlignment="1">
      <alignment vertical="center"/>
    </xf>
    <xf numFmtId="0" fontId="3" fillId="4590" borderId="4071" xfId="0" applyFont="1" applyFill="1" applyBorder="1" applyAlignment="1">
      <alignment vertical="center"/>
    </xf>
    <xf numFmtId="0" fontId="3" fillId="4591" borderId="4072" xfId="0" applyFont="1" applyFill="1" applyBorder="1" applyAlignment="1">
      <alignment vertical="center"/>
    </xf>
    <xf numFmtId="0" fontId="3" fillId="4593" borderId="4073" xfId="0" applyFont="1" applyFill="1" applyBorder="1" applyAlignment="1">
      <alignment vertical="center"/>
    </xf>
    <xf numFmtId="0" fontId="3" fillId="4594" borderId="4074" xfId="0" applyFont="1" applyFill="1" applyBorder="1" applyAlignment="1">
      <alignment vertical="center"/>
    </xf>
    <xf numFmtId="0" fontId="3" fillId="4595" borderId="4075" xfId="0" applyFont="1" applyFill="1" applyBorder="1" applyAlignment="1">
      <alignment vertical="center"/>
    </xf>
    <xf numFmtId="4" fontId="3" fillId="4596" borderId="4076" xfId="0" applyNumberFormat="1" applyFont="1" applyFill="1" applyBorder="1" applyAlignment="1">
      <alignment vertical="center"/>
    </xf>
    <xf numFmtId="4" fontId="3" fillId="4597" borderId="4077" xfId="0" applyNumberFormat="1" applyFont="1" applyFill="1" applyBorder="1" applyAlignment="1">
      <alignment vertical="center"/>
    </xf>
    <xf numFmtId="4" fontId="3" fillId="4598" borderId="4078" xfId="0" applyNumberFormat="1" applyFont="1" applyFill="1" applyBorder="1" applyAlignment="1">
      <alignment vertical="center"/>
    </xf>
    <xf numFmtId="0" fontId="3" fillId="4599" borderId="4079" xfId="0" applyFont="1" applyFill="1" applyBorder="1" applyAlignment="1">
      <alignment vertical="center"/>
    </xf>
    <xf numFmtId="0" fontId="3" fillId="4600" borderId="4080" xfId="0" applyFont="1" applyFill="1" applyBorder="1" applyAlignment="1">
      <alignment vertical="center"/>
    </xf>
    <xf numFmtId="0" fontId="3" fillId="4602" borderId="4081" xfId="0" applyFont="1" applyFill="1" applyBorder="1" applyAlignment="1">
      <alignment vertical="center"/>
    </xf>
    <xf numFmtId="0" fontId="3" fillId="4603" borderId="4082" xfId="0" applyFont="1" applyFill="1" applyBorder="1" applyAlignment="1">
      <alignment vertical="center"/>
    </xf>
    <xf numFmtId="0" fontId="3" fillId="4604" borderId="4083" xfId="0" applyFont="1" applyFill="1" applyBorder="1" applyAlignment="1">
      <alignment vertical="center"/>
    </xf>
    <xf numFmtId="4" fontId="3" fillId="4605" borderId="4084" xfId="0" applyNumberFormat="1" applyFont="1" applyFill="1" applyBorder="1" applyAlignment="1">
      <alignment vertical="center"/>
    </xf>
    <xf numFmtId="4" fontId="3" fillId="4606" borderId="4085" xfId="0" applyNumberFormat="1" applyFont="1" applyFill="1" applyBorder="1" applyAlignment="1">
      <alignment vertical="center"/>
    </xf>
    <xf numFmtId="4" fontId="3" fillId="4607" borderId="4086" xfId="0" applyNumberFormat="1" applyFont="1" applyFill="1" applyBorder="1" applyAlignment="1">
      <alignment vertical="center"/>
    </xf>
    <xf numFmtId="0" fontId="3" fillId="4608" borderId="4087" xfId="0" applyFont="1" applyFill="1" applyBorder="1" applyAlignment="1">
      <alignment vertical="center"/>
    </xf>
    <xf numFmtId="0" fontId="3" fillId="4609" borderId="4088" xfId="0" applyFont="1" applyFill="1" applyBorder="1" applyAlignment="1">
      <alignment vertical="center"/>
    </xf>
    <xf numFmtId="0" fontId="3" fillId="4611" borderId="4089" xfId="0" applyFont="1" applyFill="1" applyBorder="1" applyAlignment="1">
      <alignment vertical="center"/>
    </xf>
    <xf numFmtId="0" fontId="3" fillId="4612" borderId="4090" xfId="0" applyFont="1" applyFill="1" applyBorder="1" applyAlignment="1">
      <alignment vertical="center"/>
    </xf>
    <xf numFmtId="0" fontId="3" fillId="4613" borderId="4091" xfId="0" applyFont="1" applyFill="1" applyBorder="1" applyAlignment="1">
      <alignment vertical="center"/>
    </xf>
    <xf numFmtId="4" fontId="3" fillId="4614" borderId="4092" xfId="0" applyNumberFormat="1" applyFont="1" applyFill="1" applyBorder="1" applyAlignment="1">
      <alignment vertical="center"/>
    </xf>
    <xf numFmtId="4" fontId="3" fillId="4615" borderId="4093" xfId="0" applyNumberFormat="1" applyFont="1" applyFill="1" applyBorder="1" applyAlignment="1">
      <alignment vertical="center"/>
    </xf>
    <xf numFmtId="4" fontId="3" fillId="4616" borderId="4094" xfId="0" applyNumberFormat="1" applyFont="1" applyFill="1" applyBorder="1" applyAlignment="1">
      <alignment vertical="center"/>
    </xf>
    <xf numFmtId="0" fontId="3" fillId="4617" borderId="4095" xfId="0" applyFont="1" applyFill="1" applyBorder="1" applyAlignment="1">
      <alignment vertical="center"/>
    </xf>
    <xf numFmtId="0" fontId="3" fillId="4618" borderId="4096" xfId="0" applyFont="1" applyFill="1" applyBorder="1" applyAlignment="1">
      <alignment vertical="center"/>
    </xf>
    <xf numFmtId="0" fontId="3" fillId="4620" borderId="4097" xfId="0" applyFont="1" applyFill="1" applyBorder="1" applyAlignment="1">
      <alignment vertical="center"/>
    </xf>
    <xf numFmtId="0" fontId="3" fillId="4621" borderId="4098" xfId="0" applyFont="1" applyFill="1" applyBorder="1" applyAlignment="1">
      <alignment vertical="center"/>
    </xf>
    <xf numFmtId="0" fontId="3" fillId="4622" borderId="4099" xfId="0" applyFont="1" applyFill="1" applyBorder="1" applyAlignment="1">
      <alignment vertical="center"/>
    </xf>
    <xf numFmtId="4" fontId="3" fillId="4623" borderId="4100" xfId="0" applyNumberFormat="1" applyFont="1" applyFill="1" applyBorder="1" applyAlignment="1">
      <alignment vertical="center"/>
    </xf>
    <xf numFmtId="4" fontId="3" fillId="4624" borderId="4101" xfId="0" applyNumberFormat="1" applyFont="1" applyFill="1" applyBorder="1" applyAlignment="1">
      <alignment vertical="center"/>
    </xf>
    <xf numFmtId="4" fontId="3" fillId="4625" borderId="4102" xfId="0" applyNumberFormat="1" applyFont="1" applyFill="1" applyBorder="1" applyAlignment="1">
      <alignment vertical="center"/>
    </xf>
    <xf numFmtId="0" fontId="3" fillId="4626" borderId="4103" xfId="0" applyFont="1" applyFill="1" applyBorder="1" applyAlignment="1">
      <alignment vertical="center"/>
    </xf>
    <xf numFmtId="0" fontId="3" fillId="4627" borderId="4104" xfId="0" applyFont="1" applyFill="1" applyBorder="1" applyAlignment="1">
      <alignment vertical="center"/>
    </xf>
    <xf numFmtId="0" fontId="3" fillId="4629" borderId="4105" xfId="0" applyFont="1" applyFill="1" applyBorder="1" applyAlignment="1">
      <alignment vertical="center"/>
    </xf>
    <xf numFmtId="0" fontId="3" fillId="4630" borderId="4106" xfId="0" applyFont="1" applyFill="1" applyBorder="1" applyAlignment="1">
      <alignment vertical="center"/>
    </xf>
    <xf numFmtId="0" fontId="3" fillId="4631" borderId="4107" xfId="0" applyFont="1" applyFill="1" applyBorder="1" applyAlignment="1">
      <alignment vertical="center"/>
    </xf>
    <xf numFmtId="4" fontId="3" fillId="4632" borderId="4108" xfId="0" applyNumberFormat="1" applyFont="1" applyFill="1" applyBorder="1" applyAlignment="1">
      <alignment vertical="center"/>
    </xf>
    <xf numFmtId="4" fontId="3" fillId="4633" borderId="4109" xfId="0" applyNumberFormat="1" applyFont="1" applyFill="1" applyBorder="1" applyAlignment="1">
      <alignment vertical="center"/>
    </xf>
    <xf numFmtId="4" fontId="3" fillId="4634" borderId="4110" xfId="0" applyNumberFormat="1" applyFont="1" applyFill="1" applyBorder="1" applyAlignment="1">
      <alignment vertical="center"/>
    </xf>
    <xf numFmtId="0" fontId="3" fillId="4635" borderId="4111" xfId="0" applyFont="1" applyFill="1" applyBorder="1" applyAlignment="1">
      <alignment vertical="center"/>
    </xf>
    <xf numFmtId="0" fontId="3" fillId="4636" borderId="4112" xfId="0" applyFont="1" applyFill="1" applyBorder="1" applyAlignment="1">
      <alignment vertical="center"/>
    </xf>
    <xf numFmtId="0" fontId="3" fillId="4638" borderId="4113" xfId="0" applyFont="1" applyFill="1" applyBorder="1" applyAlignment="1">
      <alignment vertical="center"/>
    </xf>
    <xf numFmtId="0" fontId="3" fillId="4639" borderId="4114" xfId="0" applyFont="1" applyFill="1" applyBorder="1" applyAlignment="1">
      <alignment vertical="center"/>
    </xf>
    <xf numFmtId="0" fontId="3" fillId="4640" borderId="4115" xfId="0" applyFont="1" applyFill="1" applyBorder="1" applyAlignment="1">
      <alignment vertical="center"/>
    </xf>
    <xf numFmtId="4" fontId="3" fillId="4641" borderId="4116" xfId="0" applyNumberFormat="1" applyFont="1" applyFill="1" applyBorder="1" applyAlignment="1">
      <alignment vertical="center"/>
    </xf>
    <xf numFmtId="4" fontId="3" fillId="4642" borderId="4117" xfId="0" applyNumberFormat="1" applyFont="1" applyFill="1" applyBorder="1" applyAlignment="1">
      <alignment vertical="center"/>
    </xf>
    <xf numFmtId="4" fontId="3" fillId="4643" borderId="4118" xfId="0" applyNumberFormat="1" applyFont="1" applyFill="1" applyBorder="1" applyAlignment="1">
      <alignment vertical="center"/>
    </xf>
    <xf numFmtId="0" fontId="3" fillId="4644" borderId="4119" xfId="0" applyFont="1" applyFill="1" applyBorder="1" applyAlignment="1">
      <alignment vertical="center"/>
    </xf>
    <xf numFmtId="0" fontId="3" fillId="4645" borderId="4120" xfId="0" applyFont="1" applyFill="1" applyBorder="1" applyAlignment="1">
      <alignment vertical="center"/>
    </xf>
    <xf numFmtId="0" fontId="3" fillId="4647" borderId="4121" xfId="0" applyFont="1" applyFill="1" applyBorder="1" applyAlignment="1">
      <alignment vertical="center"/>
    </xf>
    <xf numFmtId="0" fontId="3" fillId="4648" borderId="4122" xfId="0" applyFont="1" applyFill="1" applyBorder="1" applyAlignment="1">
      <alignment vertical="center"/>
    </xf>
    <xf numFmtId="0" fontId="3" fillId="4649" borderId="4123" xfId="0" applyFont="1" applyFill="1" applyBorder="1" applyAlignment="1">
      <alignment vertical="center"/>
    </xf>
    <xf numFmtId="4" fontId="3" fillId="4650" borderId="4124" xfId="0" applyNumberFormat="1" applyFont="1" applyFill="1" applyBorder="1" applyAlignment="1">
      <alignment vertical="center"/>
    </xf>
    <xf numFmtId="4" fontId="3" fillId="4651" borderId="4125" xfId="0" applyNumberFormat="1" applyFont="1" applyFill="1" applyBorder="1" applyAlignment="1">
      <alignment vertical="center"/>
    </xf>
    <xf numFmtId="4" fontId="3" fillId="4652" borderId="4126" xfId="0" applyNumberFormat="1" applyFont="1" applyFill="1" applyBorder="1" applyAlignment="1">
      <alignment vertical="center"/>
    </xf>
    <xf numFmtId="0" fontId="3" fillId="4653" borderId="4127" xfId="0" applyFont="1" applyFill="1" applyBorder="1" applyAlignment="1">
      <alignment vertical="center"/>
    </xf>
    <xf numFmtId="0" fontId="3" fillId="4654" borderId="4128" xfId="0" applyFont="1" applyFill="1" applyBorder="1" applyAlignment="1">
      <alignment vertical="center"/>
    </xf>
    <xf numFmtId="0" fontId="3" fillId="4656" borderId="4129" xfId="0" applyFont="1" applyFill="1" applyBorder="1" applyAlignment="1">
      <alignment vertical="center"/>
    </xf>
    <xf numFmtId="0" fontId="3" fillId="4657" borderId="4130" xfId="0" applyFont="1" applyFill="1" applyBorder="1" applyAlignment="1">
      <alignment vertical="center"/>
    </xf>
    <xf numFmtId="0" fontId="3" fillId="4658" borderId="4131" xfId="0" applyFont="1" applyFill="1" applyBorder="1" applyAlignment="1">
      <alignment vertical="center"/>
    </xf>
    <xf numFmtId="4" fontId="3" fillId="4659" borderId="4132" xfId="0" applyNumberFormat="1" applyFont="1" applyFill="1" applyBorder="1" applyAlignment="1">
      <alignment vertical="center"/>
    </xf>
    <xf numFmtId="4" fontId="3" fillId="4660" borderId="4133" xfId="0" applyNumberFormat="1" applyFont="1" applyFill="1" applyBorder="1" applyAlignment="1">
      <alignment vertical="center"/>
    </xf>
    <xf numFmtId="4" fontId="3" fillId="4661" borderId="4134" xfId="0" applyNumberFormat="1" applyFont="1" applyFill="1" applyBorder="1" applyAlignment="1">
      <alignment vertical="center"/>
    </xf>
    <xf numFmtId="0" fontId="3" fillId="4662" borderId="4135" xfId="0" applyFont="1" applyFill="1" applyBorder="1" applyAlignment="1">
      <alignment vertical="center"/>
    </xf>
    <xf numFmtId="0" fontId="3" fillId="4663" borderId="4136" xfId="0" applyFont="1" applyFill="1" applyBorder="1" applyAlignment="1">
      <alignment vertical="center"/>
    </xf>
    <xf numFmtId="0" fontId="3" fillId="4665" borderId="4137" xfId="0" applyFont="1" applyFill="1" applyBorder="1" applyAlignment="1">
      <alignment vertical="center"/>
    </xf>
    <xf numFmtId="0" fontId="3" fillId="4666" borderId="4138" xfId="0" applyFont="1" applyFill="1" applyBorder="1" applyAlignment="1">
      <alignment vertical="center"/>
    </xf>
    <xf numFmtId="0" fontId="3" fillId="4667" borderId="4139" xfId="0" applyFont="1" applyFill="1" applyBorder="1" applyAlignment="1">
      <alignment vertical="center"/>
    </xf>
    <xf numFmtId="4" fontId="3" fillId="4668" borderId="4140" xfId="0" applyNumberFormat="1" applyFont="1" applyFill="1" applyBorder="1" applyAlignment="1">
      <alignment vertical="center"/>
    </xf>
    <xf numFmtId="4" fontId="3" fillId="4669" borderId="4141" xfId="0" applyNumberFormat="1" applyFont="1" applyFill="1" applyBorder="1" applyAlignment="1">
      <alignment vertical="center"/>
    </xf>
    <xf numFmtId="4" fontId="3" fillId="4670" borderId="4142" xfId="0" applyNumberFormat="1" applyFont="1" applyFill="1" applyBorder="1" applyAlignment="1">
      <alignment vertical="center"/>
    </xf>
    <xf numFmtId="0" fontId="3" fillId="4671" borderId="4143" xfId="0" applyFont="1" applyFill="1" applyBorder="1" applyAlignment="1">
      <alignment vertical="center"/>
    </xf>
    <xf numFmtId="0" fontId="3" fillId="4672" borderId="4144" xfId="0" applyFont="1" applyFill="1" applyBorder="1" applyAlignment="1">
      <alignment vertical="center"/>
    </xf>
    <xf numFmtId="0" fontId="3" fillId="4674" borderId="4145" xfId="0" applyFont="1" applyFill="1" applyBorder="1" applyAlignment="1">
      <alignment vertical="center"/>
    </xf>
    <xf numFmtId="0" fontId="3" fillId="4675" borderId="4146" xfId="0" applyFont="1" applyFill="1" applyBorder="1" applyAlignment="1">
      <alignment vertical="center"/>
    </xf>
    <xf numFmtId="0" fontId="3" fillId="4676" borderId="4147" xfId="0" applyFont="1" applyFill="1" applyBorder="1" applyAlignment="1">
      <alignment vertical="center"/>
    </xf>
    <xf numFmtId="4" fontId="3" fillId="4677" borderId="4148" xfId="0" applyNumberFormat="1" applyFont="1" applyFill="1" applyBorder="1" applyAlignment="1">
      <alignment vertical="center"/>
    </xf>
    <xf numFmtId="4" fontId="3" fillId="4678" borderId="4149" xfId="0" applyNumberFormat="1" applyFont="1" applyFill="1" applyBorder="1" applyAlignment="1">
      <alignment vertical="center"/>
    </xf>
    <xf numFmtId="4" fontId="3" fillId="4679" borderId="4150" xfId="0" applyNumberFormat="1" applyFont="1" applyFill="1" applyBorder="1" applyAlignment="1">
      <alignment vertical="center"/>
    </xf>
    <xf numFmtId="0" fontId="3" fillId="4680" borderId="4151" xfId="0" applyFont="1" applyFill="1" applyBorder="1" applyAlignment="1">
      <alignment vertical="center"/>
    </xf>
    <xf numFmtId="0" fontId="3" fillId="4681" borderId="4152" xfId="0" applyFont="1" applyFill="1" applyBorder="1" applyAlignment="1">
      <alignment vertical="center"/>
    </xf>
    <xf numFmtId="0" fontId="3" fillId="4683" borderId="4153" xfId="0" applyFont="1" applyFill="1" applyBorder="1" applyAlignment="1">
      <alignment vertical="center"/>
    </xf>
    <xf numFmtId="0" fontId="3" fillId="4684" borderId="4154" xfId="0" applyFont="1" applyFill="1" applyBorder="1" applyAlignment="1">
      <alignment vertical="center"/>
    </xf>
    <xf numFmtId="0" fontId="3" fillId="4685" borderId="4155" xfId="0" applyFont="1" applyFill="1" applyBorder="1" applyAlignment="1">
      <alignment vertical="center"/>
    </xf>
    <xf numFmtId="4" fontId="3" fillId="4686" borderId="4156" xfId="0" applyNumberFormat="1" applyFont="1" applyFill="1" applyBorder="1" applyAlignment="1">
      <alignment vertical="center"/>
    </xf>
    <xf numFmtId="4" fontId="3" fillId="4687" borderId="4157" xfId="0" applyNumberFormat="1" applyFont="1" applyFill="1" applyBorder="1" applyAlignment="1">
      <alignment vertical="center"/>
    </xf>
    <xf numFmtId="4" fontId="3" fillId="4688" borderId="4158" xfId="0" applyNumberFormat="1" applyFont="1" applyFill="1" applyBorder="1" applyAlignment="1">
      <alignment vertical="center"/>
    </xf>
    <xf numFmtId="0" fontId="3" fillId="4689" borderId="4159" xfId="0" applyFont="1" applyFill="1" applyBorder="1" applyAlignment="1">
      <alignment vertical="center"/>
    </xf>
    <xf numFmtId="0" fontId="3" fillId="4690" borderId="4160" xfId="0" applyFont="1" applyFill="1" applyBorder="1" applyAlignment="1">
      <alignment vertical="center"/>
    </xf>
    <xf numFmtId="0" fontId="3" fillId="4692" borderId="4161" xfId="0" applyFont="1" applyFill="1" applyBorder="1" applyAlignment="1">
      <alignment vertical="center"/>
    </xf>
    <xf numFmtId="0" fontId="3" fillId="4693" borderId="4162" xfId="0" applyFont="1" applyFill="1" applyBorder="1" applyAlignment="1">
      <alignment vertical="center"/>
    </xf>
    <xf numFmtId="0" fontId="3" fillId="4694" borderId="4163" xfId="0" applyFont="1" applyFill="1" applyBorder="1" applyAlignment="1">
      <alignment vertical="center"/>
    </xf>
    <xf numFmtId="4" fontId="3" fillId="4695" borderId="4164" xfId="0" applyNumberFormat="1" applyFont="1" applyFill="1" applyBorder="1" applyAlignment="1">
      <alignment vertical="center"/>
    </xf>
    <xf numFmtId="4" fontId="3" fillId="4696" borderId="4165" xfId="0" applyNumberFormat="1" applyFont="1" applyFill="1" applyBorder="1" applyAlignment="1">
      <alignment vertical="center"/>
    </xf>
    <xf numFmtId="4" fontId="3" fillId="4697" borderId="4166" xfId="0" applyNumberFormat="1" applyFont="1" applyFill="1" applyBorder="1" applyAlignment="1">
      <alignment vertical="center"/>
    </xf>
    <xf numFmtId="0" fontId="3" fillId="4698" borderId="4167" xfId="0" applyFont="1" applyFill="1" applyBorder="1" applyAlignment="1">
      <alignment vertical="center"/>
    </xf>
    <xf numFmtId="0" fontId="3" fillId="4699" borderId="4168" xfId="0" applyFont="1" applyFill="1" applyBorder="1" applyAlignment="1">
      <alignment vertical="center"/>
    </xf>
    <xf numFmtId="0" fontId="3" fillId="4701" borderId="4169" xfId="0" applyFont="1" applyFill="1" applyBorder="1" applyAlignment="1">
      <alignment vertical="center"/>
    </xf>
    <xf numFmtId="0" fontId="3" fillId="4702" borderId="4170" xfId="0" applyFont="1" applyFill="1" applyBorder="1" applyAlignment="1">
      <alignment vertical="center"/>
    </xf>
    <xf numFmtId="0" fontId="3" fillId="4703" borderId="4171" xfId="0" applyFont="1" applyFill="1" applyBorder="1" applyAlignment="1">
      <alignment vertical="center"/>
    </xf>
    <xf numFmtId="4" fontId="3" fillId="4704" borderId="4172" xfId="0" applyNumberFormat="1" applyFont="1" applyFill="1" applyBorder="1" applyAlignment="1">
      <alignment vertical="center"/>
    </xf>
    <xf numFmtId="4" fontId="3" fillId="4705" borderId="4173" xfId="0" applyNumberFormat="1" applyFont="1" applyFill="1" applyBorder="1" applyAlignment="1">
      <alignment vertical="center"/>
    </xf>
    <xf numFmtId="4" fontId="3" fillId="4706" borderId="4174" xfId="0" applyNumberFormat="1" applyFont="1" applyFill="1" applyBorder="1" applyAlignment="1">
      <alignment vertical="center"/>
    </xf>
    <xf numFmtId="0" fontId="3" fillId="4707" borderId="4175" xfId="0" applyFont="1" applyFill="1" applyBorder="1" applyAlignment="1">
      <alignment vertical="center"/>
    </xf>
    <xf numFmtId="0" fontId="3" fillId="4708" borderId="4176" xfId="0" applyFont="1" applyFill="1" applyBorder="1" applyAlignment="1">
      <alignment vertical="center"/>
    </xf>
    <xf numFmtId="0" fontId="3" fillId="4710" borderId="4177" xfId="0" applyFont="1" applyFill="1" applyBorder="1" applyAlignment="1">
      <alignment vertical="center"/>
    </xf>
    <xf numFmtId="0" fontId="3" fillId="4711" borderId="4178" xfId="0" applyFont="1" applyFill="1" applyBorder="1" applyAlignment="1">
      <alignment vertical="center"/>
    </xf>
    <xf numFmtId="0" fontId="3" fillId="4712" borderId="4179" xfId="0" applyFont="1" applyFill="1" applyBorder="1" applyAlignment="1">
      <alignment vertical="center"/>
    </xf>
    <xf numFmtId="4" fontId="3" fillId="4713" borderId="4180" xfId="0" applyNumberFormat="1" applyFont="1" applyFill="1" applyBorder="1" applyAlignment="1">
      <alignment vertical="center"/>
    </xf>
    <xf numFmtId="4" fontId="3" fillId="4714" borderId="4181" xfId="0" applyNumberFormat="1" applyFont="1" applyFill="1" applyBorder="1" applyAlignment="1">
      <alignment vertical="center"/>
    </xf>
    <xf numFmtId="4" fontId="3" fillId="4715" borderId="4182" xfId="0" applyNumberFormat="1" applyFont="1" applyFill="1" applyBorder="1" applyAlignment="1">
      <alignment vertical="center"/>
    </xf>
    <xf numFmtId="0" fontId="3" fillId="4716" borderId="4183" xfId="0" applyFont="1" applyFill="1" applyBorder="1" applyAlignment="1">
      <alignment vertical="center"/>
    </xf>
    <xf numFmtId="0" fontId="3" fillId="4717" borderId="4184" xfId="0" applyFont="1" applyFill="1" applyBorder="1" applyAlignment="1">
      <alignment vertical="center"/>
    </xf>
    <xf numFmtId="0" fontId="3" fillId="4719" borderId="4185" xfId="0" applyFont="1" applyFill="1" applyBorder="1" applyAlignment="1">
      <alignment vertical="center"/>
    </xf>
    <xf numFmtId="0" fontId="3" fillId="4720" borderId="4186" xfId="0" applyFont="1" applyFill="1" applyBorder="1" applyAlignment="1">
      <alignment vertical="center"/>
    </xf>
    <xf numFmtId="0" fontId="3" fillId="4721" borderId="4187" xfId="0" applyFont="1" applyFill="1" applyBorder="1" applyAlignment="1">
      <alignment vertical="center"/>
    </xf>
    <xf numFmtId="4" fontId="3" fillId="4722" borderId="4188" xfId="0" applyNumberFormat="1" applyFont="1" applyFill="1" applyBorder="1" applyAlignment="1">
      <alignment vertical="center"/>
    </xf>
    <xf numFmtId="4" fontId="3" fillId="4723" borderId="4189" xfId="0" applyNumberFormat="1" applyFont="1" applyFill="1" applyBorder="1" applyAlignment="1">
      <alignment vertical="center"/>
    </xf>
    <xf numFmtId="4" fontId="3" fillId="4724" borderId="4190" xfId="0" applyNumberFormat="1" applyFont="1" applyFill="1" applyBorder="1" applyAlignment="1">
      <alignment vertical="center"/>
    </xf>
    <xf numFmtId="0" fontId="3" fillId="4725" borderId="4191" xfId="0" applyFont="1" applyFill="1" applyBorder="1" applyAlignment="1">
      <alignment vertical="center"/>
    </xf>
    <xf numFmtId="0" fontId="3" fillId="4726" borderId="4192" xfId="0" applyFont="1" applyFill="1" applyBorder="1" applyAlignment="1">
      <alignment vertical="center"/>
    </xf>
    <xf numFmtId="0" fontId="3" fillId="4728" borderId="4193" xfId="0" applyFont="1" applyFill="1" applyBorder="1" applyAlignment="1">
      <alignment vertical="center"/>
    </xf>
    <xf numFmtId="0" fontId="3" fillId="4729" borderId="4194" xfId="0" applyFont="1" applyFill="1" applyBorder="1" applyAlignment="1">
      <alignment vertical="center"/>
    </xf>
    <xf numFmtId="0" fontId="3" fillId="4730" borderId="4195" xfId="0" applyFont="1" applyFill="1" applyBorder="1" applyAlignment="1">
      <alignment vertical="center"/>
    </xf>
    <xf numFmtId="4" fontId="3" fillId="4731" borderId="4196" xfId="0" applyNumberFormat="1" applyFont="1" applyFill="1" applyBorder="1" applyAlignment="1">
      <alignment vertical="center"/>
    </xf>
    <xf numFmtId="4" fontId="3" fillId="4732" borderId="4197" xfId="0" applyNumberFormat="1" applyFont="1" applyFill="1" applyBorder="1" applyAlignment="1">
      <alignment vertical="center"/>
    </xf>
    <xf numFmtId="4" fontId="3" fillId="4733" borderId="4198" xfId="0" applyNumberFormat="1" applyFont="1" applyFill="1" applyBorder="1" applyAlignment="1">
      <alignment vertical="center"/>
    </xf>
    <xf numFmtId="0" fontId="3" fillId="4734" borderId="4199" xfId="0" applyFont="1" applyFill="1" applyBorder="1" applyAlignment="1">
      <alignment vertical="center"/>
    </xf>
    <xf numFmtId="0" fontId="3" fillId="4735" borderId="4200" xfId="0" applyFont="1" applyFill="1" applyBorder="1" applyAlignment="1">
      <alignment vertical="center"/>
    </xf>
    <xf numFmtId="0" fontId="3" fillId="4737" borderId="4201" xfId="0" applyFont="1" applyFill="1" applyBorder="1" applyAlignment="1">
      <alignment vertical="center"/>
    </xf>
    <xf numFmtId="0" fontId="3" fillId="4738" borderId="4202" xfId="0" applyFont="1" applyFill="1" applyBorder="1" applyAlignment="1">
      <alignment vertical="center"/>
    </xf>
    <xf numFmtId="0" fontId="3" fillId="4739" borderId="4203" xfId="0" applyFont="1" applyFill="1" applyBorder="1" applyAlignment="1">
      <alignment vertical="center"/>
    </xf>
    <xf numFmtId="4" fontId="3" fillId="4740" borderId="4204" xfId="0" applyNumberFormat="1" applyFont="1" applyFill="1" applyBorder="1" applyAlignment="1">
      <alignment vertical="center"/>
    </xf>
    <xf numFmtId="4" fontId="3" fillId="4741" borderId="4205" xfId="0" applyNumberFormat="1" applyFont="1" applyFill="1" applyBorder="1" applyAlignment="1">
      <alignment vertical="center"/>
    </xf>
    <xf numFmtId="4" fontId="3" fillId="4742" borderId="4206" xfId="0" applyNumberFormat="1" applyFont="1" applyFill="1" applyBorder="1" applyAlignment="1">
      <alignment vertical="center"/>
    </xf>
    <xf numFmtId="0" fontId="3" fillId="4743" borderId="4207" xfId="0" applyFont="1" applyFill="1" applyBorder="1" applyAlignment="1">
      <alignment vertical="center"/>
    </xf>
    <xf numFmtId="0" fontId="3" fillId="4744" borderId="4208" xfId="0" applyFont="1" applyFill="1" applyBorder="1" applyAlignment="1">
      <alignment vertical="center"/>
    </xf>
    <xf numFmtId="0" fontId="3" fillId="4746" borderId="4209" xfId="0" applyFont="1" applyFill="1" applyBorder="1" applyAlignment="1">
      <alignment vertical="center"/>
    </xf>
    <xf numFmtId="0" fontId="3" fillId="4747" borderId="4210" xfId="0" applyFont="1" applyFill="1" applyBorder="1" applyAlignment="1">
      <alignment vertical="center"/>
    </xf>
    <xf numFmtId="0" fontId="3" fillId="4748" borderId="4211" xfId="0" applyFont="1" applyFill="1" applyBorder="1" applyAlignment="1">
      <alignment vertical="center"/>
    </xf>
    <xf numFmtId="4" fontId="3" fillId="4749" borderId="4212" xfId="0" applyNumberFormat="1" applyFont="1" applyFill="1" applyBorder="1" applyAlignment="1">
      <alignment vertical="center"/>
    </xf>
    <xf numFmtId="4" fontId="3" fillId="4750" borderId="4213" xfId="0" applyNumberFormat="1" applyFont="1" applyFill="1" applyBorder="1" applyAlignment="1">
      <alignment vertical="center"/>
    </xf>
    <xf numFmtId="4" fontId="3" fillId="4751" borderId="4214" xfId="0" applyNumberFormat="1" applyFont="1" applyFill="1" applyBorder="1" applyAlignment="1">
      <alignment vertical="center"/>
    </xf>
    <xf numFmtId="0" fontId="3" fillId="4752" borderId="4215" xfId="0" applyFont="1" applyFill="1" applyBorder="1" applyAlignment="1">
      <alignment vertical="center"/>
    </xf>
    <xf numFmtId="0" fontId="3" fillId="4753" borderId="4216" xfId="0" applyFont="1" applyFill="1" applyBorder="1" applyAlignment="1">
      <alignment vertical="center"/>
    </xf>
    <xf numFmtId="0" fontId="3" fillId="4755" borderId="4217" xfId="0" applyFont="1" applyFill="1" applyBorder="1" applyAlignment="1">
      <alignment vertical="center"/>
    </xf>
    <xf numFmtId="0" fontId="3" fillId="4756" borderId="4218" xfId="0" applyFont="1" applyFill="1" applyBorder="1" applyAlignment="1">
      <alignment vertical="center"/>
    </xf>
    <xf numFmtId="0" fontId="3" fillId="4757" borderId="4219" xfId="0" applyFont="1" applyFill="1" applyBorder="1" applyAlignment="1">
      <alignment vertical="center"/>
    </xf>
    <xf numFmtId="4" fontId="3" fillId="4758" borderId="4220" xfId="0" applyNumberFormat="1" applyFont="1" applyFill="1" applyBorder="1" applyAlignment="1">
      <alignment vertical="center"/>
    </xf>
    <xf numFmtId="4" fontId="3" fillId="4759" borderId="4221" xfId="0" applyNumberFormat="1" applyFont="1" applyFill="1" applyBorder="1" applyAlignment="1">
      <alignment vertical="center"/>
    </xf>
    <xf numFmtId="4" fontId="3" fillId="4760" borderId="4222" xfId="0" applyNumberFormat="1" applyFont="1" applyFill="1" applyBorder="1" applyAlignment="1">
      <alignment vertical="center"/>
    </xf>
    <xf numFmtId="0" fontId="3" fillId="4761" borderId="4223" xfId="0" applyFont="1" applyFill="1" applyBorder="1" applyAlignment="1">
      <alignment vertical="center"/>
    </xf>
    <xf numFmtId="0" fontId="3" fillId="4762" borderId="4224" xfId="0" applyFont="1" applyFill="1" applyBorder="1" applyAlignment="1">
      <alignment vertical="center"/>
    </xf>
    <xf numFmtId="0" fontId="3" fillId="4764" borderId="4225" xfId="0" applyFont="1" applyFill="1" applyBorder="1" applyAlignment="1">
      <alignment vertical="center"/>
    </xf>
    <xf numFmtId="0" fontId="3" fillId="4765" borderId="4226" xfId="0" applyFont="1" applyFill="1" applyBorder="1" applyAlignment="1">
      <alignment vertical="center"/>
    </xf>
    <xf numFmtId="0" fontId="3" fillId="4766" borderId="4227" xfId="0" applyFont="1" applyFill="1" applyBorder="1" applyAlignment="1">
      <alignment vertical="center"/>
    </xf>
    <xf numFmtId="4" fontId="3" fillId="4767" borderId="4228" xfId="0" applyNumberFormat="1" applyFont="1" applyFill="1" applyBorder="1" applyAlignment="1">
      <alignment vertical="center"/>
    </xf>
    <xf numFmtId="4" fontId="3" fillId="4768" borderId="4229" xfId="0" applyNumberFormat="1" applyFont="1" applyFill="1" applyBorder="1" applyAlignment="1">
      <alignment vertical="center"/>
    </xf>
    <xf numFmtId="4" fontId="3" fillId="4769" borderId="4230" xfId="0" applyNumberFormat="1" applyFont="1" applyFill="1" applyBorder="1" applyAlignment="1">
      <alignment vertical="center"/>
    </xf>
    <xf numFmtId="0" fontId="3" fillId="4770" borderId="4231" xfId="0" applyFont="1" applyFill="1" applyBorder="1" applyAlignment="1">
      <alignment vertical="center"/>
    </xf>
    <xf numFmtId="0" fontId="3" fillId="4771" borderId="4232" xfId="0" applyFont="1" applyFill="1" applyBorder="1" applyAlignment="1">
      <alignment vertical="center"/>
    </xf>
    <xf numFmtId="0" fontId="3" fillId="4773" borderId="4233" xfId="0" applyFont="1" applyFill="1" applyBorder="1" applyAlignment="1">
      <alignment vertical="center"/>
    </xf>
    <xf numFmtId="0" fontId="3" fillId="4774" borderId="4234" xfId="0" applyFont="1" applyFill="1" applyBorder="1" applyAlignment="1">
      <alignment vertical="center"/>
    </xf>
    <xf numFmtId="0" fontId="3" fillId="4775" borderId="4235" xfId="0" applyFont="1" applyFill="1" applyBorder="1" applyAlignment="1">
      <alignment vertical="center"/>
    </xf>
    <xf numFmtId="4" fontId="3" fillId="4776" borderId="4236" xfId="0" applyNumberFormat="1" applyFont="1" applyFill="1" applyBorder="1" applyAlignment="1">
      <alignment vertical="center"/>
    </xf>
    <xf numFmtId="4" fontId="3" fillId="4777" borderId="4237" xfId="0" applyNumberFormat="1" applyFont="1" applyFill="1" applyBorder="1" applyAlignment="1">
      <alignment vertical="center"/>
    </xf>
    <xf numFmtId="4" fontId="3" fillId="4778" borderId="4238" xfId="0" applyNumberFormat="1" applyFont="1" applyFill="1" applyBorder="1" applyAlignment="1">
      <alignment vertical="center"/>
    </xf>
    <xf numFmtId="0" fontId="3" fillId="4779" borderId="4239" xfId="0" applyFont="1" applyFill="1" applyBorder="1" applyAlignment="1">
      <alignment vertical="center"/>
    </xf>
    <xf numFmtId="0" fontId="3" fillId="4780" borderId="4240" xfId="0" applyFont="1" applyFill="1" applyBorder="1" applyAlignment="1">
      <alignment vertical="center"/>
    </xf>
    <xf numFmtId="0" fontId="3" fillId="4782" borderId="4241" xfId="0" applyFont="1" applyFill="1" applyBorder="1" applyAlignment="1">
      <alignment vertical="center"/>
    </xf>
    <xf numFmtId="0" fontId="3" fillId="4783" borderId="4242" xfId="0" applyFont="1" applyFill="1" applyBorder="1" applyAlignment="1">
      <alignment vertical="center"/>
    </xf>
    <xf numFmtId="0" fontId="3" fillId="4784" borderId="4243" xfId="0" applyFont="1" applyFill="1" applyBorder="1" applyAlignment="1">
      <alignment vertical="center"/>
    </xf>
    <xf numFmtId="4" fontId="3" fillId="4785" borderId="4244" xfId="0" applyNumberFormat="1" applyFont="1" applyFill="1" applyBorder="1" applyAlignment="1">
      <alignment vertical="center"/>
    </xf>
    <xf numFmtId="4" fontId="3" fillId="4786" borderId="4245" xfId="0" applyNumberFormat="1" applyFont="1" applyFill="1" applyBorder="1" applyAlignment="1">
      <alignment vertical="center"/>
    </xf>
    <xf numFmtId="4" fontId="3" fillId="4787" borderId="4246" xfId="0" applyNumberFormat="1" applyFont="1" applyFill="1" applyBorder="1" applyAlignment="1">
      <alignment vertical="center"/>
    </xf>
    <xf numFmtId="0" fontId="3" fillId="4788" borderId="4247" xfId="0" applyFont="1" applyFill="1" applyBorder="1" applyAlignment="1">
      <alignment vertical="center"/>
    </xf>
    <xf numFmtId="0" fontId="3" fillId="4789" borderId="4248" xfId="0" applyFont="1" applyFill="1" applyBorder="1" applyAlignment="1">
      <alignment vertical="center"/>
    </xf>
    <xf numFmtId="0" fontId="3" fillId="4791" borderId="4249" xfId="0" applyFont="1" applyFill="1" applyBorder="1" applyAlignment="1">
      <alignment vertical="center"/>
    </xf>
    <xf numFmtId="0" fontId="3" fillId="4792" borderId="4250" xfId="0" applyFont="1" applyFill="1" applyBorder="1" applyAlignment="1">
      <alignment vertical="center"/>
    </xf>
    <xf numFmtId="0" fontId="3" fillId="4793" borderId="4251" xfId="0" applyFont="1" applyFill="1" applyBorder="1" applyAlignment="1">
      <alignment vertical="center"/>
    </xf>
    <xf numFmtId="4" fontId="3" fillId="4794" borderId="4252" xfId="0" applyNumberFormat="1" applyFont="1" applyFill="1" applyBorder="1" applyAlignment="1">
      <alignment vertical="center"/>
    </xf>
    <xf numFmtId="4" fontId="3" fillId="4795" borderId="4253" xfId="0" applyNumberFormat="1" applyFont="1" applyFill="1" applyBorder="1" applyAlignment="1">
      <alignment vertical="center"/>
    </xf>
    <xf numFmtId="4" fontId="3" fillId="4796" borderId="4254" xfId="0" applyNumberFormat="1" applyFont="1" applyFill="1" applyBorder="1" applyAlignment="1">
      <alignment vertical="center"/>
    </xf>
    <xf numFmtId="0" fontId="3" fillId="4797" borderId="4255" xfId="0" applyFont="1" applyFill="1" applyBorder="1" applyAlignment="1">
      <alignment vertical="center"/>
    </xf>
    <xf numFmtId="0" fontId="3" fillId="4798" borderId="4256" xfId="0" applyFont="1" applyFill="1" applyBorder="1" applyAlignment="1">
      <alignment vertical="center"/>
    </xf>
    <xf numFmtId="0" fontId="3" fillId="4800" borderId="4257" xfId="0" applyFont="1" applyFill="1" applyBorder="1" applyAlignment="1">
      <alignment vertical="center"/>
    </xf>
    <xf numFmtId="0" fontId="3" fillId="4801" borderId="4258" xfId="0" applyFont="1" applyFill="1" applyBorder="1" applyAlignment="1">
      <alignment vertical="center"/>
    </xf>
    <xf numFmtId="0" fontId="3" fillId="4802" borderId="4259" xfId="0" applyFont="1" applyFill="1" applyBorder="1" applyAlignment="1">
      <alignment vertical="center"/>
    </xf>
    <xf numFmtId="4" fontId="3" fillId="4803" borderId="4260" xfId="0" applyNumberFormat="1" applyFont="1" applyFill="1" applyBorder="1" applyAlignment="1">
      <alignment vertical="center"/>
    </xf>
    <xf numFmtId="4" fontId="3" fillId="4804" borderId="4261" xfId="0" applyNumberFormat="1" applyFont="1" applyFill="1" applyBorder="1" applyAlignment="1">
      <alignment vertical="center"/>
    </xf>
    <xf numFmtId="4" fontId="3" fillId="4805" borderId="4262" xfId="0" applyNumberFormat="1" applyFont="1" applyFill="1" applyBorder="1" applyAlignment="1">
      <alignment vertical="center"/>
    </xf>
    <xf numFmtId="0" fontId="3" fillId="4806" borderId="4263" xfId="0" applyFont="1" applyFill="1" applyBorder="1" applyAlignment="1">
      <alignment vertical="center"/>
    </xf>
    <xf numFmtId="0" fontId="3" fillId="4807" borderId="4264" xfId="0" applyFont="1" applyFill="1" applyBorder="1" applyAlignment="1">
      <alignment vertical="center"/>
    </xf>
    <xf numFmtId="0" fontId="3" fillId="4809" borderId="4265" xfId="0" applyFont="1" applyFill="1" applyBorder="1" applyAlignment="1">
      <alignment vertical="center"/>
    </xf>
    <xf numFmtId="0" fontId="3" fillId="4810" borderId="4266" xfId="0" applyFont="1" applyFill="1" applyBorder="1" applyAlignment="1">
      <alignment vertical="center"/>
    </xf>
    <xf numFmtId="0" fontId="3" fillId="4811" borderId="4267" xfId="0" applyFont="1" applyFill="1" applyBorder="1" applyAlignment="1">
      <alignment vertical="center"/>
    </xf>
    <xf numFmtId="4" fontId="3" fillId="4812" borderId="4268" xfId="0" applyNumberFormat="1" applyFont="1" applyFill="1" applyBorder="1" applyAlignment="1">
      <alignment vertical="center"/>
    </xf>
    <xf numFmtId="4" fontId="3" fillId="4813" borderId="4269" xfId="0" applyNumberFormat="1" applyFont="1" applyFill="1" applyBorder="1" applyAlignment="1">
      <alignment vertical="center"/>
    </xf>
    <xf numFmtId="4" fontId="3" fillId="4814" borderId="4270" xfId="0" applyNumberFormat="1" applyFont="1" applyFill="1" applyBorder="1" applyAlignment="1">
      <alignment vertical="center"/>
    </xf>
    <xf numFmtId="0" fontId="3" fillId="4815" borderId="4271" xfId="0" applyFont="1" applyFill="1" applyBorder="1" applyAlignment="1">
      <alignment vertical="center"/>
    </xf>
    <xf numFmtId="0" fontId="3" fillId="4816" borderId="4272" xfId="0" applyFont="1" applyFill="1" applyBorder="1" applyAlignment="1">
      <alignment vertical="center"/>
    </xf>
    <xf numFmtId="0" fontId="3" fillId="4818" borderId="4273" xfId="0" applyFont="1" applyFill="1" applyBorder="1" applyAlignment="1">
      <alignment vertical="center"/>
    </xf>
    <xf numFmtId="0" fontId="3" fillId="4819" borderId="4274" xfId="0" applyFont="1" applyFill="1" applyBorder="1" applyAlignment="1">
      <alignment vertical="center"/>
    </xf>
    <xf numFmtId="0" fontId="3" fillId="4820" borderId="4275" xfId="0" applyFont="1" applyFill="1" applyBorder="1" applyAlignment="1">
      <alignment vertical="center"/>
    </xf>
    <xf numFmtId="4" fontId="3" fillId="4821" borderId="4276" xfId="0" applyNumberFormat="1" applyFont="1" applyFill="1" applyBorder="1" applyAlignment="1">
      <alignment vertical="center"/>
    </xf>
    <xf numFmtId="4" fontId="3" fillId="4822" borderId="4277" xfId="0" applyNumberFormat="1" applyFont="1" applyFill="1" applyBorder="1" applyAlignment="1">
      <alignment vertical="center"/>
    </xf>
    <xf numFmtId="4" fontId="3" fillId="4823" borderId="4278" xfId="0" applyNumberFormat="1" applyFont="1" applyFill="1" applyBorder="1" applyAlignment="1">
      <alignment vertical="center"/>
    </xf>
    <xf numFmtId="0" fontId="3" fillId="4824" borderId="4279" xfId="0" applyFont="1" applyFill="1" applyBorder="1" applyAlignment="1">
      <alignment vertical="center"/>
    </xf>
    <xf numFmtId="0" fontId="3" fillId="4825" borderId="4280" xfId="0" applyFont="1" applyFill="1" applyBorder="1" applyAlignment="1">
      <alignment vertical="center"/>
    </xf>
    <xf numFmtId="0" fontId="3" fillId="4827" borderId="4281" xfId="0" applyFont="1" applyFill="1" applyBorder="1" applyAlignment="1">
      <alignment vertical="center"/>
    </xf>
    <xf numFmtId="0" fontId="3" fillId="4828" borderId="4282" xfId="0" applyFont="1" applyFill="1" applyBorder="1" applyAlignment="1">
      <alignment vertical="center"/>
    </xf>
    <xf numFmtId="0" fontId="3" fillId="4829" borderId="4283" xfId="0" applyFont="1" applyFill="1" applyBorder="1" applyAlignment="1">
      <alignment vertical="center"/>
    </xf>
    <xf numFmtId="4" fontId="3" fillId="4830" borderId="4284" xfId="0" applyNumberFormat="1" applyFont="1" applyFill="1" applyBorder="1" applyAlignment="1">
      <alignment vertical="center"/>
    </xf>
    <xf numFmtId="4" fontId="3" fillId="4831" borderId="4285" xfId="0" applyNumberFormat="1" applyFont="1" applyFill="1" applyBorder="1" applyAlignment="1">
      <alignment vertical="center"/>
    </xf>
    <xf numFmtId="4" fontId="3" fillId="4832" borderId="4286" xfId="0" applyNumberFormat="1" applyFont="1" applyFill="1" applyBorder="1" applyAlignment="1">
      <alignment vertical="center"/>
    </xf>
    <xf numFmtId="0" fontId="3" fillId="4833" borderId="4287" xfId="0" applyFont="1" applyFill="1" applyBorder="1" applyAlignment="1">
      <alignment vertical="center"/>
    </xf>
    <xf numFmtId="0" fontId="3" fillId="4834" borderId="4288" xfId="0" applyFont="1" applyFill="1" applyBorder="1" applyAlignment="1">
      <alignment vertical="center"/>
    </xf>
    <xf numFmtId="0" fontId="3" fillId="4836" borderId="4289" xfId="0" applyFont="1" applyFill="1" applyBorder="1" applyAlignment="1">
      <alignment vertical="center"/>
    </xf>
    <xf numFmtId="0" fontId="3" fillId="4837" borderId="4290" xfId="0" applyFont="1" applyFill="1" applyBorder="1" applyAlignment="1">
      <alignment vertical="center"/>
    </xf>
    <xf numFmtId="0" fontId="3" fillId="4838" borderId="4291" xfId="0" applyFont="1" applyFill="1" applyBorder="1" applyAlignment="1">
      <alignment vertical="center"/>
    </xf>
    <xf numFmtId="4" fontId="3" fillId="4839" borderId="4292" xfId="0" applyNumberFormat="1" applyFont="1" applyFill="1" applyBorder="1" applyAlignment="1">
      <alignment vertical="center"/>
    </xf>
    <xf numFmtId="4" fontId="3" fillId="4840" borderId="4293" xfId="0" applyNumberFormat="1" applyFont="1" applyFill="1" applyBorder="1" applyAlignment="1">
      <alignment vertical="center"/>
    </xf>
    <xf numFmtId="4" fontId="3" fillId="4841" borderId="4294" xfId="0" applyNumberFormat="1" applyFont="1" applyFill="1" applyBorder="1" applyAlignment="1">
      <alignment vertical="center"/>
    </xf>
    <xf numFmtId="0" fontId="3" fillId="4842" borderId="4295" xfId="0" applyFont="1" applyFill="1" applyBorder="1" applyAlignment="1">
      <alignment vertical="center"/>
    </xf>
    <xf numFmtId="0" fontId="3" fillId="4843" borderId="4296" xfId="0" applyFont="1" applyFill="1" applyBorder="1" applyAlignment="1">
      <alignment vertical="center"/>
    </xf>
    <xf numFmtId="0" fontId="3" fillId="4845" borderId="4297" xfId="0" applyFont="1" applyFill="1" applyBorder="1" applyAlignment="1">
      <alignment vertical="center"/>
    </xf>
    <xf numFmtId="0" fontId="3" fillId="4846" borderId="4298" xfId="0" applyFont="1" applyFill="1" applyBorder="1" applyAlignment="1">
      <alignment vertical="center"/>
    </xf>
    <xf numFmtId="0" fontId="3" fillId="4847" borderId="4299" xfId="0" applyFont="1" applyFill="1" applyBorder="1" applyAlignment="1">
      <alignment vertical="center"/>
    </xf>
    <xf numFmtId="4" fontId="3" fillId="4848" borderId="4300" xfId="0" applyNumberFormat="1" applyFont="1" applyFill="1" applyBorder="1" applyAlignment="1">
      <alignment vertical="center"/>
    </xf>
    <xf numFmtId="4" fontId="3" fillId="4849" borderId="4301" xfId="0" applyNumberFormat="1" applyFont="1" applyFill="1" applyBorder="1" applyAlignment="1">
      <alignment vertical="center"/>
    </xf>
    <xf numFmtId="4" fontId="3" fillId="4850" borderId="4302" xfId="0" applyNumberFormat="1" applyFont="1" applyFill="1" applyBorder="1" applyAlignment="1">
      <alignment vertical="center"/>
    </xf>
    <xf numFmtId="0" fontId="3" fillId="4851" borderId="4303" xfId="0" applyFont="1" applyFill="1" applyBorder="1" applyAlignment="1">
      <alignment vertical="center"/>
    </xf>
    <xf numFmtId="0" fontId="3" fillId="4852" borderId="4304" xfId="0" applyFont="1" applyFill="1" applyBorder="1" applyAlignment="1">
      <alignment vertical="center"/>
    </xf>
    <xf numFmtId="0" fontId="3" fillId="4854" borderId="4305" xfId="0" applyFont="1" applyFill="1" applyBorder="1" applyAlignment="1">
      <alignment vertical="center"/>
    </xf>
    <xf numFmtId="0" fontId="3" fillId="4855" borderId="4306" xfId="0" applyFont="1" applyFill="1" applyBorder="1" applyAlignment="1">
      <alignment vertical="center"/>
    </xf>
    <xf numFmtId="0" fontId="3" fillId="4856" borderId="4307" xfId="0" applyFont="1" applyFill="1" applyBorder="1" applyAlignment="1">
      <alignment vertical="center"/>
    </xf>
    <xf numFmtId="4" fontId="3" fillId="4857" borderId="4308" xfId="0" applyNumberFormat="1" applyFont="1" applyFill="1" applyBorder="1" applyAlignment="1">
      <alignment vertical="center"/>
    </xf>
    <xf numFmtId="4" fontId="3" fillId="4858" borderId="4309" xfId="0" applyNumberFormat="1" applyFont="1" applyFill="1" applyBorder="1" applyAlignment="1">
      <alignment vertical="center"/>
    </xf>
    <xf numFmtId="4" fontId="3" fillId="4859" borderId="4310" xfId="0" applyNumberFormat="1" applyFont="1" applyFill="1" applyBorder="1" applyAlignment="1">
      <alignment vertical="center"/>
    </xf>
    <xf numFmtId="0" fontId="3" fillId="4860" borderId="4311" xfId="0" applyFont="1" applyFill="1" applyBorder="1" applyAlignment="1">
      <alignment vertical="center"/>
    </xf>
    <xf numFmtId="0" fontId="3" fillId="4861" borderId="4312" xfId="0" applyFont="1" applyFill="1" applyBorder="1" applyAlignment="1">
      <alignment vertical="center"/>
    </xf>
    <xf numFmtId="0" fontId="3" fillId="4863" borderId="4313" xfId="0" applyFont="1" applyFill="1" applyBorder="1" applyAlignment="1">
      <alignment vertical="center"/>
    </xf>
    <xf numFmtId="0" fontId="3" fillId="4864" borderId="4314" xfId="0" applyFont="1" applyFill="1" applyBorder="1" applyAlignment="1">
      <alignment vertical="center"/>
    </xf>
    <xf numFmtId="0" fontId="3" fillId="4865" borderId="4315" xfId="0" applyFont="1" applyFill="1" applyBorder="1" applyAlignment="1">
      <alignment vertical="center"/>
    </xf>
    <xf numFmtId="4" fontId="3" fillId="4866" borderId="4316" xfId="0" applyNumberFormat="1" applyFont="1" applyFill="1" applyBorder="1" applyAlignment="1">
      <alignment vertical="center"/>
    </xf>
    <xf numFmtId="4" fontId="3" fillId="4867" borderId="4317" xfId="0" applyNumberFormat="1" applyFont="1" applyFill="1" applyBorder="1" applyAlignment="1">
      <alignment vertical="center"/>
    </xf>
    <xf numFmtId="4" fontId="3" fillId="4868" borderId="4318" xfId="0" applyNumberFormat="1" applyFont="1" applyFill="1" applyBorder="1" applyAlignment="1">
      <alignment vertical="center"/>
    </xf>
    <xf numFmtId="0" fontId="3" fillId="4869" borderId="4319" xfId="0" applyFont="1" applyFill="1" applyBorder="1" applyAlignment="1">
      <alignment vertical="center"/>
    </xf>
    <xf numFmtId="0" fontId="3" fillId="4870" borderId="4320" xfId="0" applyFont="1" applyFill="1" applyBorder="1" applyAlignment="1">
      <alignment vertical="center"/>
    </xf>
    <xf numFmtId="0" fontId="3" fillId="4872" borderId="4321" xfId="0" applyFont="1" applyFill="1" applyBorder="1" applyAlignment="1">
      <alignment vertical="center"/>
    </xf>
    <xf numFmtId="0" fontId="3" fillId="4873" borderId="4322" xfId="0" applyFont="1" applyFill="1" applyBorder="1" applyAlignment="1">
      <alignment vertical="center"/>
    </xf>
    <xf numFmtId="0" fontId="3" fillId="4874" borderId="4323" xfId="0" applyFont="1" applyFill="1" applyBorder="1" applyAlignment="1">
      <alignment vertical="center"/>
    </xf>
    <xf numFmtId="4" fontId="3" fillId="4875" borderId="4324" xfId="0" applyNumberFormat="1" applyFont="1" applyFill="1" applyBorder="1" applyAlignment="1">
      <alignment vertical="center"/>
    </xf>
    <xf numFmtId="4" fontId="3" fillId="4876" borderId="4325" xfId="0" applyNumberFormat="1" applyFont="1" applyFill="1" applyBorder="1" applyAlignment="1">
      <alignment vertical="center"/>
    </xf>
    <xf numFmtId="4" fontId="3" fillId="4877" borderId="4326" xfId="0" applyNumberFormat="1" applyFont="1" applyFill="1" applyBorder="1" applyAlignment="1">
      <alignment vertical="center"/>
    </xf>
    <xf numFmtId="0" fontId="3" fillId="4878" borderId="4327" xfId="0" applyFont="1" applyFill="1" applyBorder="1" applyAlignment="1">
      <alignment vertical="center"/>
    </xf>
    <xf numFmtId="0" fontId="3" fillId="4879" borderId="4328" xfId="0" applyFont="1" applyFill="1" applyBorder="1" applyAlignment="1">
      <alignment vertical="center"/>
    </xf>
    <xf numFmtId="0" fontId="3" fillId="4881" borderId="4329" xfId="0" applyFont="1" applyFill="1" applyBorder="1" applyAlignment="1">
      <alignment vertical="center"/>
    </xf>
    <xf numFmtId="0" fontId="3" fillId="4882" borderId="4330" xfId="0" applyFont="1" applyFill="1" applyBorder="1" applyAlignment="1">
      <alignment vertical="center"/>
    </xf>
    <xf numFmtId="0" fontId="3" fillId="4883" borderId="4331" xfId="0" applyFont="1" applyFill="1" applyBorder="1" applyAlignment="1">
      <alignment vertical="center"/>
    </xf>
    <xf numFmtId="4" fontId="3" fillId="4884" borderId="4332" xfId="0" applyNumberFormat="1" applyFont="1" applyFill="1" applyBorder="1" applyAlignment="1">
      <alignment vertical="center"/>
    </xf>
    <xf numFmtId="4" fontId="3" fillId="4885" borderId="4333" xfId="0" applyNumberFormat="1" applyFont="1" applyFill="1" applyBorder="1" applyAlignment="1">
      <alignment vertical="center"/>
    </xf>
    <xf numFmtId="4" fontId="3" fillId="4886" borderId="4334" xfId="0" applyNumberFormat="1" applyFont="1" applyFill="1" applyBorder="1" applyAlignment="1">
      <alignment vertical="center"/>
    </xf>
    <xf numFmtId="0" fontId="3" fillId="4887" borderId="4335" xfId="0" applyFont="1" applyFill="1" applyBorder="1" applyAlignment="1">
      <alignment vertical="center"/>
    </xf>
    <xf numFmtId="0" fontId="3" fillId="4888" borderId="4336" xfId="0" applyFont="1" applyFill="1" applyBorder="1" applyAlignment="1">
      <alignment vertical="center"/>
    </xf>
    <xf numFmtId="0" fontId="3" fillId="4890" borderId="4337" xfId="0" applyFont="1" applyFill="1" applyBorder="1" applyAlignment="1">
      <alignment vertical="center"/>
    </xf>
    <xf numFmtId="0" fontId="3" fillId="4891" borderId="4338" xfId="0" applyFont="1" applyFill="1" applyBorder="1" applyAlignment="1">
      <alignment vertical="center"/>
    </xf>
    <xf numFmtId="0" fontId="3" fillId="4892" borderId="4339" xfId="0" applyFont="1" applyFill="1" applyBorder="1" applyAlignment="1">
      <alignment vertical="center"/>
    </xf>
    <xf numFmtId="4" fontId="3" fillId="4893" borderId="4340" xfId="0" applyNumberFormat="1" applyFont="1" applyFill="1" applyBorder="1" applyAlignment="1">
      <alignment vertical="center"/>
    </xf>
    <xf numFmtId="4" fontId="3" fillId="4894" borderId="4341" xfId="0" applyNumberFormat="1" applyFont="1" applyFill="1" applyBorder="1" applyAlignment="1">
      <alignment vertical="center"/>
    </xf>
    <xf numFmtId="4" fontId="3" fillId="4895" borderId="4342" xfId="0" applyNumberFormat="1" applyFont="1" applyFill="1" applyBorder="1" applyAlignment="1">
      <alignment vertical="center"/>
    </xf>
    <xf numFmtId="0" fontId="3" fillId="4896" borderId="4343" xfId="0" applyFont="1" applyFill="1" applyBorder="1" applyAlignment="1">
      <alignment vertical="center"/>
    </xf>
    <xf numFmtId="0" fontId="3" fillId="4897" borderId="4344" xfId="0" applyFont="1" applyFill="1" applyBorder="1" applyAlignment="1">
      <alignment vertical="center"/>
    </xf>
    <xf numFmtId="0" fontId="3" fillId="4899" borderId="4345" xfId="0" applyFont="1" applyFill="1" applyBorder="1" applyAlignment="1">
      <alignment vertical="center"/>
    </xf>
    <xf numFmtId="0" fontId="3" fillId="4900" borderId="4346" xfId="0" applyFont="1" applyFill="1" applyBorder="1" applyAlignment="1">
      <alignment vertical="center"/>
    </xf>
    <xf numFmtId="0" fontId="3" fillId="4901" borderId="4347" xfId="0" applyFont="1" applyFill="1" applyBorder="1" applyAlignment="1">
      <alignment vertical="center"/>
    </xf>
    <xf numFmtId="4" fontId="3" fillId="4902" borderId="4348" xfId="0" applyNumberFormat="1" applyFont="1" applyFill="1" applyBorder="1" applyAlignment="1">
      <alignment vertical="center"/>
    </xf>
    <xf numFmtId="4" fontId="3" fillId="4903" borderId="4349" xfId="0" applyNumberFormat="1" applyFont="1" applyFill="1" applyBorder="1" applyAlignment="1">
      <alignment vertical="center"/>
    </xf>
    <xf numFmtId="4" fontId="3" fillId="4904" borderId="4350" xfId="0" applyNumberFormat="1" applyFont="1" applyFill="1" applyBorder="1" applyAlignment="1">
      <alignment vertical="center"/>
    </xf>
    <xf numFmtId="0" fontId="3" fillId="4905" borderId="4351" xfId="0" applyFont="1" applyFill="1" applyBorder="1" applyAlignment="1">
      <alignment vertical="center"/>
    </xf>
    <xf numFmtId="0" fontId="3" fillId="4906" borderId="4352" xfId="0" applyFont="1" applyFill="1" applyBorder="1" applyAlignment="1">
      <alignment vertical="center"/>
    </xf>
    <xf numFmtId="0" fontId="3" fillId="4908" borderId="4353" xfId="0" applyFont="1" applyFill="1" applyBorder="1" applyAlignment="1">
      <alignment vertical="center"/>
    </xf>
    <xf numFmtId="0" fontId="3" fillId="4909" borderId="4354" xfId="0" applyFont="1" applyFill="1" applyBorder="1" applyAlignment="1">
      <alignment vertical="center"/>
    </xf>
    <xf numFmtId="0" fontId="3" fillId="4910" borderId="4355" xfId="0" applyFont="1" applyFill="1" applyBorder="1" applyAlignment="1">
      <alignment vertical="center"/>
    </xf>
    <xf numFmtId="4" fontId="3" fillId="4911" borderId="4356" xfId="0" applyNumberFormat="1" applyFont="1" applyFill="1" applyBorder="1" applyAlignment="1">
      <alignment vertical="center"/>
    </xf>
    <xf numFmtId="4" fontId="3" fillId="4912" borderId="4357" xfId="0" applyNumberFormat="1" applyFont="1" applyFill="1" applyBorder="1" applyAlignment="1">
      <alignment vertical="center"/>
    </xf>
    <xf numFmtId="4" fontId="3" fillId="4913" borderId="4358" xfId="0" applyNumberFormat="1" applyFont="1" applyFill="1" applyBorder="1" applyAlignment="1">
      <alignment vertical="center"/>
    </xf>
    <xf numFmtId="0" fontId="3" fillId="4914" borderId="4359" xfId="0" applyFont="1" applyFill="1" applyBorder="1" applyAlignment="1">
      <alignment vertical="center"/>
    </xf>
    <xf numFmtId="0" fontId="3" fillId="4915" borderId="4360" xfId="0" applyFont="1" applyFill="1" applyBorder="1" applyAlignment="1">
      <alignment vertical="center"/>
    </xf>
    <xf numFmtId="0" fontId="3" fillId="4917" borderId="4361" xfId="0" applyFont="1" applyFill="1" applyBorder="1" applyAlignment="1">
      <alignment vertical="center"/>
    </xf>
    <xf numFmtId="0" fontId="3" fillId="4918" borderId="4362" xfId="0" applyFont="1" applyFill="1" applyBorder="1" applyAlignment="1">
      <alignment vertical="center"/>
    </xf>
    <xf numFmtId="0" fontId="3" fillId="4919" borderId="4363" xfId="0" applyFont="1" applyFill="1" applyBorder="1" applyAlignment="1">
      <alignment vertical="center"/>
    </xf>
    <xf numFmtId="4" fontId="3" fillId="4920" borderId="4364" xfId="0" applyNumberFormat="1" applyFont="1" applyFill="1" applyBorder="1" applyAlignment="1">
      <alignment vertical="center"/>
    </xf>
    <xf numFmtId="4" fontId="3" fillId="4921" borderId="4365" xfId="0" applyNumberFormat="1" applyFont="1" applyFill="1" applyBorder="1" applyAlignment="1">
      <alignment vertical="center"/>
    </xf>
    <xf numFmtId="4" fontId="3" fillId="4922" borderId="4366" xfId="0" applyNumberFormat="1" applyFont="1" applyFill="1" applyBorder="1" applyAlignment="1">
      <alignment vertical="center"/>
    </xf>
    <xf numFmtId="0" fontId="3" fillId="4923" borderId="4367" xfId="0" applyFont="1" applyFill="1" applyBorder="1" applyAlignment="1">
      <alignment vertical="center"/>
    </xf>
    <xf numFmtId="0" fontId="3" fillId="4924" borderId="4368" xfId="0" applyFont="1" applyFill="1" applyBorder="1" applyAlignment="1">
      <alignment vertical="center"/>
    </xf>
    <xf numFmtId="0" fontId="3" fillId="4926" borderId="4369" xfId="0" applyFont="1" applyFill="1" applyBorder="1" applyAlignment="1">
      <alignment vertical="center"/>
    </xf>
    <xf numFmtId="0" fontId="3" fillId="4927" borderId="4370" xfId="0" applyFont="1" applyFill="1" applyBorder="1" applyAlignment="1">
      <alignment vertical="center"/>
    </xf>
    <xf numFmtId="0" fontId="3" fillId="4928" borderId="4371" xfId="0" applyFont="1" applyFill="1" applyBorder="1" applyAlignment="1">
      <alignment vertical="center"/>
    </xf>
    <xf numFmtId="4" fontId="3" fillId="4929" borderId="4372" xfId="0" applyNumberFormat="1" applyFont="1" applyFill="1" applyBorder="1" applyAlignment="1">
      <alignment vertical="center"/>
    </xf>
    <xf numFmtId="4" fontId="3" fillId="4930" borderId="4373" xfId="0" applyNumberFormat="1" applyFont="1" applyFill="1" applyBorder="1" applyAlignment="1">
      <alignment vertical="center"/>
    </xf>
    <xf numFmtId="4" fontId="3" fillId="4931" borderId="4374" xfId="0" applyNumberFormat="1" applyFont="1" applyFill="1" applyBorder="1" applyAlignment="1">
      <alignment vertical="center"/>
    </xf>
    <xf numFmtId="0" fontId="3" fillId="4932" borderId="4375" xfId="0" applyFont="1" applyFill="1" applyBorder="1" applyAlignment="1">
      <alignment vertical="center"/>
    </xf>
    <xf numFmtId="0" fontId="3" fillId="4933" borderId="4376" xfId="0" applyFont="1" applyFill="1" applyBorder="1" applyAlignment="1">
      <alignment vertical="center"/>
    </xf>
    <xf numFmtId="0" fontId="3" fillId="4935" borderId="4377" xfId="0" applyFont="1" applyFill="1" applyBorder="1" applyAlignment="1">
      <alignment vertical="center"/>
    </xf>
    <xf numFmtId="0" fontId="3" fillId="4936" borderId="4378" xfId="0" applyFont="1" applyFill="1" applyBorder="1" applyAlignment="1">
      <alignment vertical="center"/>
    </xf>
    <xf numFmtId="0" fontId="3" fillId="4937" borderId="4379" xfId="0" applyFont="1" applyFill="1" applyBorder="1" applyAlignment="1">
      <alignment vertical="center"/>
    </xf>
    <xf numFmtId="4" fontId="3" fillId="4938" borderId="4380" xfId="0" applyNumberFormat="1" applyFont="1" applyFill="1" applyBorder="1" applyAlignment="1">
      <alignment vertical="center"/>
    </xf>
    <xf numFmtId="4" fontId="3" fillId="4939" borderId="4381" xfId="0" applyNumberFormat="1" applyFont="1" applyFill="1" applyBorder="1" applyAlignment="1">
      <alignment vertical="center"/>
    </xf>
    <xf numFmtId="4" fontId="3" fillId="4940" borderId="4382" xfId="0" applyNumberFormat="1" applyFont="1" applyFill="1" applyBorder="1" applyAlignment="1">
      <alignment vertical="center"/>
    </xf>
    <xf numFmtId="0" fontId="3" fillId="4941" borderId="4383" xfId="0" applyFont="1" applyFill="1" applyBorder="1" applyAlignment="1">
      <alignment vertical="center"/>
    </xf>
    <xf numFmtId="0" fontId="3" fillId="4942" borderId="4384" xfId="0" applyFont="1" applyFill="1" applyBorder="1" applyAlignment="1">
      <alignment vertical="center"/>
    </xf>
    <xf numFmtId="0" fontId="3" fillId="4944" borderId="4385" xfId="0" applyFont="1" applyFill="1" applyBorder="1" applyAlignment="1">
      <alignment vertical="center"/>
    </xf>
    <xf numFmtId="0" fontId="3" fillId="4945" borderId="4386" xfId="0" applyFont="1" applyFill="1" applyBorder="1" applyAlignment="1">
      <alignment vertical="center"/>
    </xf>
    <xf numFmtId="0" fontId="3" fillId="4946" borderId="4387" xfId="0" applyFont="1" applyFill="1" applyBorder="1" applyAlignment="1">
      <alignment vertical="center"/>
    </xf>
    <xf numFmtId="4" fontId="3" fillId="4947" borderId="4388" xfId="0" applyNumberFormat="1" applyFont="1" applyFill="1" applyBorder="1" applyAlignment="1">
      <alignment vertical="center"/>
    </xf>
    <xf numFmtId="4" fontId="3" fillId="4948" borderId="4389" xfId="0" applyNumberFormat="1" applyFont="1" applyFill="1" applyBorder="1" applyAlignment="1">
      <alignment vertical="center"/>
    </xf>
    <xf numFmtId="4" fontId="3" fillId="4949" borderId="4390" xfId="0" applyNumberFormat="1" applyFont="1" applyFill="1" applyBorder="1" applyAlignment="1">
      <alignment vertical="center"/>
    </xf>
    <xf numFmtId="0" fontId="3" fillId="4950" borderId="4391" xfId="0" applyFont="1" applyFill="1" applyBorder="1" applyAlignment="1">
      <alignment vertical="center"/>
    </xf>
    <xf numFmtId="0" fontId="3" fillId="4951" borderId="4392" xfId="0" applyFont="1" applyFill="1" applyBorder="1" applyAlignment="1">
      <alignment vertical="center"/>
    </xf>
    <xf numFmtId="0" fontId="3" fillId="4953" borderId="4393" xfId="0" applyFont="1" applyFill="1" applyBorder="1" applyAlignment="1">
      <alignment vertical="center"/>
    </xf>
    <xf numFmtId="0" fontId="3" fillId="4954" borderId="4394" xfId="0" applyFont="1" applyFill="1" applyBorder="1" applyAlignment="1">
      <alignment vertical="center"/>
    </xf>
    <xf numFmtId="0" fontId="3" fillId="4955" borderId="4395" xfId="0" applyFont="1" applyFill="1" applyBorder="1" applyAlignment="1">
      <alignment vertical="center"/>
    </xf>
    <xf numFmtId="4" fontId="3" fillId="4956" borderId="4396" xfId="0" applyNumberFormat="1" applyFont="1" applyFill="1" applyBorder="1" applyAlignment="1">
      <alignment vertical="center"/>
    </xf>
    <xf numFmtId="4" fontId="3" fillId="4957" borderId="4397" xfId="0" applyNumberFormat="1" applyFont="1" applyFill="1" applyBorder="1" applyAlignment="1">
      <alignment vertical="center"/>
    </xf>
    <xf numFmtId="4" fontId="3" fillId="4958" borderId="4398" xfId="0" applyNumberFormat="1" applyFont="1" applyFill="1" applyBorder="1" applyAlignment="1">
      <alignment vertical="center"/>
    </xf>
    <xf numFmtId="0" fontId="3" fillId="4959" borderId="4399" xfId="0" applyFont="1" applyFill="1" applyBorder="1" applyAlignment="1">
      <alignment vertical="center"/>
    </xf>
    <xf numFmtId="0" fontId="3" fillId="4960" borderId="4400" xfId="0" applyFont="1" applyFill="1" applyBorder="1" applyAlignment="1">
      <alignment vertical="center"/>
    </xf>
    <xf numFmtId="0" fontId="3" fillId="4962" borderId="4401" xfId="0" applyFont="1" applyFill="1" applyBorder="1" applyAlignment="1">
      <alignment vertical="center"/>
    </xf>
    <xf numFmtId="0" fontId="3" fillId="4963" borderId="4402" xfId="0" applyFont="1" applyFill="1" applyBorder="1" applyAlignment="1">
      <alignment vertical="center"/>
    </xf>
    <xf numFmtId="0" fontId="3" fillId="4964" borderId="4403" xfId="0" applyFont="1" applyFill="1" applyBorder="1" applyAlignment="1">
      <alignment vertical="center"/>
    </xf>
    <xf numFmtId="4" fontId="3" fillId="4965" borderId="4404" xfId="0" applyNumberFormat="1" applyFont="1" applyFill="1" applyBorder="1" applyAlignment="1">
      <alignment vertical="center"/>
    </xf>
    <xf numFmtId="4" fontId="3" fillId="4966" borderId="4405" xfId="0" applyNumberFormat="1" applyFont="1" applyFill="1" applyBorder="1" applyAlignment="1">
      <alignment vertical="center"/>
    </xf>
    <xf numFmtId="4" fontId="3" fillId="4967" borderId="4406" xfId="0" applyNumberFormat="1" applyFont="1" applyFill="1" applyBorder="1" applyAlignment="1">
      <alignment vertical="center"/>
    </xf>
    <xf numFmtId="0" fontId="3" fillId="4968" borderId="4407" xfId="0" applyFont="1" applyFill="1" applyBorder="1" applyAlignment="1">
      <alignment vertical="center"/>
    </xf>
    <xf numFmtId="0" fontId="3" fillId="4969" borderId="4408" xfId="0" applyFont="1" applyFill="1" applyBorder="1" applyAlignment="1">
      <alignment vertical="center"/>
    </xf>
    <xf numFmtId="0" fontId="3" fillId="4971" borderId="4409" xfId="0" applyFont="1" applyFill="1" applyBorder="1" applyAlignment="1">
      <alignment vertical="center"/>
    </xf>
    <xf numFmtId="0" fontId="3" fillId="4972" borderId="4410" xfId="0" applyFont="1" applyFill="1" applyBorder="1" applyAlignment="1">
      <alignment vertical="center"/>
    </xf>
    <xf numFmtId="0" fontId="3" fillId="4973" borderId="4411" xfId="0" applyFont="1" applyFill="1" applyBorder="1" applyAlignment="1">
      <alignment vertical="center"/>
    </xf>
    <xf numFmtId="4" fontId="3" fillId="4974" borderId="4412" xfId="0" applyNumberFormat="1" applyFont="1" applyFill="1" applyBorder="1" applyAlignment="1">
      <alignment vertical="center"/>
    </xf>
    <xf numFmtId="4" fontId="3" fillId="4975" borderId="4413" xfId="0" applyNumberFormat="1" applyFont="1" applyFill="1" applyBorder="1" applyAlignment="1">
      <alignment vertical="center"/>
    </xf>
    <xf numFmtId="4" fontId="3" fillId="4976" borderId="4414" xfId="0" applyNumberFormat="1" applyFont="1" applyFill="1" applyBorder="1" applyAlignment="1">
      <alignment vertical="center"/>
    </xf>
    <xf numFmtId="0" fontId="3" fillId="4977" borderId="4415" xfId="0" applyFont="1" applyFill="1" applyBorder="1" applyAlignment="1">
      <alignment vertical="center"/>
    </xf>
    <xf numFmtId="0" fontId="3" fillId="4978" borderId="4416" xfId="0" applyFont="1" applyFill="1" applyBorder="1" applyAlignment="1">
      <alignment vertical="center"/>
    </xf>
    <xf numFmtId="0" fontId="3" fillId="4980" borderId="4417" xfId="0" applyFont="1" applyFill="1" applyBorder="1" applyAlignment="1">
      <alignment vertical="center"/>
    </xf>
    <xf numFmtId="0" fontId="3" fillId="4981" borderId="4418" xfId="0" applyFont="1" applyFill="1" applyBorder="1" applyAlignment="1">
      <alignment vertical="center"/>
    </xf>
    <xf numFmtId="0" fontId="3" fillId="4982" borderId="4419" xfId="0" applyFont="1" applyFill="1" applyBorder="1" applyAlignment="1">
      <alignment vertical="center"/>
    </xf>
    <xf numFmtId="4" fontId="3" fillId="4983" borderId="4420" xfId="0" applyNumberFormat="1" applyFont="1" applyFill="1" applyBorder="1" applyAlignment="1">
      <alignment vertical="center"/>
    </xf>
    <xf numFmtId="4" fontId="3" fillId="4984" borderId="4421" xfId="0" applyNumberFormat="1" applyFont="1" applyFill="1" applyBorder="1" applyAlignment="1">
      <alignment vertical="center"/>
    </xf>
    <xf numFmtId="4" fontId="3" fillId="4985" borderId="4422" xfId="0" applyNumberFormat="1" applyFont="1" applyFill="1" applyBorder="1" applyAlignment="1">
      <alignment vertical="center"/>
    </xf>
    <xf numFmtId="0" fontId="3" fillId="4986" borderId="4423" xfId="0" applyFont="1" applyFill="1" applyBorder="1" applyAlignment="1">
      <alignment vertical="center"/>
    </xf>
    <xf numFmtId="0" fontId="3" fillId="4987" borderId="4424" xfId="0" applyFont="1" applyFill="1" applyBorder="1" applyAlignment="1">
      <alignment vertical="center"/>
    </xf>
    <xf numFmtId="0" fontId="3" fillId="4989" borderId="4425" xfId="0" applyFont="1" applyFill="1" applyBorder="1" applyAlignment="1">
      <alignment vertical="center"/>
    </xf>
    <xf numFmtId="0" fontId="3" fillId="4990" borderId="4426" xfId="0" applyFont="1" applyFill="1" applyBorder="1" applyAlignment="1">
      <alignment vertical="center"/>
    </xf>
    <xf numFmtId="0" fontId="3" fillId="4991" borderId="4427" xfId="0" applyFont="1" applyFill="1" applyBorder="1" applyAlignment="1">
      <alignment vertical="center"/>
    </xf>
    <xf numFmtId="4" fontId="3" fillId="4992" borderId="4428" xfId="0" applyNumberFormat="1" applyFont="1" applyFill="1" applyBorder="1" applyAlignment="1">
      <alignment vertical="center"/>
    </xf>
    <xf numFmtId="4" fontId="3" fillId="4993" borderId="4429" xfId="0" applyNumberFormat="1" applyFont="1" applyFill="1" applyBorder="1" applyAlignment="1">
      <alignment vertical="center"/>
    </xf>
    <xf numFmtId="4" fontId="3" fillId="4994" borderId="4430" xfId="0" applyNumberFormat="1" applyFont="1" applyFill="1" applyBorder="1" applyAlignment="1">
      <alignment vertical="center"/>
    </xf>
    <xf numFmtId="0" fontId="3" fillId="4995" borderId="4431" xfId="0" applyFont="1" applyFill="1" applyBorder="1" applyAlignment="1">
      <alignment vertical="center"/>
    </xf>
    <xf numFmtId="0" fontId="3" fillId="4996" borderId="4432" xfId="0" applyFont="1" applyFill="1" applyBorder="1" applyAlignment="1">
      <alignment vertical="center"/>
    </xf>
    <xf numFmtId="0" fontId="3" fillId="4998" borderId="4433" xfId="0" applyFont="1" applyFill="1" applyBorder="1" applyAlignment="1">
      <alignment vertical="center"/>
    </xf>
    <xf numFmtId="0" fontId="3" fillId="4999" borderId="4434" xfId="0" applyFont="1" applyFill="1" applyBorder="1" applyAlignment="1">
      <alignment vertical="center"/>
    </xf>
    <xf numFmtId="0" fontId="3" fillId="5000" borderId="4435" xfId="0" applyFont="1" applyFill="1" applyBorder="1" applyAlignment="1">
      <alignment vertical="center"/>
    </xf>
    <xf numFmtId="4" fontId="3" fillId="5001" borderId="4436" xfId="0" applyNumberFormat="1" applyFont="1" applyFill="1" applyBorder="1" applyAlignment="1">
      <alignment vertical="center"/>
    </xf>
    <xf numFmtId="4" fontId="3" fillId="5002" borderId="4437" xfId="0" applyNumberFormat="1" applyFont="1" applyFill="1" applyBorder="1" applyAlignment="1">
      <alignment vertical="center"/>
    </xf>
    <xf numFmtId="4" fontId="3" fillId="5003" borderId="4438" xfId="0" applyNumberFormat="1" applyFont="1" applyFill="1" applyBorder="1" applyAlignment="1">
      <alignment vertical="center"/>
    </xf>
    <xf numFmtId="0" fontId="3" fillId="5004" borderId="4439" xfId="0" applyFont="1" applyFill="1" applyBorder="1" applyAlignment="1">
      <alignment vertical="center"/>
    </xf>
    <xf numFmtId="0" fontId="3" fillId="5005" borderId="4440" xfId="0" applyFont="1" applyFill="1" applyBorder="1" applyAlignment="1">
      <alignment vertical="center"/>
    </xf>
    <xf numFmtId="0" fontId="3" fillId="5007" borderId="4441" xfId="0" applyFont="1" applyFill="1" applyBorder="1" applyAlignment="1">
      <alignment vertical="center"/>
    </xf>
    <xf numFmtId="0" fontId="3" fillId="5008" borderId="4442" xfId="0" applyFont="1" applyFill="1" applyBorder="1" applyAlignment="1">
      <alignment vertical="center"/>
    </xf>
    <xf numFmtId="0" fontId="3" fillId="5009" borderId="4443" xfId="0" applyFont="1" applyFill="1" applyBorder="1" applyAlignment="1">
      <alignment vertical="center"/>
    </xf>
    <xf numFmtId="4" fontId="3" fillId="5010" borderId="4444" xfId="0" applyNumberFormat="1" applyFont="1" applyFill="1" applyBorder="1" applyAlignment="1">
      <alignment vertical="center"/>
    </xf>
    <xf numFmtId="4" fontId="3" fillId="5011" borderId="4445" xfId="0" applyNumberFormat="1" applyFont="1" applyFill="1" applyBorder="1" applyAlignment="1">
      <alignment vertical="center"/>
    </xf>
    <xf numFmtId="4" fontId="3" fillId="5012" borderId="4446" xfId="0" applyNumberFormat="1" applyFont="1" applyFill="1" applyBorder="1" applyAlignment="1">
      <alignment vertical="center"/>
    </xf>
    <xf numFmtId="0" fontId="3" fillId="5013" borderId="4447" xfId="0" applyFont="1" applyFill="1" applyBorder="1" applyAlignment="1">
      <alignment vertical="center"/>
    </xf>
    <xf numFmtId="0" fontId="3" fillId="5014" borderId="4448" xfId="0" applyFont="1" applyFill="1" applyBorder="1" applyAlignment="1">
      <alignment vertical="center"/>
    </xf>
    <xf numFmtId="0" fontId="3" fillId="5016" borderId="4449" xfId="0" applyFont="1" applyFill="1" applyBorder="1" applyAlignment="1">
      <alignment vertical="center"/>
    </xf>
    <xf numFmtId="0" fontId="3" fillId="5017" borderId="4450" xfId="0" applyFont="1" applyFill="1" applyBorder="1" applyAlignment="1">
      <alignment vertical="center"/>
    </xf>
    <xf numFmtId="0" fontId="3" fillId="5018" borderId="4451" xfId="0" applyFont="1" applyFill="1" applyBorder="1" applyAlignment="1">
      <alignment vertical="center"/>
    </xf>
    <xf numFmtId="4" fontId="3" fillId="5019" borderId="4452" xfId="0" applyNumberFormat="1" applyFont="1" applyFill="1" applyBorder="1" applyAlignment="1">
      <alignment vertical="center"/>
    </xf>
    <xf numFmtId="4" fontId="3" fillId="5020" borderId="4453" xfId="0" applyNumberFormat="1" applyFont="1" applyFill="1" applyBorder="1" applyAlignment="1">
      <alignment vertical="center"/>
    </xf>
    <xf numFmtId="4" fontId="3" fillId="5021" borderId="4454" xfId="0" applyNumberFormat="1" applyFont="1" applyFill="1" applyBorder="1" applyAlignment="1">
      <alignment vertical="center"/>
    </xf>
    <xf numFmtId="0" fontId="3" fillId="5022" borderId="4455" xfId="0" applyFont="1" applyFill="1" applyBorder="1" applyAlignment="1">
      <alignment vertical="center"/>
    </xf>
    <xf numFmtId="0" fontId="3" fillId="5023" borderId="4456" xfId="0" applyFont="1" applyFill="1" applyBorder="1" applyAlignment="1">
      <alignment vertical="center"/>
    </xf>
    <xf numFmtId="0" fontId="3" fillId="5025" borderId="4457" xfId="0" applyFont="1" applyFill="1" applyBorder="1" applyAlignment="1">
      <alignment vertical="center"/>
    </xf>
    <xf numFmtId="0" fontId="3" fillId="5026" borderId="4458" xfId="0" applyFont="1" applyFill="1" applyBorder="1" applyAlignment="1">
      <alignment vertical="center"/>
    </xf>
    <xf numFmtId="0" fontId="3" fillId="5027" borderId="4459" xfId="0" applyFont="1" applyFill="1" applyBorder="1" applyAlignment="1">
      <alignment vertical="center"/>
    </xf>
    <xf numFmtId="4" fontId="3" fillId="5028" borderId="4460" xfId="0" applyNumberFormat="1" applyFont="1" applyFill="1" applyBorder="1" applyAlignment="1">
      <alignment vertical="center"/>
    </xf>
    <xf numFmtId="4" fontId="3" fillId="5029" borderId="4461" xfId="0" applyNumberFormat="1" applyFont="1" applyFill="1" applyBorder="1" applyAlignment="1">
      <alignment vertical="center"/>
    </xf>
    <xf numFmtId="4" fontId="3" fillId="5030" borderId="4462" xfId="0" applyNumberFormat="1" applyFont="1" applyFill="1" applyBorder="1" applyAlignment="1">
      <alignment vertical="center"/>
    </xf>
    <xf numFmtId="0" fontId="3" fillId="5031" borderId="4463" xfId="0" applyFont="1" applyFill="1" applyBorder="1" applyAlignment="1">
      <alignment vertical="center"/>
    </xf>
    <xf numFmtId="0" fontId="3" fillId="5032" borderId="4464" xfId="0" applyFont="1" applyFill="1" applyBorder="1" applyAlignment="1">
      <alignment vertical="center"/>
    </xf>
    <xf numFmtId="0" fontId="3" fillId="5034" borderId="4465" xfId="0" applyFont="1" applyFill="1" applyBorder="1" applyAlignment="1">
      <alignment vertical="center"/>
    </xf>
    <xf numFmtId="0" fontId="3" fillId="5035" borderId="4466" xfId="0" applyFont="1" applyFill="1" applyBorder="1" applyAlignment="1">
      <alignment vertical="center"/>
    </xf>
    <xf numFmtId="0" fontId="3" fillId="5036" borderId="4467" xfId="0" applyFont="1" applyFill="1" applyBorder="1" applyAlignment="1">
      <alignment vertical="center"/>
    </xf>
    <xf numFmtId="4" fontId="3" fillId="5037" borderId="4468" xfId="0" applyNumberFormat="1" applyFont="1" applyFill="1" applyBorder="1" applyAlignment="1">
      <alignment vertical="center"/>
    </xf>
    <xf numFmtId="4" fontId="3" fillId="5038" borderId="4469" xfId="0" applyNumberFormat="1" applyFont="1" applyFill="1" applyBorder="1" applyAlignment="1">
      <alignment vertical="center"/>
    </xf>
    <xf numFmtId="4" fontId="3" fillId="5039" borderId="4470" xfId="0" applyNumberFormat="1" applyFont="1" applyFill="1" applyBorder="1" applyAlignment="1">
      <alignment vertical="center"/>
    </xf>
    <xf numFmtId="0" fontId="3" fillId="5040" borderId="4471" xfId="0" applyFont="1" applyFill="1" applyBorder="1" applyAlignment="1">
      <alignment vertical="center"/>
    </xf>
    <xf numFmtId="0" fontId="3" fillId="5041" borderId="4472" xfId="0" applyFont="1" applyFill="1" applyBorder="1" applyAlignment="1">
      <alignment vertical="center"/>
    </xf>
    <xf numFmtId="0" fontId="3" fillId="5043" borderId="4473" xfId="0" applyFont="1" applyFill="1" applyBorder="1" applyAlignment="1">
      <alignment vertical="center"/>
    </xf>
    <xf numFmtId="0" fontId="3" fillId="5044" borderId="4474" xfId="0" applyFont="1" applyFill="1" applyBorder="1" applyAlignment="1">
      <alignment vertical="center"/>
    </xf>
    <xf numFmtId="0" fontId="3" fillId="5045" borderId="4475" xfId="0" applyFont="1" applyFill="1" applyBorder="1" applyAlignment="1">
      <alignment vertical="center"/>
    </xf>
    <xf numFmtId="4" fontId="3" fillId="5046" borderId="4476" xfId="0" applyNumberFormat="1" applyFont="1" applyFill="1" applyBorder="1" applyAlignment="1">
      <alignment vertical="center"/>
    </xf>
    <xf numFmtId="4" fontId="3" fillId="5047" borderId="4477" xfId="0" applyNumberFormat="1" applyFont="1" applyFill="1" applyBorder="1" applyAlignment="1">
      <alignment vertical="center"/>
    </xf>
    <xf numFmtId="4" fontId="3" fillId="5048" borderId="4478" xfId="0" applyNumberFormat="1" applyFont="1" applyFill="1" applyBorder="1" applyAlignment="1">
      <alignment vertical="center"/>
    </xf>
    <xf numFmtId="0" fontId="3" fillId="5049" borderId="4479" xfId="0" applyFont="1" applyFill="1" applyBorder="1" applyAlignment="1">
      <alignment vertical="center"/>
    </xf>
    <xf numFmtId="0" fontId="3" fillId="5050" borderId="4480" xfId="0" applyFont="1" applyFill="1" applyBorder="1" applyAlignment="1">
      <alignment vertical="center"/>
    </xf>
    <xf numFmtId="0" fontId="3" fillId="5052" borderId="4481" xfId="0" applyFont="1" applyFill="1" applyBorder="1" applyAlignment="1">
      <alignment vertical="center"/>
    </xf>
    <xf numFmtId="0" fontId="3" fillId="5053" borderId="4482" xfId="0" applyFont="1" applyFill="1" applyBorder="1" applyAlignment="1">
      <alignment vertical="center"/>
    </xf>
    <xf numFmtId="0" fontId="3" fillId="5054" borderId="4483" xfId="0" applyFont="1" applyFill="1" applyBorder="1" applyAlignment="1">
      <alignment vertical="center"/>
    </xf>
    <xf numFmtId="4" fontId="3" fillId="5055" borderId="4484" xfId="0" applyNumberFormat="1" applyFont="1" applyFill="1" applyBorder="1" applyAlignment="1">
      <alignment vertical="center"/>
    </xf>
    <xf numFmtId="4" fontId="3" fillId="5056" borderId="4485" xfId="0" applyNumberFormat="1" applyFont="1" applyFill="1" applyBorder="1" applyAlignment="1">
      <alignment vertical="center"/>
    </xf>
    <xf numFmtId="4" fontId="3" fillId="5057" borderId="4486" xfId="0" applyNumberFormat="1" applyFont="1" applyFill="1" applyBorder="1" applyAlignment="1">
      <alignment vertical="center"/>
    </xf>
    <xf numFmtId="0" fontId="3" fillId="5058" borderId="4487" xfId="0" applyFont="1" applyFill="1" applyBorder="1" applyAlignment="1">
      <alignment vertical="center"/>
    </xf>
    <xf numFmtId="0" fontId="3" fillId="5059" borderId="4488" xfId="0" applyFont="1" applyFill="1" applyBorder="1" applyAlignment="1">
      <alignment vertical="center"/>
    </xf>
    <xf numFmtId="0" fontId="3" fillId="5061" borderId="4489" xfId="0" applyFont="1" applyFill="1" applyBorder="1" applyAlignment="1">
      <alignment vertical="center"/>
    </xf>
    <xf numFmtId="0" fontId="3" fillId="5062" borderId="4490" xfId="0" applyFont="1" applyFill="1" applyBorder="1" applyAlignment="1">
      <alignment vertical="center"/>
    </xf>
    <xf numFmtId="0" fontId="3" fillId="5063" borderId="4491" xfId="0" applyFont="1" applyFill="1" applyBorder="1" applyAlignment="1">
      <alignment vertical="center"/>
    </xf>
    <xf numFmtId="4" fontId="3" fillId="5064" borderId="4492" xfId="0" applyNumberFormat="1" applyFont="1" applyFill="1" applyBorder="1" applyAlignment="1">
      <alignment vertical="center"/>
    </xf>
    <xf numFmtId="4" fontId="3" fillId="5065" borderId="4493" xfId="0" applyNumberFormat="1" applyFont="1" applyFill="1" applyBorder="1" applyAlignment="1">
      <alignment vertical="center"/>
    </xf>
    <xf numFmtId="4" fontId="3" fillId="5066" borderId="4494" xfId="0" applyNumberFormat="1" applyFont="1" applyFill="1" applyBorder="1" applyAlignment="1">
      <alignment vertical="center"/>
    </xf>
    <xf numFmtId="0" fontId="3" fillId="5067" borderId="4495" xfId="0" applyFont="1" applyFill="1" applyBorder="1" applyAlignment="1">
      <alignment vertical="center"/>
    </xf>
    <xf numFmtId="0" fontId="3" fillId="5068" borderId="4496" xfId="0" applyFont="1" applyFill="1" applyBorder="1" applyAlignment="1">
      <alignment vertical="center"/>
    </xf>
    <xf numFmtId="0" fontId="3" fillId="5070" borderId="4497" xfId="0" applyFont="1" applyFill="1" applyBorder="1" applyAlignment="1">
      <alignment vertical="center"/>
    </xf>
    <xf numFmtId="0" fontId="3" fillId="5071" borderId="4498" xfId="0" applyFont="1" applyFill="1" applyBorder="1" applyAlignment="1">
      <alignment vertical="center"/>
    </xf>
    <xf numFmtId="0" fontId="3" fillId="5072" borderId="4499" xfId="0" applyFont="1" applyFill="1" applyBorder="1" applyAlignment="1">
      <alignment vertical="center"/>
    </xf>
    <xf numFmtId="4" fontId="3" fillId="5073" borderId="4500" xfId="0" applyNumberFormat="1" applyFont="1" applyFill="1" applyBorder="1" applyAlignment="1">
      <alignment vertical="center"/>
    </xf>
    <xf numFmtId="4" fontId="3" fillId="5074" borderId="4501" xfId="0" applyNumberFormat="1" applyFont="1" applyFill="1" applyBorder="1" applyAlignment="1">
      <alignment vertical="center"/>
    </xf>
    <xf numFmtId="4" fontId="3" fillId="5075" borderId="4502" xfId="0" applyNumberFormat="1" applyFont="1" applyFill="1" applyBorder="1" applyAlignment="1">
      <alignment vertical="center"/>
    </xf>
    <xf numFmtId="0" fontId="3" fillId="5076" borderId="4503" xfId="0" applyFont="1" applyFill="1" applyBorder="1" applyAlignment="1">
      <alignment vertical="center"/>
    </xf>
    <xf numFmtId="0" fontId="3" fillId="5077" borderId="4504" xfId="0" applyFont="1" applyFill="1" applyBorder="1" applyAlignment="1">
      <alignment vertical="center"/>
    </xf>
    <xf numFmtId="0" fontId="3" fillId="5079" borderId="4505" xfId="0" applyFont="1" applyFill="1" applyBorder="1" applyAlignment="1">
      <alignment vertical="center"/>
    </xf>
    <xf numFmtId="0" fontId="3" fillId="5080" borderId="4506" xfId="0" applyFont="1" applyFill="1" applyBorder="1" applyAlignment="1">
      <alignment vertical="center"/>
    </xf>
    <xf numFmtId="0" fontId="3" fillId="5081" borderId="4507" xfId="0" applyFont="1" applyFill="1" applyBorder="1" applyAlignment="1">
      <alignment vertical="center"/>
    </xf>
    <xf numFmtId="4" fontId="3" fillId="5082" borderId="4508" xfId="0" applyNumberFormat="1" applyFont="1" applyFill="1" applyBorder="1" applyAlignment="1">
      <alignment vertical="center"/>
    </xf>
    <xf numFmtId="4" fontId="3" fillId="5083" borderId="4509" xfId="0" applyNumberFormat="1" applyFont="1" applyFill="1" applyBorder="1" applyAlignment="1">
      <alignment vertical="center"/>
    </xf>
    <xf numFmtId="4" fontId="3" fillId="5084" borderId="4510" xfId="0" applyNumberFormat="1" applyFont="1" applyFill="1" applyBorder="1" applyAlignment="1">
      <alignment vertical="center"/>
    </xf>
    <xf numFmtId="0" fontId="3" fillId="5085" borderId="4511" xfId="0" applyFont="1" applyFill="1" applyBorder="1" applyAlignment="1">
      <alignment vertical="center"/>
    </xf>
    <xf numFmtId="0" fontId="3" fillId="5086" borderId="4512" xfId="0" applyFont="1" applyFill="1" applyBorder="1" applyAlignment="1">
      <alignment vertical="center"/>
    </xf>
    <xf numFmtId="0" fontId="3" fillId="5088" borderId="4513" xfId="0" applyFont="1" applyFill="1" applyBorder="1" applyAlignment="1">
      <alignment vertical="center"/>
    </xf>
    <xf numFmtId="0" fontId="3" fillId="5089" borderId="4514" xfId="0" applyFont="1" applyFill="1" applyBorder="1" applyAlignment="1">
      <alignment vertical="center"/>
    </xf>
    <xf numFmtId="0" fontId="3" fillId="5090" borderId="4515" xfId="0" applyFont="1" applyFill="1" applyBorder="1" applyAlignment="1">
      <alignment vertical="center"/>
    </xf>
    <xf numFmtId="4" fontId="3" fillId="5091" borderId="4516" xfId="0" applyNumberFormat="1" applyFont="1" applyFill="1" applyBorder="1" applyAlignment="1">
      <alignment vertical="center"/>
    </xf>
    <xf numFmtId="4" fontId="3" fillId="5092" borderId="4517" xfId="0" applyNumberFormat="1" applyFont="1" applyFill="1" applyBorder="1" applyAlignment="1">
      <alignment vertical="center"/>
    </xf>
    <xf numFmtId="4" fontId="3" fillId="5093" borderId="4518" xfId="0" applyNumberFormat="1" applyFont="1" applyFill="1" applyBorder="1" applyAlignment="1">
      <alignment vertical="center"/>
    </xf>
    <xf numFmtId="0" fontId="3" fillId="5094" borderId="4519" xfId="0" applyFont="1" applyFill="1" applyBorder="1" applyAlignment="1">
      <alignment vertical="center"/>
    </xf>
    <xf numFmtId="0" fontId="3" fillId="5095" borderId="4520" xfId="0" applyFont="1" applyFill="1" applyBorder="1" applyAlignment="1">
      <alignment vertical="center"/>
    </xf>
    <xf numFmtId="0" fontId="3" fillId="5097" borderId="4521" xfId="0" applyFont="1" applyFill="1" applyBorder="1" applyAlignment="1">
      <alignment vertical="center"/>
    </xf>
    <xf numFmtId="0" fontId="3" fillId="5098" borderId="4522" xfId="0" applyFont="1" applyFill="1" applyBorder="1" applyAlignment="1">
      <alignment vertical="center"/>
    </xf>
    <xf numFmtId="0" fontId="3" fillId="5099" borderId="4523" xfId="0" applyFont="1" applyFill="1" applyBorder="1" applyAlignment="1">
      <alignment vertical="center"/>
    </xf>
    <xf numFmtId="4" fontId="3" fillId="5100" borderId="4524" xfId="0" applyNumberFormat="1" applyFont="1" applyFill="1" applyBorder="1" applyAlignment="1">
      <alignment vertical="center"/>
    </xf>
    <xf numFmtId="4" fontId="3" fillId="5101" borderId="4525" xfId="0" applyNumberFormat="1" applyFont="1" applyFill="1" applyBorder="1" applyAlignment="1">
      <alignment vertical="center"/>
    </xf>
    <xf numFmtId="4" fontId="3" fillId="5102" borderId="4526" xfId="0" applyNumberFormat="1" applyFont="1" applyFill="1" applyBorder="1" applyAlignment="1">
      <alignment vertical="center"/>
    </xf>
    <xf numFmtId="0" fontId="3" fillId="5103" borderId="4527" xfId="0" applyFont="1" applyFill="1" applyBorder="1" applyAlignment="1">
      <alignment vertical="center"/>
    </xf>
    <xf numFmtId="0" fontId="3" fillId="5104" borderId="4528" xfId="0" applyFont="1" applyFill="1" applyBorder="1" applyAlignment="1">
      <alignment vertical="center"/>
    </xf>
    <xf numFmtId="0" fontId="3" fillId="5106" borderId="4529" xfId="0" applyFont="1" applyFill="1" applyBorder="1" applyAlignment="1">
      <alignment vertical="center"/>
    </xf>
    <xf numFmtId="0" fontId="3" fillId="5107" borderId="4530" xfId="0" applyFont="1" applyFill="1" applyBorder="1" applyAlignment="1">
      <alignment vertical="center"/>
    </xf>
    <xf numFmtId="0" fontId="3" fillId="5108" borderId="4531" xfId="0" applyFont="1" applyFill="1" applyBorder="1" applyAlignment="1">
      <alignment vertical="center"/>
    </xf>
    <xf numFmtId="4" fontId="3" fillId="5109" borderId="4532" xfId="0" applyNumberFormat="1" applyFont="1" applyFill="1" applyBorder="1" applyAlignment="1">
      <alignment vertical="center"/>
    </xf>
    <xf numFmtId="4" fontId="3" fillId="5110" borderId="4533" xfId="0" applyNumberFormat="1" applyFont="1" applyFill="1" applyBorder="1" applyAlignment="1">
      <alignment vertical="center"/>
    </xf>
    <xf numFmtId="4" fontId="3" fillId="5111" borderId="4534" xfId="0" applyNumberFormat="1" applyFont="1" applyFill="1" applyBorder="1" applyAlignment="1">
      <alignment vertical="center"/>
    </xf>
    <xf numFmtId="0" fontId="3" fillId="5112" borderId="4535" xfId="0" applyFont="1" applyFill="1" applyBorder="1" applyAlignment="1">
      <alignment vertical="center"/>
    </xf>
    <xf numFmtId="0" fontId="3" fillId="5113" borderId="4536" xfId="0" applyFont="1" applyFill="1" applyBorder="1" applyAlignment="1">
      <alignment vertical="center"/>
    </xf>
    <xf numFmtId="0" fontId="3" fillId="5115" borderId="4537" xfId="0" applyFont="1" applyFill="1" applyBorder="1" applyAlignment="1">
      <alignment vertical="center"/>
    </xf>
    <xf numFmtId="0" fontId="3" fillId="5116" borderId="4538" xfId="0" applyFont="1" applyFill="1" applyBorder="1" applyAlignment="1">
      <alignment vertical="center"/>
    </xf>
    <xf numFmtId="0" fontId="3" fillId="5117" borderId="4539" xfId="0" applyFont="1" applyFill="1" applyBorder="1" applyAlignment="1">
      <alignment vertical="center"/>
    </xf>
    <xf numFmtId="4" fontId="3" fillId="5118" borderId="4540" xfId="0" applyNumberFormat="1" applyFont="1" applyFill="1" applyBorder="1" applyAlignment="1">
      <alignment vertical="center"/>
    </xf>
    <xf numFmtId="4" fontId="3" fillId="5119" borderId="4541" xfId="0" applyNumberFormat="1" applyFont="1" applyFill="1" applyBorder="1" applyAlignment="1">
      <alignment vertical="center"/>
    </xf>
    <xf numFmtId="4" fontId="3" fillId="5120" borderId="4542" xfId="0" applyNumberFormat="1" applyFont="1" applyFill="1" applyBorder="1" applyAlignment="1">
      <alignment vertical="center"/>
    </xf>
    <xf numFmtId="0" fontId="3" fillId="5121" borderId="4543" xfId="0" applyFont="1" applyFill="1" applyBorder="1" applyAlignment="1">
      <alignment vertical="center"/>
    </xf>
    <xf numFmtId="0" fontId="3" fillId="5122" borderId="4544" xfId="0" applyFont="1" applyFill="1" applyBorder="1" applyAlignment="1">
      <alignment vertical="center"/>
    </xf>
    <xf numFmtId="0" fontId="3" fillId="5124" borderId="4545" xfId="0" applyFont="1" applyFill="1" applyBorder="1" applyAlignment="1">
      <alignment vertical="center"/>
    </xf>
    <xf numFmtId="0" fontId="3" fillId="5125" borderId="4546" xfId="0" applyFont="1" applyFill="1" applyBorder="1" applyAlignment="1">
      <alignment vertical="center"/>
    </xf>
    <xf numFmtId="0" fontId="3" fillId="5126" borderId="4547" xfId="0" applyFont="1" applyFill="1" applyBorder="1" applyAlignment="1">
      <alignment vertical="center"/>
    </xf>
    <xf numFmtId="4" fontId="3" fillId="5127" borderId="4548" xfId="0" applyNumberFormat="1" applyFont="1" applyFill="1" applyBorder="1" applyAlignment="1">
      <alignment vertical="center"/>
    </xf>
    <xf numFmtId="4" fontId="3" fillId="5128" borderId="4549" xfId="0" applyNumberFormat="1" applyFont="1" applyFill="1" applyBorder="1" applyAlignment="1">
      <alignment vertical="center"/>
    </xf>
    <xf numFmtId="4" fontId="3" fillId="5129" borderId="4550" xfId="0" applyNumberFormat="1" applyFont="1" applyFill="1" applyBorder="1" applyAlignment="1">
      <alignment vertical="center"/>
    </xf>
    <xf numFmtId="0" fontId="3" fillId="5130" borderId="4551" xfId="0" applyFont="1" applyFill="1" applyBorder="1" applyAlignment="1">
      <alignment vertical="center"/>
    </xf>
    <xf numFmtId="0" fontId="3" fillId="5131" borderId="4552" xfId="0" applyFont="1" applyFill="1" applyBorder="1" applyAlignment="1">
      <alignment vertical="center"/>
    </xf>
    <xf numFmtId="0" fontId="3" fillId="5133" borderId="4553" xfId="0" applyFont="1" applyFill="1" applyBorder="1" applyAlignment="1">
      <alignment vertical="center"/>
    </xf>
    <xf numFmtId="0" fontId="3" fillId="5134" borderId="4554" xfId="0" applyFont="1" applyFill="1" applyBorder="1" applyAlignment="1">
      <alignment vertical="center"/>
    </xf>
    <xf numFmtId="0" fontId="3" fillId="5135" borderId="4555" xfId="0" applyFont="1" applyFill="1" applyBorder="1" applyAlignment="1">
      <alignment vertical="center"/>
    </xf>
    <xf numFmtId="4" fontId="3" fillId="5136" borderId="4556" xfId="0" applyNumberFormat="1" applyFont="1" applyFill="1" applyBorder="1" applyAlignment="1">
      <alignment vertical="center"/>
    </xf>
    <xf numFmtId="4" fontId="3" fillId="5137" borderId="4557" xfId="0" applyNumberFormat="1" applyFont="1" applyFill="1" applyBorder="1" applyAlignment="1">
      <alignment vertical="center"/>
    </xf>
    <xf numFmtId="4" fontId="3" fillId="5138" borderId="4558" xfId="0" applyNumberFormat="1" applyFont="1" applyFill="1" applyBorder="1" applyAlignment="1">
      <alignment vertical="center"/>
    </xf>
    <xf numFmtId="0" fontId="3" fillId="5139" borderId="4559" xfId="0" applyFont="1" applyFill="1" applyBorder="1" applyAlignment="1">
      <alignment vertical="center"/>
    </xf>
    <xf numFmtId="0" fontId="3" fillId="5140" borderId="4560" xfId="0" applyFont="1" applyFill="1" applyBorder="1" applyAlignment="1">
      <alignment vertical="center"/>
    </xf>
    <xf numFmtId="0" fontId="3" fillId="5142" borderId="4561" xfId="0" applyFont="1" applyFill="1" applyBorder="1" applyAlignment="1">
      <alignment vertical="center"/>
    </xf>
    <xf numFmtId="0" fontId="3" fillId="5143" borderId="4562" xfId="0" applyFont="1" applyFill="1" applyBorder="1" applyAlignment="1">
      <alignment vertical="center"/>
    </xf>
    <xf numFmtId="0" fontId="3" fillId="5144" borderId="4563" xfId="0" applyFont="1" applyFill="1" applyBorder="1" applyAlignment="1">
      <alignment vertical="center"/>
    </xf>
    <xf numFmtId="4" fontId="3" fillId="5145" borderId="4564" xfId="0" applyNumberFormat="1" applyFont="1" applyFill="1" applyBorder="1" applyAlignment="1">
      <alignment vertical="center"/>
    </xf>
    <xf numFmtId="4" fontId="3" fillId="5146" borderId="4565" xfId="0" applyNumberFormat="1" applyFont="1" applyFill="1" applyBorder="1" applyAlignment="1">
      <alignment vertical="center"/>
    </xf>
    <xf numFmtId="4" fontId="3" fillId="5147" borderId="4566" xfId="0" applyNumberFormat="1" applyFont="1" applyFill="1" applyBorder="1" applyAlignment="1">
      <alignment vertical="center"/>
    </xf>
    <xf numFmtId="0" fontId="3" fillId="5148" borderId="4567" xfId="0" applyFont="1" applyFill="1" applyBorder="1" applyAlignment="1">
      <alignment vertical="center"/>
    </xf>
    <xf numFmtId="0" fontId="3" fillId="5149" borderId="4568" xfId="0" applyFont="1" applyFill="1" applyBorder="1" applyAlignment="1">
      <alignment vertical="center"/>
    </xf>
    <xf numFmtId="0" fontId="3" fillId="5151" borderId="4569" xfId="0" applyFont="1" applyFill="1" applyBorder="1" applyAlignment="1">
      <alignment vertical="center"/>
    </xf>
    <xf numFmtId="0" fontId="3" fillId="5152" borderId="4570" xfId="0" applyFont="1" applyFill="1" applyBorder="1" applyAlignment="1">
      <alignment vertical="center"/>
    </xf>
    <xf numFmtId="0" fontId="3" fillId="5153" borderId="4571" xfId="0" applyFont="1" applyFill="1" applyBorder="1" applyAlignment="1">
      <alignment vertical="center"/>
    </xf>
    <xf numFmtId="4" fontId="3" fillId="5154" borderId="4572" xfId="0" applyNumberFormat="1" applyFont="1" applyFill="1" applyBorder="1" applyAlignment="1">
      <alignment vertical="center"/>
    </xf>
    <xf numFmtId="4" fontId="3" fillId="5155" borderId="4573" xfId="0" applyNumberFormat="1" applyFont="1" applyFill="1" applyBorder="1" applyAlignment="1">
      <alignment vertical="center"/>
    </xf>
    <xf numFmtId="4" fontId="3" fillId="5156" borderId="4574" xfId="0" applyNumberFormat="1" applyFont="1" applyFill="1" applyBorder="1" applyAlignment="1">
      <alignment vertical="center"/>
    </xf>
    <xf numFmtId="0" fontId="3" fillId="5157" borderId="4575" xfId="0" applyFont="1" applyFill="1" applyBorder="1" applyAlignment="1">
      <alignment vertical="center"/>
    </xf>
    <xf numFmtId="0" fontId="3" fillId="5158" borderId="4576" xfId="0" applyFont="1" applyFill="1" applyBorder="1" applyAlignment="1">
      <alignment vertical="center"/>
    </xf>
    <xf numFmtId="0" fontId="3" fillId="5160" borderId="4577" xfId="0" applyFont="1" applyFill="1" applyBorder="1" applyAlignment="1">
      <alignment vertical="center"/>
    </xf>
    <xf numFmtId="0" fontId="3" fillId="5161" borderId="4578" xfId="0" applyFont="1" applyFill="1" applyBorder="1" applyAlignment="1">
      <alignment vertical="center"/>
    </xf>
    <xf numFmtId="0" fontId="3" fillId="5162" borderId="4579" xfId="0" applyFont="1" applyFill="1" applyBorder="1" applyAlignment="1">
      <alignment vertical="center"/>
    </xf>
    <xf numFmtId="4" fontId="3" fillId="5163" borderId="4580" xfId="0" applyNumberFormat="1" applyFont="1" applyFill="1" applyBorder="1" applyAlignment="1">
      <alignment vertical="center"/>
    </xf>
    <xf numFmtId="4" fontId="3" fillId="5164" borderId="4581" xfId="0" applyNumberFormat="1" applyFont="1" applyFill="1" applyBorder="1" applyAlignment="1">
      <alignment vertical="center"/>
    </xf>
    <xf numFmtId="4" fontId="3" fillId="5165" borderId="4582" xfId="0" applyNumberFormat="1" applyFont="1" applyFill="1" applyBorder="1" applyAlignment="1">
      <alignment vertical="center"/>
    </xf>
    <xf numFmtId="0" fontId="3" fillId="5166" borderId="4583" xfId="0" applyFont="1" applyFill="1" applyBorder="1" applyAlignment="1">
      <alignment vertical="center"/>
    </xf>
    <xf numFmtId="0" fontId="3" fillId="5167" borderId="4584" xfId="0" applyFont="1" applyFill="1" applyBorder="1" applyAlignment="1">
      <alignment vertical="center"/>
    </xf>
    <xf numFmtId="0" fontId="3" fillId="5169" borderId="4585" xfId="0" applyFont="1" applyFill="1" applyBorder="1" applyAlignment="1">
      <alignment vertical="center"/>
    </xf>
    <xf numFmtId="0" fontId="3" fillId="5170" borderId="4586" xfId="0" applyFont="1" applyFill="1" applyBorder="1" applyAlignment="1">
      <alignment vertical="center"/>
    </xf>
    <xf numFmtId="0" fontId="3" fillId="5171" borderId="4587" xfId="0" applyFont="1" applyFill="1" applyBorder="1" applyAlignment="1">
      <alignment vertical="center"/>
    </xf>
    <xf numFmtId="4" fontId="3" fillId="5172" borderId="4588" xfId="0" applyNumberFormat="1" applyFont="1" applyFill="1" applyBorder="1" applyAlignment="1">
      <alignment vertical="center"/>
    </xf>
    <xf numFmtId="4" fontId="3" fillId="5173" borderId="4589" xfId="0" applyNumberFormat="1" applyFont="1" applyFill="1" applyBorder="1" applyAlignment="1">
      <alignment vertical="center"/>
    </xf>
    <xf numFmtId="4" fontId="3" fillId="5174" borderId="4590" xfId="0" applyNumberFormat="1" applyFont="1" applyFill="1" applyBorder="1" applyAlignment="1">
      <alignment vertical="center"/>
    </xf>
    <xf numFmtId="0" fontId="3" fillId="5175" borderId="4591" xfId="0" applyFont="1" applyFill="1" applyBorder="1" applyAlignment="1">
      <alignment vertical="center"/>
    </xf>
    <xf numFmtId="0" fontId="3" fillId="5176" borderId="4592" xfId="0" applyFont="1" applyFill="1" applyBorder="1" applyAlignment="1">
      <alignment vertical="center"/>
    </xf>
    <xf numFmtId="0" fontId="3" fillId="5178" borderId="4593" xfId="0" applyFont="1" applyFill="1" applyBorder="1" applyAlignment="1">
      <alignment vertical="center"/>
    </xf>
    <xf numFmtId="0" fontId="3" fillId="5179" borderId="4594" xfId="0" applyFont="1" applyFill="1" applyBorder="1" applyAlignment="1">
      <alignment vertical="center"/>
    </xf>
    <xf numFmtId="0" fontId="3" fillId="5180" borderId="4595" xfId="0" applyFont="1" applyFill="1" applyBorder="1" applyAlignment="1">
      <alignment vertical="center"/>
    </xf>
    <xf numFmtId="4" fontId="3" fillId="5181" borderId="4596" xfId="0" applyNumberFormat="1" applyFont="1" applyFill="1" applyBorder="1" applyAlignment="1">
      <alignment vertical="center"/>
    </xf>
    <xf numFmtId="4" fontId="3" fillId="5182" borderId="4597" xfId="0" applyNumberFormat="1" applyFont="1" applyFill="1" applyBorder="1" applyAlignment="1">
      <alignment vertical="center"/>
    </xf>
    <xf numFmtId="4" fontId="3" fillId="5183" borderId="4598" xfId="0" applyNumberFormat="1" applyFont="1" applyFill="1" applyBorder="1" applyAlignment="1">
      <alignment vertical="center"/>
    </xf>
    <xf numFmtId="0" fontId="3" fillId="5184" borderId="4599" xfId="0" applyFont="1" applyFill="1" applyBorder="1" applyAlignment="1">
      <alignment vertical="center"/>
    </xf>
    <xf numFmtId="0" fontId="3" fillId="5185" borderId="4600" xfId="0" applyFont="1" applyFill="1" applyBorder="1" applyAlignment="1">
      <alignment vertical="center"/>
    </xf>
    <xf numFmtId="0" fontId="3" fillId="5187" borderId="4601" xfId="0" applyFont="1" applyFill="1" applyBorder="1" applyAlignment="1">
      <alignment vertical="center"/>
    </xf>
    <xf numFmtId="0" fontId="3" fillId="5188" borderId="4602" xfId="0" applyFont="1" applyFill="1" applyBorder="1" applyAlignment="1">
      <alignment vertical="center"/>
    </xf>
    <xf numFmtId="0" fontId="3" fillId="5189" borderId="4603" xfId="0" applyFont="1" applyFill="1" applyBorder="1" applyAlignment="1">
      <alignment vertical="center"/>
    </xf>
    <xf numFmtId="4" fontId="3" fillId="5190" borderId="4604" xfId="0" applyNumberFormat="1" applyFont="1" applyFill="1" applyBorder="1" applyAlignment="1">
      <alignment vertical="center"/>
    </xf>
    <xf numFmtId="4" fontId="3" fillId="5191" borderId="4605" xfId="0" applyNumberFormat="1" applyFont="1" applyFill="1" applyBorder="1" applyAlignment="1">
      <alignment vertical="center"/>
    </xf>
    <xf numFmtId="4" fontId="3" fillId="5192" borderId="4606" xfId="0" applyNumberFormat="1" applyFont="1" applyFill="1" applyBorder="1" applyAlignment="1">
      <alignment vertical="center"/>
    </xf>
    <xf numFmtId="0" fontId="3" fillId="5193" borderId="4607" xfId="0" applyFont="1" applyFill="1" applyBorder="1" applyAlignment="1">
      <alignment vertical="center"/>
    </xf>
    <xf numFmtId="0" fontId="3" fillId="5194" borderId="4608" xfId="0" applyFont="1" applyFill="1" applyBorder="1" applyAlignment="1">
      <alignment vertical="center"/>
    </xf>
    <xf numFmtId="0" fontId="3" fillId="5196" borderId="4609" xfId="0" applyFont="1" applyFill="1" applyBorder="1" applyAlignment="1">
      <alignment vertical="center"/>
    </xf>
    <xf numFmtId="0" fontId="3" fillId="5197" borderId="4610" xfId="0" applyFont="1" applyFill="1" applyBorder="1" applyAlignment="1">
      <alignment vertical="center"/>
    </xf>
    <xf numFmtId="0" fontId="3" fillId="5198" borderId="4611" xfId="0" applyFont="1" applyFill="1" applyBorder="1" applyAlignment="1">
      <alignment vertical="center"/>
    </xf>
    <xf numFmtId="4" fontId="3" fillId="5199" borderId="4612" xfId="0" applyNumberFormat="1" applyFont="1" applyFill="1" applyBorder="1" applyAlignment="1">
      <alignment vertical="center"/>
    </xf>
    <xf numFmtId="4" fontId="3" fillId="5200" borderId="4613" xfId="0" applyNumberFormat="1" applyFont="1" applyFill="1" applyBorder="1" applyAlignment="1">
      <alignment vertical="center"/>
    </xf>
    <xf numFmtId="4" fontId="3" fillId="5201" borderId="4614" xfId="0" applyNumberFormat="1" applyFont="1" applyFill="1" applyBorder="1" applyAlignment="1">
      <alignment vertical="center"/>
    </xf>
    <xf numFmtId="0" fontId="3" fillId="5202" borderId="4615" xfId="0" applyFont="1" applyFill="1" applyBorder="1" applyAlignment="1">
      <alignment vertical="center"/>
    </xf>
    <xf numFmtId="0" fontId="3" fillId="5203" borderId="4616" xfId="0" applyFont="1" applyFill="1" applyBorder="1" applyAlignment="1">
      <alignment vertical="center"/>
    </xf>
    <xf numFmtId="0" fontId="3" fillId="5205" borderId="4617" xfId="0" applyFont="1" applyFill="1" applyBorder="1" applyAlignment="1">
      <alignment vertical="center"/>
    </xf>
    <xf numFmtId="0" fontId="3" fillId="5206" borderId="4618" xfId="0" applyFont="1" applyFill="1" applyBorder="1" applyAlignment="1">
      <alignment vertical="center"/>
    </xf>
    <xf numFmtId="0" fontId="3" fillId="5207" borderId="4619" xfId="0" applyFont="1" applyFill="1" applyBorder="1" applyAlignment="1">
      <alignment vertical="center"/>
    </xf>
    <xf numFmtId="4" fontId="3" fillId="5208" borderId="4620" xfId="0" applyNumberFormat="1" applyFont="1" applyFill="1" applyBorder="1" applyAlignment="1">
      <alignment vertical="center"/>
    </xf>
    <xf numFmtId="4" fontId="3" fillId="5209" borderId="4621" xfId="0" applyNumberFormat="1" applyFont="1" applyFill="1" applyBorder="1" applyAlignment="1">
      <alignment vertical="center"/>
    </xf>
    <xf numFmtId="4" fontId="3" fillId="5210" borderId="4622" xfId="0" applyNumberFormat="1" applyFont="1" applyFill="1" applyBorder="1" applyAlignment="1">
      <alignment vertical="center"/>
    </xf>
    <xf numFmtId="0" fontId="3" fillId="5211" borderId="4623" xfId="0" applyFont="1" applyFill="1" applyBorder="1" applyAlignment="1">
      <alignment vertical="center"/>
    </xf>
    <xf numFmtId="0" fontId="3" fillId="5212" borderId="4624" xfId="0" applyFont="1" applyFill="1" applyBorder="1" applyAlignment="1">
      <alignment vertical="center"/>
    </xf>
    <xf numFmtId="0" fontId="3" fillId="5214" borderId="4625" xfId="0" applyFont="1" applyFill="1" applyBorder="1" applyAlignment="1">
      <alignment vertical="center"/>
    </xf>
    <xf numFmtId="0" fontId="3" fillId="5215" borderId="4626" xfId="0" applyFont="1" applyFill="1" applyBorder="1" applyAlignment="1">
      <alignment vertical="center"/>
    </xf>
    <xf numFmtId="0" fontId="3" fillId="5216" borderId="4627" xfId="0" applyFont="1" applyFill="1" applyBorder="1" applyAlignment="1">
      <alignment vertical="center"/>
    </xf>
    <xf numFmtId="4" fontId="3" fillId="5217" borderId="4628" xfId="0" applyNumberFormat="1" applyFont="1" applyFill="1" applyBorder="1" applyAlignment="1">
      <alignment vertical="center"/>
    </xf>
    <xf numFmtId="4" fontId="3" fillId="5218" borderId="4629" xfId="0" applyNumberFormat="1" applyFont="1" applyFill="1" applyBorder="1" applyAlignment="1">
      <alignment vertical="center"/>
    </xf>
    <xf numFmtId="4" fontId="3" fillId="5219" borderId="4630" xfId="0" applyNumberFormat="1" applyFont="1" applyFill="1" applyBorder="1" applyAlignment="1">
      <alignment vertical="center"/>
    </xf>
    <xf numFmtId="0" fontId="3" fillId="5220" borderId="4631" xfId="0" applyFont="1" applyFill="1" applyBorder="1" applyAlignment="1">
      <alignment vertical="center"/>
    </xf>
    <xf numFmtId="0" fontId="3" fillId="5221" borderId="4632" xfId="0" applyFont="1" applyFill="1" applyBorder="1" applyAlignment="1">
      <alignment vertical="center"/>
    </xf>
    <xf numFmtId="0" fontId="3" fillId="5223" borderId="4633" xfId="0" applyFont="1" applyFill="1" applyBorder="1" applyAlignment="1">
      <alignment vertical="center"/>
    </xf>
    <xf numFmtId="0" fontId="3" fillId="5224" borderId="4634" xfId="0" applyFont="1" applyFill="1" applyBorder="1" applyAlignment="1">
      <alignment vertical="center"/>
    </xf>
    <xf numFmtId="0" fontId="3" fillId="5225" borderId="4635" xfId="0" applyFont="1" applyFill="1" applyBorder="1" applyAlignment="1">
      <alignment vertical="center"/>
    </xf>
    <xf numFmtId="4" fontId="3" fillId="5226" borderId="4636" xfId="0" applyNumberFormat="1" applyFont="1" applyFill="1" applyBorder="1" applyAlignment="1">
      <alignment vertical="center"/>
    </xf>
    <xf numFmtId="4" fontId="3" fillId="5227" borderId="4637" xfId="0" applyNumberFormat="1" applyFont="1" applyFill="1" applyBorder="1" applyAlignment="1">
      <alignment vertical="center"/>
    </xf>
    <xf numFmtId="4" fontId="3" fillId="5228" borderId="4638" xfId="0" applyNumberFormat="1" applyFont="1" applyFill="1" applyBorder="1" applyAlignment="1">
      <alignment vertical="center"/>
    </xf>
    <xf numFmtId="0" fontId="3" fillId="5229" borderId="4639" xfId="0" applyFont="1" applyFill="1" applyBorder="1" applyAlignment="1">
      <alignment vertical="center"/>
    </xf>
    <xf numFmtId="0" fontId="3" fillId="5230" borderId="4640" xfId="0" applyFont="1" applyFill="1" applyBorder="1" applyAlignment="1">
      <alignment vertical="center"/>
    </xf>
    <xf numFmtId="0" fontId="3" fillId="5232" borderId="4641" xfId="0" applyFont="1" applyFill="1" applyBorder="1" applyAlignment="1">
      <alignment vertical="center"/>
    </xf>
    <xf numFmtId="0" fontId="3" fillId="5233" borderId="4642" xfId="0" applyFont="1" applyFill="1" applyBorder="1" applyAlignment="1">
      <alignment vertical="center"/>
    </xf>
    <xf numFmtId="0" fontId="3" fillId="5234" borderId="4643" xfId="0" applyFont="1" applyFill="1" applyBorder="1" applyAlignment="1">
      <alignment vertical="center"/>
    </xf>
    <xf numFmtId="4" fontId="3" fillId="5235" borderId="4644" xfId="0" applyNumberFormat="1" applyFont="1" applyFill="1" applyBorder="1" applyAlignment="1">
      <alignment vertical="center"/>
    </xf>
    <xf numFmtId="4" fontId="3" fillId="5236" borderId="4645" xfId="0" applyNumberFormat="1" applyFont="1" applyFill="1" applyBorder="1" applyAlignment="1">
      <alignment vertical="center"/>
    </xf>
    <xf numFmtId="4" fontId="3" fillId="5237" borderId="4646" xfId="0" applyNumberFormat="1" applyFont="1" applyFill="1" applyBorder="1" applyAlignment="1">
      <alignment vertical="center"/>
    </xf>
    <xf numFmtId="0" fontId="3" fillId="5238" borderId="4647" xfId="0" applyFont="1" applyFill="1" applyBorder="1" applyAlignment="1">
      <alignment vertical="center"/>
    </xf>
    <xf numFmtId="0" fontId="3" fillId="5239" borderId="4648" xfId="0" applyFont="1" applyFill="1" applyBorder="1" applyAlignment="1">
      <alignment vertical="center"/>
    </xf>
    <xf numFmtId="0" fontId="3" fillId="5241" borderId="4649" xfId="0" applyFont="1" applyFill="1" applyBorder="1" applyAlignment="1">
      <alignment vertical="center"/>
    </xf>
    <xf numFmtId="0" fontId="3" fillId="5242" borderId="4650" xfId="0" applyFont="1" applyFill="1" applyBorder="1" applyAlignment="1">
      <alignment vertical="center"/>
    </xf>
    <xf numFmtId="0" fontId="3" fillId="5243" borderId="4651" xfId="0" applyFont="1" applyFill="1" applyBorder="1" applyAlignment="1">
      <alignment vertical="center"/>
    </xf>
    <xf numFmtId="4" fontId="3" fillId="5244" borderId="4652" xfId="0" applyNumberFormat="1" applyFont="1" applyFill="1" applyBorder="1" applyAlignment="1">
      <alignment vertical="center"/>
    </xf>
    <xf numFmtId="4" fontId="3" fillId="5245" borderId="4653" xfId="0" applyNumberFormat="1" applyFont="1" applyFill="1" applyBorder="1" applyAlignment="1">
      <alignment vertical="center"/>
    </xf>
    <xf numFmtId="4" fontId="3" fillId="5246" borderId="4654" xfId="0" applyNumberFormat="1" applyFont="1" applyFill="1" applyBorder="1" applyAlignment="1">
      <alignment vertical="center"/>
    </xf>
    <xf numFmtId="0" fontId="3" fillId="5247" borderId="4655" xfId="0" applyFont="1" applyFill="1" applyBorder="1" applyAlignment="1">
      <alignment vertical="center"/>
    </xf>
    <xf numFmtId="0" fontId="3" fillId="5248" borderId="4656" xfId="0" applyFont="1" applyFill="1" applyBorder="1" applyAlignment="1">
      <alignment vertical="center"/>
    </xf>
    <xf numFmtId="0" fontId="3" fillId="5250" borderId="4657" xfId="0" applyFont="1" applyFill="1" applyBorder="1" applyAlignment="1">
      <alignment vertical="center"/>
    </xf>
    <xf numFmtId="0" fontId="3" fillId="5251" borderId="4658" xfId="0" applyFont="1" applyFill="1" applyBorder="1" applyAlignment="1">
      <alignment vertical="center"/>
    </xf>
    <xf numFmtId="0" fontId="3" fillId="5252" borderId="4659" xfId="0" applyFont="1" applyFill="1" applyBorder="1" applyAlignment="1">
      <alignment vertical="center"/>
    </xf>
    <xf numFmtId="4" fontId="3" fillId="5253" borderId="4660" xfId="0" applyNumberFormat="1" applyFont="1" applyFill="1" applyBorder="1" applyAlignment="1">
      <alignment vertical="center"/>
    </xf>
    <xf numFmtId="4" fontId="3" fillId="5254" borderId="4661" xfId="0" applyNumberFormat="1" applyFont="1" applyFill="1" applyBorder="1" applyAlignment="1">
      <alignment vertical="center"/>
    </xf>
    <xf numFmtId="4" fontId="3" fillId="5255" borderId="4662" xfId="0" applyNumberFormat="1" applyFont="1" applyFill="1" applyBorder="1" applyAlignment="1">
      <alignment vertical="center"/>
    </xf>
    <xf numFmtId="0" fontId="3" fillId="5256" borderId="4663" xfId="0" applyFont="1" applyFill="1" applyBorder="1" applyAlignment="1">
      <alignment vertical="center"/>
    </xf>
    <xf numFmtId="0" fontId="3" fillId="5257" borderId="4664" xfId="0" applyFont="1" applyFill="1" applyBorder="1" applyAlignment="1">
      <alignment vertical="center"/>
    </xf>
    <xf numFmtId="0" fontId="3" fillId="5259" borderId="4665" xfId="0" applyFont="1" applyFill="1" applyBorder="1" applyAlignment="1">
      <alignment vertical="center"/>
    </xf>
    <xf numFmtId="0" fontId="3" fillId="5260" borderId="4666" xfId="0" applyFont="1" applyFill="1" applyBorder="1" applyAlignment="1">
      <alignment vertical="center"/>
    </xf>
    <xf numFmtId="0" fontId="3" fillId="5261" borderId="4667" xfId="0" applyFont="1" applyFill="1" applyBorder="1" applyAlignment="1">
      <alignment vertical="center"/>
    </xf>
    <xf numFmtId="4" fontId="3" fillId="5262" borderId="4668" xfId="0" applyNumberFormat="1" applyFont="1" applyFill="1" applyBorder="1" applyAlignment="1">
      <alignment vertical="center"/>
    </xf>
    <xf numFmtId="4" fontId="3" fillId="5263" borderId="4669" xfId="0" applyNumberFormat="1" applyFont="1" applyFill="1" applyBorder="1" applyAlignment="1">
      <alignment vertical="center"/>
    </xf>
    <xf numFmtId="4" fontId="3" fillId="5264" borderId="4670" xfId="0" applyNumberFormat="1" applyFont="1" applyFill="1" applyBorder="1" applyAlignment="1">
      <alignment vertical="center"/>
    </xf>
    <xf numFmtId="0" fontId="3" fillId="5265" borderId="4671" xfId="0" applyFont="1" applyFill="1" applyBorder="1" applyAlignment="1">
      <alignment vertical="center"/>
    </xf>
    <xf numFmtId="0" fontId="3" fillId="5266" borderId="4672" xfId="0" applyFont="1" applyFill="1" applyBorder="1" applyAlignment="1">
      <alignment vertical="center"/>
    </xf>
    <xf numFmtId="0" fontId="3" fillId="5268" borderId="4673" xfId="0" applyFont="1" applyFill="1" applyBorder="1" applyAlignment="1">
      <alignment vertical="center"/>
    </xf>
    <xf numFmtId="0" fontId="3" fillId="5269" borderId="4674" xfId="0" applyFont="1" applyFill="1" applyBorder="1" applyAlignment="1">
      <alignment vertical="center"/>
    </xf>
    <xf numFmtId="0" fontId="3" fillId="5270" borderId="4675" xfId="0" applyFont="1" applyFill="1" applyBorder="1" applyAlignment="1">
      <alignment vertical="center"/>
    </xf>
    <xf numFmtId="4" fontId="3" fillId="5271" borderId="4676" xfId="0" applyNumberFormat="1" applyFont="1" applyFill="1" applyBorder="1" applyAlignment="1">
      <alignment vertical="center"/>
    </xf>
    <xf numFmtId="4" fontId="3" fillId="5272" borderId="4677" xfId="0" applyNumberFormat="1" applyFont="1" applyFill="1" applyBorder="1" applyAlignment="1">
      <alignment vertical="center"/>
    </xf>
    <xf numFmtId="4" fontId="3" fillId="5273" borderId="4678" xfId="0" applyNumberFormat="1" applyFont="1" applyFill="1" applyBorder="1" applyAlignment="1">
      <alignment vertical="center"/>
    </xf>
    <xf numFmtId="0" fontId="3" fillId="5274" borderId="4679" xfId="0" applyFont="1" applyFill="1" applyBorder="1" applyAlignment="1">
      <alignment vertical="center"/>
    </xf>
    <xf numFmtId="0" fontId="3" fillId="5275" borderId="4680" xfId="0" applyFont="1" applyFill="1" applyBorder="1" applyAlignment="1">
      <alignment vertical="center"/>
    </xf>
    <xf numFmtId="0" fontId="3" fillId="5277" borderId="4681" xfId="0" applyFont="1" applyFill="1" applyBorder="1" applyAlignment="1">
      <alignment vertical="center"/>
    </xf>
    <xf numFmtId="0" fontId="3" fillId="5278" borderId="4682" xfId="0" applyFont="1" applyFill="1" applyBorder="1" applyAlignment="1">
      <alignment vertical="center"/>
    </xf>
    <xf numFmtId="0" fontId="3" fillId="5279" borderId="4683" xfId="0" applyFont="1" applyFill="1" applyBorder="1" applyAlignment="1">
      <alignment vertical="center"/>
    </xf>
    <xf numFmtId="4" fontId="3" fillId="5280" borderId="4684" xfId="0" applyNumberFormat="1" applyFont="1" applyFill="1" applyBorder="1" applyAlignment="1">
      <alignment vertical="center"/>
    </xf>
    <xf numFmtId="4" fontId="3" fillId="5281" borderId="4685" xfId="0" applyNumberFormat="1" applyFont="1" applyFill="1" applyBorder="1" applyAlignment="1">
      <alignment vertical="center"/>
    </xf>
    <xf numFmtId="4" fontId="3" fillId="5282" borderId="4686" xfId="0" applyNumberFormat="1" applyFont="1" applyFill="1" applyBorder="1" applyAlignment="1">
      <alignment vertical="center"/>
    </xf>
    <xf numFmtId="0" fontId="3" fillId="5283" borderId="4687" xfId="0" applyFont="1" applyFill="1" applyBorder="1" applyAlignment="1">
      <alignment vertical="center"/>
    </xf>
    <xf numFmtId="0" fontId="3" fillId="5284" borderId="4688" xfId="0" applyFont="1" applyFill="1" applyBorder="1" applyAlignment="1">
      <alignment vertical="center"/>
    </xf>
    <xf numFmtId="0" fontId="3" fillId="5286" borderId="4689" xfId="0" applyFont="1" applyFill="1" applyBorder="1" applyAlignment="1">
      <alignment vertical="center"/>
    </xf>
    <xf numFmtId="0" fontId="3" fillId="5287" borderId="4690" xfId="0" applyFont="1" applyFill="1" applyBorder="1" applyAlignment="1">
      <alignment vertical="center"/>
    </xf>
    <xf numFmtId="0" fontId="3" fillId="5288" borderId="4691" xfId="0" applyFont="1" applyFill="1" applyBorder="1" applyAlignment="1">
      <alignment vertical="center"/>
    </xf>
    <xf numFmtId="4" fontId="3" fillId="5289" borderId="4692" xfId="0" applyNumberFormat="1" applyFont="1" applyFill="1" applyBorder="1" applyAlignment="1">
      <alignment vertical="center"/>
    </xf>
    <xf numFmtId="4" fontId="3" fillId="5290" borderId="4693" xfId="0" applyNumberFormat="1" applyFont="1" applyFill="1" applyBorder="1" applyAlignment="1">
      <alignment vertical="center"/>
    </xf>
    <xf numFmtId="4" fontId="3" fillId="5291" borderId="4694" xfId="0" applyNumberFormat="1" applyFont="1" applyFill="1" applyBorder="1" applyAlignment="1">
      <alignment vertical="center"/>
    </xf>
    <xf numFmtId="0" fontId="3" fillId="5292" borderId="4695" xfId="0" applyFont="1" applyFill="1" applyBorder="1" applyAlignment="1">
      <alignment vertical="center"/>
    </xf>
    <xf numFmtId="0" fontId="3" fillId="5293" borderId="4696" xfId="0" applyFont="1" applyFill="1" applyBorder="1" applyAlignment="1">
      <alignment vertical="center"/>
    </xf>
    <xf numFmtId="0" fontId="3" fillId="5295" borderId="4697" xfId="0" applyFont="1" applyFill="1" applyBorder="1" applyAlignment="1">
      <alignment vertical="center"/>
    </xf>
    <xf numFmtId="0" fontId="3" fillId="5296" borderId="4698" xfId="0" applyFont="1" applyFill="1" applyBorder="1" applyAlignment="1">
      <alignment vertical="center"/>
    </xf>
    <xf numFmtId="0" fontId="3" fillId="5297" borderId="4699" xfId="0" applyFont="1" applyFill="1" applyBorder="1" applyAlignment="1">
      <alignment vertical="center"/>
    </xf>
    <xf numFmtId="4" fontId="3" fillId="5298" borderId="4700" xfId="0" applyNumberFormat="1" applyFont="1" applyFill="1" applyBorder="1" applyAlignment="1">
      <alignment vertical="center"/>
    </xf>
    <xf numFmtId="4" fontId="3" fillId="5299" borderId="4701" xfId="0" applyNumberFormat="1" applyFont="1" applyFill="1" applyBorder="1" applyAlignment="1">
      <alignment vertical="center"/>
    </xf>
    <xf numFmtId="4" fontId="3" fillId="5300" borderId="4702" xfId="0" applyNumberFormat="1" applyFont="1" applyFill="1" applyBorder="1" applyAlignment="1">
      <alignment vertical="center"/>
    </xf>
    <xf numFmtId="0" fontId="3" fillId="5301" borderId="4703" xfId="0" applyFont="1" applyFill="1" applyBorder="1" applyAlignment="1">
      <alignment vertical="center"/>
    </xf>
    <xf numFmtId="0" fontId="3" fillId="5302" borderId="4704" xfId="0" applyFont="1" applyFill="1" applyBorder="1" applyAlignment="1">
      <alignment vertical="center"/>
    </xf>
    <xf numFmtId="0" fontId="3" fillId="5304" borderId="4705" xfId="0" applyFont="1" applyFill="1" applyBorder="1" applyAlignment="1">
      <alignment vertical="center"/>
    </xf>
    <xf numFmtId="0" fontId="3" fillId="5305" borderId="4706" xfId="0" applyFont="1" applyFill="1" applyBorder="1" applyAlignment="1">
      <alignment vertical="center"/>
    </xf>
    <xf numFmtId="0" fontId="3" fillId="5306" borderId="4707" xfId="0" applyFont="1" applyFill="1" applyBorder="1" applyAlignment="1">
      <alignment vertical="center"/>
    </xf>
    <xf numFmtId="4" fontId="3" fillId="5307" borderId="4708" xfId="0" applyNumberFormat="1" applyFont="1" applyFill="1" applyBorder="1" applyAlignment="1">
      <alignment vertical="center"/>
    </xf>
    <xf numFmtId="4" fontId="3" fillId="5308" borderId="4709" xfId="0" applyNumberFormat="1" applyFont="1" applyFill="1" applyBorder="1" applyAlignment="1">
      <alignment vertical="center"/>
    </xf>
    <xf numFmtId="4" fontId="3" fillId="5309" borderId="4710" xfId="0" applyNumberFormat="1" applyFont="1" applyFill="1" applyBorder="1" applyAlignment="1">
      <alignment vertical="center"/>
    </xf>
    <xf numFmtId="0" fontId="3" fillId="5310" borderId="4711" xfId="0" applyFont="1" applyFill="1" applyBorder="1" applyAlignment="1">
      <alignment vertical="center"/>
    </xf>
    <xf numFmtId="0" fontId="3" fillId="5311" borderId="4712" xfId="0" applyFont="1" applyFill="1" applyBorder="1" applyAlignment="1">
      <alignment vertical="center"/>
    </xf>
    <xf numFmtId="0" fontId="3" fillId="5313" borderId="4713" xfId="0" applyFont="1" applyFill="1" applyBorder="1" applyAlignment="1">
      <alignment vertical="center"/>
    </xf>
    <xf numFmtId="0" fontId="3" fillId="5314" borderId="4714" xfId="0" applyFont="1" applyFill="1" applyBorder="1" applyAlignment="1">
      <alignment vertical="center"/>
    </xf>
    <xf numFmtId="0" fontId="3" fillId="5315" borderId="4715" xfId="0" applyFont="1" applyFill="1" applyBorder="1" applyAlignment="1">
      <alignment vertical="center"/>
    </xf>
    <xf numFmtId="4" fontId="3" fillId="5316" borderId="4716" xfId="0" applyNumberFormat="1" applyFont="1" applyFill="1" applyBorder="1" applyAlignment="1">
      <alignment vertical="center"/>
    </xf>
    <xf numFmtId="4" fontId="3" fillId="5317" borderId="4717" xfId="0" applyNumberFormat="1" applyFont="1" applyFill="1" applyBorder="1" applyAlignment="1">
      <alignment vertical="center"/>
    </xf>
    <xf numFmtId="4" fontId="3" fillId="5318" borderId="4718" xfId="0" applyNumberFormat="1" applyFont="1" applyFill="1" applyBorder="1" applyAlignment="1">
      <alignment vertical="center"/>
    </xf>
    <xf numFmtId="0" fontId="3" fillId="5319" borderId="4719" xfId="0" applyFont="1" applyFill="1" applyBorder="1" applyAlignment="1">
      <alignment vertical="center"/>
    </xf>
    <xf numFmtId="0" fontId="3" fillId="5320" borderId="4720" xfId="0" applyFont="1" applyFill="1" applyBorder="1" applyAlignment="1">
      <alignment vertical="center"/>
    </xf>
    <xf numFmtId="0" fontId="3" fillId="5322" borderId="4721" xfId="0" applyFont="1" applyFill="1" applyBorder="1" applyAlignment="1">
      <alignment vertical="center"/>
    </xf>
    <xf numFmtId="0" fontId="3" fillId="5323" borderId="4722" xfId="0" applyFont="1" applyFill="1" applyBorder="1" applyAlignment="1">
      <alignment vertical="center"/>
    </xf>
    <xf numFmtId="0" fontId="3" fillId="5324" borderId="4723" xfId="0" applyFont="1" applyFill="1" applyBorder="1" applyAlignment="1">
      <alignment vertical="center"/>
    </xf>
    <xf numFmtId="4" fontId="3" fillId="5325" borderId="4724" xfId="0" applyNumberFormat="1" applyFont="1" applyFill="1" applyBorder="1" applyAlignment="1">
      <alignment vertical="center"/>
    </xf>
    <xf numFmtId="4" fontId="3" fillId="5326" borderId="4725" xfId="0" applyNumberFormat="1" applyFont="1" applyFill="1" applyBorder="1" applyAlignment="1">
      <alignment vertical="center"/>
    </xf>
    <xf numFmtId="4" fontId="3" fillId="5327" borderId="4726" xfId="0" applyNumberFormat="1" applyFont="1" applyFill="1" applyBorder="1" applyAlignment="1">
      <alignment vertical="center"/>
    </xf>
    <xf numFmtId="0" fontId="3" fillId="5328" borderId="4727" xfId="0" applyFont="1" applyFill="1" applyBorder="1" applyAlignment="1">
      <alignment vertical="center"/>
    </xf>
    <xf numFmtId="0" fontId="3" fillId="5329" borderId="4728" xfId="0" applyFont="1" applyFill="1" applyBorder="1" applyAlignment="1">
      <alignment vertical="center"/>
    </xf>
    <xf numFmtId="0" fontId="3" fillId="5331" borderId="4729" xfId="0" applyFont="1" applyFill="1" applyBorder="1" applyAlignment="1">
      <alignment vertical="center"/>
    </xf>
    <xf numFmtId="0" fontId="3" fillId="5332" borderId="4730" xfId="0" applyFont="1" applyFill="1" applyBorder="1" applyAlignment="1">
      <alignment vertical="center"/>
    </xf>
    <xf numFmtId="0" fontId="3" fillId="5333" borderId="4731" xfId="0" applyFont="1" applyFill="1" applyBorder="1" applyAlignment="1">
      <alignment vertical="center"/>
    </xf>
    <xf numFmtId="4" fontId="3" fillId="5334" borderId="4732" xfId="0" applyNumberFormat="1" applyFont="1" applyFill="1" applyBorder="1" applyAlignment="1">
      <alignment vertical="center"/>
    </xf>
    <xf numFmtId="4" fontId="3" fillId="5335" borderId="4733" xfId="0" applyNumberFormat="1" applyFont="1" applyFill="1" applyBorder="1" applyAlignment="1">
      <alignment vertical="center"/>
    </xf>
    <xf numFmtId="4" fontId="3" fillId="5336" borderId="4734" xfId="0" applyNumberFormat="1" applyFont="1" applyFill="1" applyBorder="1" applyAlignment="1">
      <alignment vertical="center"/>
    </xf>
    <xf numFmtId="0" fontId="3" fillId="5337" borderId="4735" xfId="0" applyFont="1" applyFill="1" applyBorder="1" applyAlignment="1">
      <alignment vertical="center"/>
    </xf>
    <xf numFmtId="0" fontId="3" fillId="5338" borderId="4736" xfId="0" applyFont="1" applyFill="1" applyBorder="1" applyAlignment="1">
      <alignment vertical="center"/>
    </xf>
    <xf numFmtId="0" fontId="3" fillId="5340" borderId="4737" xfId="0" applyFont="1" applyFill="1" applyBorder="1" applyAlignment="1">
      <alignment vertical="center"/>
    </xf>
    <xf numFmtId="0" fontId="3" fillId="5341" borderId="4738" xfId="0" applyFont="1" applyFill="1" applyBorder="1" applyAlignment="1">
      <alignment vertical="center"/>
    </xf>
    <xf numFmtId="0" fontId="3" fillId="5342" borderId="4739" xfId="0" applyFont="1" applyFill="1" applyBorder="1" applyAlignment="1">
      <alignment vertical="center"/>
    </xf>
    <xf numFmtId="4" fontId="3" fillId="5343" borderId="4740" xfId="0" applyNumberFormat="1" applyFont="1" applyFill="1" applyBorder="1" applyAlignment="1">
      <alignment vertical="center"/>
    </xf>
    <xf numFmtId="4" fontId="3" fillId="5344" borderId="4741" xfId="0" applyNumberFormat="1" applyFont="1" applyFill="1" applyBorder="1" applyAlignment="1">
      <alignment vertical="center"/>
    </xf>
    <xf numFmtId="4" fontId="3" fillId="5345" borderId="4742" xfId="0" applyNumberFormat="1" applyFont="1" applyFill="1" applyBorder="1" applyAlignment="1">
      <alignment vertical="center"/>
    </xf>
    <xf numFmtId="0" fontId="3" fillId="5346" borderId="4743" xfId="0" applyFont="1" applyFill="1" applyBorder="1" applyAlignment="1">
      <alignment vertical="center"/>
    </xf>
    <xf numFmtId="0" fontId="3" fillId="5347" borderId="4744" xfId="0" applyFont="1" applyFill="1" applyBorder="1" applyAlignment="1">
      <alignment vertical="center"/>
    </xf>
    <xf numFmtId="0" fontId="3" fillId="5349" borderId="4745" xfId="0" applyFont="1" applyFill="1" applyBorder="1" applyAlignment="1">
      <alignment vertical="center"/>
    </xf>
    <xf numFmtId="0" fontId="3" fillId="5350" borderId="4746" xfId="0" applyFont="1" applyFill="1" applyBorder="1" applyAlignment="1">
      <alignment vertical="center"/>
    </xf>
    <xf numFmtId="0" fontId="3" fillId="5351" borderId="4747" xfId="0" applyFont="1" applyFill="1" applyBorder="1" applyAlignment="1">
      <alignment vertical="center"/>
    </xf>
    <xf numFmtId="4" fontId="3" fillId="5352" borderId="4748" xfId="0" applyNumberFormat="1" applyFont="1" applyFill="1" applyBorder="1" applyAlignment="1">
      <alignment vertical="center"/>
    </xf>
    <xf numFmtId="4" fontId="3" fillId="5353" borderId="4749" xfId="0" applyNumberFormat="1" applyFont="1" applyFill="1" applyBorder="1" applyAlignment="1">
      <alignment vertical="center"/>
    </xf>
    <xf numFmtId="4" fontId="3" fillId="5354" borderId="4750" xfId="0" applyNumberFormat="1" applyFont="1" applyFill="1" applyBorder="1" applyAlignment="1">
      <alignment vertical="center"/>
    </xf>
    <xf numFmtId="0" fontId="3" fillId="5355" borderId="4751" xfId="0" applyFont="1" applyFill="1" applyBorder="1" applyAlignment="1">
      <alignment vertical="center"/>
    </xf>
    <xf numFmtId="0" fontId="3" fillId="5356" borderId="4752" xfId="0" applyFont="1" applyFill="1" applyBorder="1" applyAlignment="1">
      <alignment vertical="center"/>
    </xf>
    <xf numFmtId="0" fontId="3" fillId="5358" borderId="4753" xfId="0" applyFont="1" applyFill="1" applyBorder="1" applyAlignment="1">
      <alignment vertical="center"/>
    </xf>
    <xf numFmtId="0" fontId="3" fillId="5359" borderId="4754" xfId="0" applyFont="1" applyFill="1" applyBorder="1" applyAlignment="1">
      <alignment vertical="center"/>
    </xf>
    <xf numFmtId="0" fontId="3" fillId="5360" borderId="4755" xfId="0" applyFont="1" applyFill="1" applyBorder="1" applyAlignment="1">
      <alignment vertical="center"/>
    </xf>
    <xf numFmtId="4" fontId="3" fillId="5361" borderId="4756" xfId="0" applyNumberFormat="1" applyFont="1" applyFill="1" applyBorder="1" applyAlignment="1">
      <alignment vertical="center"/>
    </xf>
    <xf numFmtId="4" fontId="3" fillId="5362" borderId="4757" xfId="0" applyNumberFormat="1" applyFont="1" applyFill="1" applyBorder="1" applyAlignment="1">
      <alignment vertical="center"/>
    </xf>
    <xf numFmtId="4" fontId="3" fillId="5363" borderId="4758" xfId="0" applyNumberFormat="1" applyFont="1" applyFill="1" applyBorder="1" applyAlignment="1">
      <alignment vertical="center"/>
    </xf>
    <xf numFmtId="0" fontId="3" fillId="5364" borderId="4759" xfId="0" applyFont="1" applyFill="1" applyBorder="1" applyAlignment="1">
      <alignment vertical="center"/>
    </xf>
    <xf numFmtId="0" fontId="3" fillId="5365" borderId="4760" xfId="0" applyFont="1" applyFill="1" applyBorder="1" applyAlignment="1">
      <alignment vertical="center"/>
    </xf>
    <xf numFmtId="0" fontId="3" fillId="5367" borderId="4761" xfId="0" applyFont="1" applyFill="1" applyBorder="1" applyAlignment="1">
      <alignment vertical="center"/>
    </xf>
    <xf numFmtId="0" fontId="3" fillId="5368" borderId="4762" xfId="0" applyFont="1" applyFill="1" applyBorder="1" applyAlignment="1">
      <alignment vertical="center"/>
    </xf>
    <xf numFmtId="0" fontId="3" fillId="5369" borderId="4763" xfId="0" applyFont="1" applyFill="1" applyBorder="1" applyAlignment="1">
      <alignment vertical="center"/>
    </xf>
    <xf numFmtId="4" fontId="3" fillId="5370" borderId="4764" xfId="0" applyNumberFormat="1" applyFont="1" applyFill="1" applyBorder="1" applyAlignment="1">
      <alignment vertical="center"/>
    </xf>
    <xf numFmtId="4" fontId="3" fillId="5371" borderId="4765" xfId="0" applyNumberFormat="1" applyFont="1" applyFill="1" applyBorder="1" applyAlignment="1">
      <alignment vertical="center"/>
    </xf>
    <xf numFmtId="4" fontId="3" fillId="5372" borderId="4766" xfId="0" applyNumberFormat="1" applyFont="1" applyFill="1" applyBorder="1" applyAlignment="1">
      <alignment vertical="center"/>
    </xf>
    <xf numFmtId="0" fontId="3" fillId="5373" borderId="4767" xfId="0" applyFont="1" applyFill="1" applyBorder="1" applyAlignment="1">
      <alignment vertical="center"/>
    </xf>
    <xf numFmtId="0" fontId="3" fillId="5374" borderId="4768" xfId="0" applyFont="1" applyFill="1" applyBorder="1" applyAlignment="1">
      <alignment vertical="center"/>
    </xf>
    <xf numFmtId="0" fontId="3" fillId="5376" borderId="4769" xfId="0" applyFont="1" applyFill="1" applyBorder="1" applyAlignment="1">
      <alignment vertical="center"/>
    </xf>
    <xf numFmtId="0" fontId="3" fillId="5377" borderId="4770" xfId="0" applyFont="1" applyFill="1" applyBorder="1" applyAlignment="1">
      <alignment vertical="center"/>
    </xf>
    <xf numFmtId="0" fontId="3" fillId="5378" borderId="4771" xfId="0" applyFont="1" applyFill="1" applyBorder="1" applyAlignment="1">
      <alignment vertical="center"/>
    </xf>
    <xf numFmtId="4" fontId="3" fillId="5379" borderId="4772" xfId="0" applyNumberFormat="1" applyFont="1" applyFill="1" applyBorder="1" applyAlignment="1">
      <alignment vertical="center"/>
    </xf>
    <xf numFmtId="4" fontId="3" fillId="5380" borderId="4773" xfId="0" applyNumberFormat="1" applyFont="1" applyFill="1" applyBorder="1" applyAlignment="1">
      <alignment vertical="center"/>
    </xf>
    <xf numFmtId="4" fontId="3" fillId="5381" borderId="4774" xfId="0" applyNumberFormat="1" applyFont="1" applyFill="1" applyBorder="1" applyAlignment="1">
      <alignment vertical="center"/>
    </xf>
    <xf numFmtId="0" fontId="3" fillId="5382" borderId="4775" xfId="0" applyFont="1" applyFill="1" applyBorder="1" applyAlignment="1">
      <alignment vertical="center"/>
    </xf>
    <xf numFmtId="0" fontId="3" fillId="5383" borderId="4776" xfId="0" applyFont="1" applyFill="1" applyBorder="1" applyAlignment="1">
      <alignment vertical="center"/>
    </xf>
    <xf numFmtId="0" fontId="3" fillId="5385" borderId="4777" xfId="0" applyFont="1" applyFill="1" applyBorder="1" applyAlignment="1">
      <alignment vertical="center"/>
    </xf>
    <xf numFmtId="0" fontId="3" fillId="5386" borderId="4778" xfId="0" applyFont="1" applyFill="1" applyBorder="1" applyAlignment="1">
      <alignment vertical="center"/>
    </xf>
    <xf numFmtId="0" fontId="3" fillId="5387" borderId="4779" xfId="0" applyFont="1" applyFill="1" applyBorder="1" applyAlignment="1">
      <alignment vertical="center"/>
    </xf>
    <xf numFmtId="4" fontId="3" fillId="5388" borderId="4780" xfId="0" applyNumberFormat="1" applyFont="1" applyFill="1" applyBorder="1" applyAlignment="1">
      <alignment vertical="center"/>
    </xf>
    <xf numFmtId="4" fontId="3" fillId="5389" borderId="4781" xfId="0" applyNumberFormat="1" applyFont="1" applyFill="1" applyBorder="1" applyAlignment="1">
      <alignment vertical="center"/>
    </xf>
    <xf numFmtId="4" fontId="3" fillId="5390" borderId="4782" xfId="0" applyNumberFormat="1" applyFont="1" applyFill="1" applyBorder="1" applyAlignment="1">
      <alignment vertical="center"/>
    </xf>
    <xf numFmtId="0" fontId="3" fillId="5391" borderId="4783" xfId="0" applyFont="1" applyFill="1" applyBorder="1" applyAlignment="1">
      <alignment vertical="center"/>
    </xf>
    <xf numFmtId="0" fontId="3" fillId="5392" borderId="4784" xfId="0" applyFont="1" applyFill="1" applyBorder="1" applyAlignment="1">
      <alignment vertical="center"/>
    </xf>
    <xf numFmtId="0" fontId="3" fillId="5394" borderId="4785" xfId="0" applyFont="1" applyFill="1" applyBorder="1" applyAlignment="1">
      <alignment vertical="center"/>
    </xf>
    <xf numFmtId="0" fontId="3" fillId="5395" borderId="4786" xfId="0" applyFont="1" applyFill="1" applyBorder="1" applyAlignment="1">
      <alignment vertical="center"/>
    </xf>
    <xf numFmtId="0" fontId="3" fillId="5396" borderId="4787" xfId="0" applyFont="1" applyFill="1" applyBorder="1" applyAlignment="1">
      <alignment vertical="center"/>
    </xf>
    <xf numFmtId="4" fontId="3" fillId="5397" borderId="4788" xfId="0" applyNumberFormat="1" applyFont="1" applyFill="1" applyBorder="1" applyAlignment="1">
      <alignment vertical="center"/>
    </xf>
    <xf numFmtId="4" fontId="3" fillId="5398" borderId="4789" xfId="0" applyNumberFormat="1" applyFont="1" applyFill="1" applyBorder="1" applyAlignment="1">
      <alignment vertical="center"/>
    </xf>
    <xf numFmtId="4" fontId="3" fillId="5399" borderId="4790" xfId="0" applyNumberFormat="1" applyFont="1" applyFill="1" applyBorder="1" applyAlignment="1">
      <alignment vertical="center"/>
    </xf>
    <xf numFmtId="0" fontId="3" fillId="5400" borderId="4791" xfId="0" applyFont="1" applyFill="1" applyBorder="1" applyAlignment="1">
      <alignment vertical="center"/>
    </xf>
    <xf numFmtId="0" fontId="3" fillId="5401" borderId="4792" xfId="0" applyFont="1" applyFill="1" applyBorder="1" applyAlignment="1">
      <alignment vertical="center"/>
    </xf>
    <xf numFmtId="0" fontId="3" fillId="5403" borderId="4793" xfId="0" applyFont="1" applyFill="1" applyBorder="1" applyAlignment="1">
      <alignment vertical="center"/>
    </xf>
    <xf numFmtId="0" fontId="3" fillId="5404" borderId="4794" xfId="0" applyFont="1" applyFill="1" applyBorder="1" applyAlignment="1">
      <alignment vertical="center"/>
    </xf>
    <xf numFmtId="0" fontId="3" fillId="5405" borderId="4795" xfId="0" applyFont="1" applyFill="1" applyBorder="1" applyAlignment="1">
      <alignment vertical="center"/>
    </xf>
    <xf numFmtId="4" fontId="3" fillId="5406" borderId="4796" xfId="0" applyNumberFormat="1" applyFont="1" applyFill="1" applyBorder="1" applyAlignment="1">
      <alignment vertical="center"/>
    </xf>
    <xf numFmtId="4" fontId="3" fillId="5407" borderId="4797" xfId="0" applyNumberFormat="1" applyFont="1" applyFill="1" applyBorder="1" applyAlignment="1">
      <alignment vertical="center"/>
    </xf>
    <xf numFmtId="4" fontId="3" fillId="5408" borderId="4798" xfId="0" applyNumberFormat="1" applyFont="1" applyFill="1" applyBorder="1" applyAlignment="1">
      <alignment vertical="center"/>
    </xf>
    <xf numFmtId="0" fontId="3" fillId="5409" borderId="4799" xfId="0" applyFont="1" applyFill="1" applyBorder="1" applyAlignment="1">
      <alignment vertical="center"/>
    </xf>
    <xf numFmtId="0" fontId="3" fillId="5410" borderId="4800" xfId="0" applyFont="1" applyFill="1" applyBorder="1" applyAlignment="1">
      <alignment vertical="center"/>
    </xf>
    <xf numFmtId="0" fontId="3" fillId="5412" borderId="4801" xfId="0" applyFont="1" applyFill="1" applyBorder="1" applyAlignment="1">
      <alignment vertical="center"/>
    </xf>
    <xf numFmtId="0" fontId="3" fillId="5413" borderId="4802" xfId="0" applyFont="1" applyFill="1" applyBorder="1" applyAlignment="1">
      <alignment vertical="center"/>
    </xf>
    <xf numFmtId="0" fontId="3" fillId="5414" borderId="4803" xfId="0" applyFont="1" applyFill="1" applyBorder="1" applyAlignment="1">
      <alignment vertical="center"/>
    </xf>
    <xf numFmtId="4" fontId="3" fillId="5415" borderId="4804" xfId="0" applyNumberFormat="1" applyFont="1" applyFill="1" applyBorder="1" applyAlignment="1">
      <alignment vertical="center"/>
    </xf>
    <xf numFmtId="4" fontId="3" fillId="5416" borderId="4805" xfId="0" applyNumberFormat="1" applyFont="1" applyFill="1" applyBorder="1" applyAlignment="1">
      <alignment vertical="center"/>
    </xf>
    <xf numFmtId="4" fontId="3" fillId="5417" borderId="4806" xfId="0" applyNumberFormat="1" applyFont="1" applyFill="1" applyBorder="1" applyAlignment="1">
      <alignment vertical="center"/>
    </xf>
    <xf numFmtId="0" fontId="3" fillId="5418" borderId="4807" xfId="0" applyFont="1" applyFill="1" applyBorder="1" applyAlignment="1">
      <alignment vertical="center"/>
    </xf>
    <xf numFmtId="0" fontId="3" fillId="5419" borderId="4808" xfId="0" applyFont="1" applyFill="1" applyBorder="1" applyAlignment="1">
      <alignment vertical="center"/>
    </xf>
    <xf numFmtId="0" fontId="3" fillId="5421" borderId="4809" xfId="0" applyFont="1" applyFill="1" applyBorder="1" applyAlignment="1">
      <alignment vertical="center"/>
    </xf>
    <xf numFmtId="0" fontId="3" fillId="5422" borderId="4810" xfId="0" applyFont="1" applyFill="1" applyBorder="1" applyAlignment="1">
      <alignment vertical="center"/>
    </xf>
    <xf numFmtId="0" fontId="3" fillId="5423" borderId="4811" xfId="0" applyFont="1" applyFill="1" applyBorder="1" applyAlignment="1">
      <alignment vertical="center"/>
    </xf>
    <xf numFmtId="4" fontId="3" fillId="5424" borderId="4812" xfId="0" applyNumberFormat="1" applyFont="1" applyFill="1" applyBorder="1" applyAlignment="1">
      <alignment vertical="center"/>
    </xf>
    <xf numFmtId="4" fontId="3" fillId="5425" borderId="4813" xfId="0" applyNumberFormat="1" applyFont="1" applyFill="1" applyBorder="1" applyAlignment="1">
      <alignment vertical="center"/>
    </xf>
    <xf numFmtId="4" fontId="3" fillId="5426" borderId="4814" xfId="0" applyNumberFormat="1" applyFont="1" applyFill="1" applyBorder="1" applyAlignment="1">
      <alignment vertical="center"/>
    </xf>
    <xf numFmtId="0" fontId="3" fillId="5427" borderId="4815" xfId="0" applyFont="1" applyFill="1" applyBorder="1" applyAlignment="1">
      <alignment vertical="center"/>
    </xf>
    <xf numFmtId="0" fontId="3" fillId="5428" borderId="4816" xfId="0" applyFont="1" applyFill="1" applyBorder="1" applyAlignment="1">
      <alignment vertical="center"/>
    </xf>
    <xf numFmtId="0" fontId="3" fillId="5430" borderId="4817" xfId="0" applyFont="1" applyFill="1" applyBorder="1" applyAlignment="1">
      <alignment vertical="center"/>
    </xf>
    <xf numFmtId="0" fontId="3" fillId="5431" borderId="4818" xfId="0" applyFont="1" applyFill="1" applyBorder="1" applyAlignment="1">
      <alignment vertical="center"/>
    </xf>
    <xf numFmtId="0" fontId="3" fillId="5432" borderId="4819" xfId="0" applyFont="1" applyFill="1" applyBorder="1" applyAlignment="1">
      <alignment vertical="center"/>
    </xf>
    <xf numFmtId="4" fontId="3" fillId="5433" borderId="4820" xfId="0" applyNumberFormat="1" applyFont="1" applyFill="1" applyBorder="1" applyAlignment="1">
      <alignment vertical="center"/>
    </xf>
    <xf numFmtId="4" fontId="3" fillId="5434" borderId="4821" xfId="0" applyNumberFormat="1" applyFont="1" applyFill="1" applyBorder="1" applyAlignment="1">
      <alignment vertical="center"/>
    </xf>
    <xf numFmtId="4" fontId="3" fillId="5435" borderId="4822" xfId="0" applyNumberFormat="1" applyFont="1" applyFill="1" applyBorder="1" applyAlignment="1">
      <alignment vertical="center"/>
    </xf>
    <xf numFmtId="0" fontId="3" fillId="5436" borderId="4823" xfId="0" applyFont="1" applyFill="1" applyBorder="1" applyAlignment="1">
      <alignment vertical="center"/>
    </xf>
    <xf numFmtId="0" fontId="3" fillId="5437" borderId="4824" xfId="0" applyFont="1" applyFill="1" applyBorder="1" applyAlignment="1">
      <alignment vertical="center"/>
    </xf>
    <xf numFmtId="0" fontId="3" fillId="5439" borderId="4825" xfId="0" applyFont="1" applyFill="1" applyBorder="1" applyAlignment="1">
      <alignment vertical="center"/>
    </xf>
    <xf numFmtId="0" fontId="3" fillId="5440" borderId="4826" xfId="0" applyFont="1" applyFill="1" applyBorder="1" applyAlignment="1">
      <alignment vertical="center"/>
    </xf>
    <xf numFmtId="0" fontId="3" fillId="5441" borderId="4827" xfId="0" applyFont="1" applyFill="1" applyBorder="1" applyAlignment="1">
      <alignment vertical="center"/>
    </xf>
    <xf numFmtId="4" fontId="3" fillId="5442" borderId="4828" xfId="0" applyNumberFormat="1" applyFont="1" applyFill="1" applyBorder="1" applyAlignment="1">
      <alignment vertical="center"/>
    </xf>
    <xf numFmtId="4" fontId="3" fillId="5443" borderId="4829" xfId="0" applyNumberFormat="1" applyFont="1" applyFill="1" applyBorder="1" applyAlignment="1">
      <alignment vertical="center"/>
    </xf>
    <xf numFmtId="4" fontId="3" fillId="5444" borderId="4830" xfId="0" applyNumberFormat="1" applyFont="1" applyFill="1" applyBorder="1" applyAlignment="1">
      <alignment vertical="center"/>
    </xf>
    <xf numFmtId="0" fontId="3" fillId="5445" borderId="4831" xfId="0" applyFont="1" applyFill="1" applyBorder="1" applyAlignment="1">
      <alignment vertical="center"/>
    </xf>
    <xf numFmtId="0" fontId="3" fillId="5446" borderId="4832" xfId="0" applyFont="1" applyFill="1" applyBorder="1" applyAlignment="1">
      <alignment vertical="center"/>
    </xf>
    <xf numFmtId="0" fontId="3" fillId="5448" borderId="4833" xfId="0" applyFont="1" applyFill="1" applyBorder="1" applyAlignment="1">
      <alignment vertical="center"/>
    </xf>
    <xf numFmtId="0" fontId="3" fillId="5449" borderId="4834" xfId="0" applyFont="1" applyFill="1" applyBorder="1" applyAlignment="1">
      <alignment vertical="center"/>
    </xf>
    <xf numFmtId="0" fontId="3" fillId="5450" borderId="4835" xfId="0" applyFont="1" applyFill="1" applyBorder="1" applyAlignment="1">
      <alignment vertical="center"/>
    </xf>
    <xf numFmtId="4" fontId="3" fillId="5451" borderId="4836" xfId="0" applyNumberFormat="1" applyFont="1" applyFill="1" applyBorder="1" applyAlignment="1">
      <alignment vertical="center"/>
    </xf>
    <xf numFmtId="4" fontId="3" fillId="5452" borderId="4837" xfId="0" applyNumberFormat="1" applyFont="1" applyFill="1" applyBorder="1" applyAlignment="1">
      <alignment vertical="center"/>
    </xf>
    <xf numFmtId="4" fontId="3" fillId="5453" borderId="4838" xfId="0" applyNumberFormat="1" applyFont="1" applyFill="1" applyBorder="1" applyAlignment="1">
      <alignment vertical="center"/>
    </xf>
    <xf numFmtId="0" fontId="3" fillId="5454" borderId="4839" xfId="0" applyFont="1" applyFill="1" applyBorder="1" applyAlignment="1">
      <alignment vertical="center"/>
    </xf>
    <xf numFmtId="0" fontId="3" fillId="5455" borderId="4840" xfId="0" applyFont="1" applyFill="1" applyBorder="1" applyAlignment="1">
      <alignment vertical="center"/>
    </xf>
    <xf numFmtId="0" fontId="3" fillId="5457" borderId="4841" xfId="0" applyFont="1" applyFill="1" applyBorder="1" applyAlignment="1">
      <alignment vertical="center"/>
    </xf>
    <xf numFmtId="0" fontId="3" fillId="5458" borderId="4842" xfId="0" applyFont="1" applyFill="1" applyBorder="1" applyAlignment="1">
      <alignment vertical="center"/>
    </xf>
    <xf numFmtId="0" fontId="3" fillId="5459" borderId="4843" xfId="0" applyFont="1" applyFill="1" applyBorder="1" applyAlignment="1">
      <alignment vertical="center"/>
    </xf>
    <xf numFmtId="4" fontId="3" fillId="5460" borderId="4844" xfId="0" applyNumberFormat="1" applyFont="1" applyFill="1" applyBorder="1" applyAlignment="1">
      <alignment vertical="center"/>
    </xf>
    <xf numFmtId="4" fontId="3" fillId="5461" borderId="4845" xfId="0" applyNumberFormat="1" applyFont="1" applyFill="1" applyBorder="1" applyAlignment="1">
      <alignment vertical="center"/>
    </xf>
    <xf numFmtId="4" fontId="3" fillId="5462" borderId="4846" xfId="0" applyNumberFormat="1" applyFont="1" applyFill="1" applyBorder="1" applyAlignment="1">
      <alignment vertical="center"/>
    </xf>
    <xf numFmtId="0" fontId="3" fillId="5463" borderId="4847" xfId="0" applyFont="1" applyFill="1" applyBorder="1" applyAlignment="1">
      <alignment vertical="center"/>
    </xf>
    <xf numFmtId="0" fontId="3" fillId="5464" borderId="4848" xfId="0" applyFont="1" applyFill="1" applyBorder="1" applyAlignment="1">
      <alignment vertical="center"/>
    </xf>
    <xf numFmtId="0" fontId="3" fillId="5466" borderId="4849" xfId="0" applyFont="1" applyFill="1" applyBorder="1" applyAlignment="1">
      <alignment vertical="center"/>
    </xf>
    <xf numFmtId="0" fontId="3" fillId="5467" borderId="4850" xfId="0" applyFont="1" applyFill="1" applyBorder="1" applyAlignment="1">
      <alignment vertical="center"/>
    </xf>
    <xf numFmtId="0" fontId="3" fillId="5468" borderId="4851" xfId="0" applyFont="1" applyFill="1" applyBorder="1" applyAlignment="1">
      <alignment vertical="center"/>
    </xf>
    <xf numFmtId="4" fontId="3" fillId="5469" borderId="4852" xfId="0" applyNumberFormat="1" applyFont="1" applyFill="1" applyBorder="1" applyAlignment="1">
      <alignment vertical="center"/>
    </xf>
    <xf numFmtId="4" fontId="3" fillId="5470" borderId="4853" xfId="0" applyNumberFormat="1" applyFont="1" applyFill="1" applyBorder="1" applyAlignment="1">
      <alignment vertical="center"/>
    </xf>
    <xf numFmtId="4" fontId="3" fillId="5471" borderId="4854" xfId="0" applyNumberFormat="1" applyFont="1" applyFill="1" applyBorder="1" applyAlignment="1">
      <alignment vertical="center"/>
    </xf>
    <xf numFmtId="0" fontId="3" fillId="5472" borderId="4855" xfId="0" applyFont="1" applyFill="1" applyBorder="1" applyAlignment="1">
      <alignment vertical="center"/>
    </xf>
    <xf numFmtId="0" fontId="3" fillId="5473" borderId="4856" xfId="0" applyFont="1" applyFill="1" applyBorder="1" applyAlignment="1">
      <alignment vertical="center"/>
    </xf>
    <xf numFmtId="0" fontId="3" fillId="5475" borderId="4857" xfId="0" applyFont="1" applyFill="1" applyBorder="1" applyAlignment="1">
      <alignment vertical="center"/>
    </xf>
    <xf numFmtId="0" fontId="3" fillId="5476" borderId="4858" xfId="0" applyFont="1" applyFill="1" applyBorder="1" applyAlignment="1">
      <alignment vertical="center"/>
    </xf>
    <xf numFmtId="0" fontId="3" fillId="5477" borderId="4859" xfId="0" applyFont="1" applyFill="1" applyBorder="1" applyAlignment="1">
      <alignment vertical="center"/>
    </xf>
    <xf numFmtId="4" fontId="3" fillId="5478" borderId="4860" xfId="0" applyNumberFormat="1" applyFont="1" applyFill="1" applyBorder="1" applyAlignment="1">
      <alignment vertical="center"/>
    </xf>
    <xf numFmtId="4" fontId="3" fillId="5479" borderId="4861" xfId="0" applyNumberFormat="1" applyFont="1" applyFill="1" applyBorder="1" applyAlignment="1">
      <alignment vertical="center"/>
    </xf>
    <xf numFmtId="4" fontId="3" fillId="5480" borderId="4862" xfId="0" applyNumberFormat="1" applyFont="1" applyFill="1" applyBorder="1" applyAlignment="1">
      <alignment vertical="center"/>
    </xf>
    <xf numFmtId="0" fontId="3" fillId="5481" borderId="4863" xfId="0" applyFont="1" applyFill="1" applyBorder="1" applyAlignment="1">
      <alignment vertical="center"/>
    </xf>
    <xf numFmtId="0" fontId="3" fillId="5482" borderId="4864" xfId="0" applyFont="1" applyFill="1" applyBorder="1" applyAlignment="1">
      <alignment vertical="center"/>
    </xf>
    <xf numFmtId="0" fontId="3" fillId="5484" borderId="4865" xfId="0" applyFont="1" applyFill="1" applyBorder="1" applyAlignment="1">
      <alignment vertical="center"/>
    </xf>
    <xf numFmtId="0" fontId="3" fillId="5485" borderId="4866" xfId="0" applyFont="1" applyFill="1" applyBorder="1" applyAlignment="1">
      <alignment vertical="center"/>
    </xf>
    <xf numFmtId="0" fontId="3" fillId="5486" borderId="4867" xfId="0" applyFont="1" applyFill="1" applyBorder="1" applyAlignment="1">
      <alignment vertical="center"/>
    </xf>
    <xf numFmtId="4" fontId="3" fillId="5487" borderId="4868" xfId="0" applyNumberFormat="1" applyFont="1" applyFill="1" applyBorder="1" applyAlignment="1">
      <alignment vertical="center"/>
    </xf>
    <xf numFmtId="4" fontId="3" fillId="5488" borderId="4869" xfId="0" applyNumberFormat="1" applyFont="1" applyFill="1" applyBorder="1" applyAlignment="1">
      <alignment vertical="center"/>
    </xf>
    <xf numFmtId="4" fontId="3" fillId="5489" borderId="4870" xfId="0" applyNumberFormat="1" applyFont="1" applyFill="1" applyBorder="1" applyAlignment="1">
      <alignment vertical="center"/>
    </xf>
    <xf numFmtId="0" fontId="3" fillId="5490" borderId="4871" xfId="0" applyFont="1" applyFill="1" applyBorder="1" applyAlignment="1">
      <alignment vertical="center"/>
    </xf>
    <xf numFmtId="0" fontId="3" fillId="5491" borderId="4872" xfId="0" applyFont="1" applyFill="1" applyBorder="1" applyAlignment="1">
      <alignment vertical="center"/>
    </xf>
    <xf numFmtId="0" fontId="3" fillId="5493" borderId="4873" xfId="0" applyFont="1" applyFill="1" applyBorder="1" applyAlignment="1">
      <alignment vertical="center"/>
    </xf>
    <xf numFmtId="0" fontId="3" fillId="5494" borderId="4874" xfId="0" applyFont="1" applyFill="1" applyBorder="1" applyAlignment="1">
      <alignment vertical="center"/>
    </xf>
    <xf numFmtId="0" fontId="3" fillId="5495" borderId="4875" xfId="0" applyFont="1" applyFill="1" applyBorder="1" applyAlignment="1">
      <alignment vertical="center"/>
    </xf>
    <xf numFmtId="4" fontId="3" fillId="5496" borderId="4876" xfId="0" applyNumberFormat="1" applyFont="1" applyFill="1" applyBorder="1" applyAlignment="1">
      <alignment vertical="center"/>
    </xf>
    <xf numFmtId="4" fontId="3" fillId="5497" borderId="4877" xfId="0" applyNumberFormat="1" applyFont="1" applyFill="1" applyBorder="1" applyAlignment="1">
      <alignment vertical="center"/>
    </xf>
    <xf numFmtId="4" fontId="3" fillId="5498" borderId="4878" xfId="0" applyNumberFormat="1" applyFont="1" applyFill="1" applyBorder="1" applyAlignment="1">
      <alignment vertical="center"/>
    </xf>
    <xf numFmtId="0" fontId="3" fillId="5499" borderId="4879" xfId="0" applyFont="1" applyFill="1" applyBorder="1" applyAlignment="1">
      <alignment vertical="center"/>
    </xf>
    <xf numFmtId="0" fontId="3" fillId="5500" borderId="4880" xfId="0" applyFont="1" applyFill="1" applyBorder="1" applyAlignment="1">
      <alignment vertical="center"/>
    </xf>
    <xf numFmtId="0" fontId="3" fillId="5502" borderId="4881" xfId="0" applyFont="1" applyFill="1" applyBorder="1" applyAlignment="1">
      <alignment vertical="center"/>
    </xf>
    <xf numFmtId="0" fontId="3" fillId="5503" borderId="4882" xfId="0" applyFont="1" applyFill="1" applyBorder="1" applyAlignment="1">
      <alignment vertical="center"/>
    </xf>
    <xf numFmtId="0" fontId="3" fillId="5504" borderId="4883" xfId="0" applyFont="1" applyFill="1" applyBorder="1" applyAlignment="1">
      <alignment vertical="center"/>
    </xf>
    <xf numFmtId="4" fontId="3" fillId="5505" borderId="4884" xfId="0" applyNumberFormat="1" applyFont="1" applyFill="1" applyBorder="1" applyAlignment="1">
      <alignment vertical="center"/>
    </xf>
    <xf numFmtId="4" fontId="3" fillId="5506" borderId="4885" xfId="0" applyNumberFormat="1" applyFont="1" applyFill="1" applyBorder="1" applyAlignment="1">
      <alignment vertical="center"/>
    </xf>
    <xf numFmtId="4" fontId="3" fillId="5507" borderId="4886" xfId="0" applyNumberFormat="1" applyFont="1" applyFill="1" applyBorder="1" applyAlignment="1">
      <alignment vertical="center"/>
    </xf>
    <xf numFmtId="0" fontId="3" fillId="5508" borderId="4887" xfId="0" applyFont="1" applyFill="1" applyBorder="1" applyAlignment="1">
      <alignment vertical="center"/>
    </xf>
    <xf numFmtId="0" fontId="3" fillId="5509" borderId="4888" xfId="0" applyFont="1" applyFill="1" applyBorder="1" applyAlignment="1">
      <alignment vertical="center"/>
    </xf>
    <xf numFmtId="0" fontId="3" fillId="5511" borderId="4889" xfId="0" applyFont="1" applyFill="1" applyBorder="1" applyAlignment="1">
      <alignment vertical="center"/>
    </xf>
    <xf numFmtId="0" fontId="3" fillId="5512" borderId="4890" xfId="0" applyFont="1" applyFill="1" applyBorder="1" applyAlignment="1">
      <alignment vertical="center"/>
    </xf>
    <xf numFmtId="0" fontId="3" fillId="5513" borderId="4891" xfId="0" applyFont="1" applyFill="1" applyBorder="1" applyAlignment="1">
      <alignment vertical="center"/>
    </xf>
    <xf numFmtId="4" fontId="3" fillId="5514" borderId="4892" xfId="0" applyNumberFormat="1" applyFont="1" applyFill="1" applyBorder="1" applyAlignment="1">
      <alignment vertical="center"/>
    </xf>
    <xf numFmtId="4" fontId="3" fillId="5515" borderId="4893" xfId="0" applyNumberFormat="1" applyFont="1" applyFill="1" applyBorder="1" applyAlignment="1">
      <alignment vertical="center"/>
    </xf>
    <xf numFmtId="4" fontId="3" fillId="5516" borderId="4894" xfId="0" applyNumberFormat="1" applyFont="1" applyFill="1" applyBorder="1" applyAlignment="1">
      <alignment vertical="center"/>
    </xf>
    <xf numFmtId="0" fontId="3" fillId="5517" borderId="4895" xfId="0" applyFont="1" applyFill="1" applyBorder="1" applyAlignment="1">
      <alignment vertical="center"/>
    </xf>
    <xf numFmtId="0" fontId="3" fillId="5518" borderId="4896" xfId="0" applyFont="1" applyFill="1" applyBorder="1" applyAlignment="1">
      <alignment vertical="center"/>
    </xf>
    <xf numFmtId="0" fontId="3" fillId="5520" borderId="4897" xfId="0" applyFont="1" applyFill="1" applyBorder="1" applyAlignment="1">
      <alignment vertical="center"/>
    </xf>
    <xf numFmtId="0" fontId="3" fillId="5521" borderId="4898" xfId="0" applyFont="1" applyFill="1" applyBorder="1" applyAlignment="1">
      <alignment vertical="center"/>
    </xf>
    <xf numFmtId="0" fontId="3" fillId="5522" borderId="4899" xfId="0" applyFont="1" applyFill="1" applyBorder="1" applyAlignment="1">
      <alignment vertical="center"/>
    </xf>
    <xf numFmtId="4" fontId="3" fillId="5523" borderId="4900" xfId="0" applyNumberFormat="1" applyFont="1" applyFill="1" applyBorder="1" applyAlignment="1">
      <alignment vertical="center"/>
    </xf>
    <xf numFmtId="4" fontId="3" fillId="5524" borderId="4901" xfId="0" applyNumberFormat="1" applyFont="1" applyFill="1" applyBorder="1" applyAlignment="1">
      <alignment vertical="center"/>
    </xf>
    <xf numFmtId="4" fontId="3" fillId="5525" borderId="4902" xfId="0" applyNumberFormat="1" applyFont="1" applyFill="1" applyBorder="1" applyAlignment="1">
      <alignment vertical="center"/>
    </xf>
    <xf numFmtId="0" fontId="3" fillId="5526" borderId="4903" xfId="0" applyFont="1" applyFill="1" applyBorder="1" applyAlignment="1">
      <alignment vertical="center"/>
    </xf>
    <xf numFmtId="0" fontId="3" fillId="5527" borderId="4904" xfId="0" applyFont="1" applyFill="1" applyBorder="1" applyAlignment="1">
      <alignment vertical="center"/>
    </xf>
    <xf numFmtId="0" fontId="3" fillId="5529" borderId="4905" xfId="0" applyFont="1" applyFill="1" applyBorder="1" applyAlignment="1">
      <alignment vertical="center"/>
    </xf>
    <xf numFmtId="0" fontId="3" fillId="5530" borderId="4906" xfId="0" applyFont="1" applyFill="1" applyBorder="1" applyAlignment="1">
      <alignment vertical="center"/>
    </xf>
    <xf numFmtId="0" fontId="3" fillId="5531" borderId="4907" xfId="0" applyFont="1" applyFill="1" applyBorder="1" applyAlignment="1">
      <alignment vertical="center"/>
    </xf>
    <xf numFmtId="4" fontId="3" fillId="5532" borderId="4908" xfId="0" applyNumberFormat="1" applyFont="1" applyFill="1" applyBorder="1" applyAlignment="1">
      <alignment vertical="center"/>
    </xf>
    <xf numFmtId="4" fontId="3" fillId="5533" borderId="4909" xfId="0" applyNumberFormat="1" applyFont="1" applyFill="1" applyBorder="1" applyAlignment="1">
      <alignment vertical="center"/>
    </xf>
    <xf numFmtId="4" fontId="3" fillId="5534" borderId="4910" xfId="0" applyNumberFormat="1" applyFont="1" applyFill="1" applyBorder="1" applyAlignment="1">
      <alignment vertical="center"/>
    </xf>
    <xf numFmtId="0" fontId="3" fillId="5535" borderId="4911" xfId="0" applyFont="1" applyFill="1" applyBorder="1" applyAlignment="1">
      <alignment vertical="center"/>
    </xf>
    <xf numFmtId="0" fontId="3" fillId="5536" borderId="4912" xfId="0" applyFont="1" applyFill="1" applyBorder="1" applyAlignment="1">
      <alignment vertical="center"/>
    </xf>
    <xf numFmtId="0" fontId="3" fillId="5538" borderId="4913" xfId="0" applyFont="1" applyFill="1" applyBorder="1" applyAlignment="1">
      <alignment vertical="center"/>
    </xf>
    <xf numFmtId="0" fontId="3" fillId="5539" borderId="4914" xfId="0" applyFont="1" applyFill="1" applyBorder="1" applyAlignment="1">
      <alignment vertical="center"/>
    </xf>
    <xf numFmtId="0" fontId="3" fillId="5540" borderId="4915" xfId="0" applyFont="1" applyFill="1" applyBorder="1" applyAlignment="1">
      <alignment vertical="center"/>
    </xf>
    <xf numFmtId="4" fontId="3" fillId="5541" borderId="4916" xfId="0" applyNumberFormat="1" applyFont="1" applyFill="1" applyBorder="1" applyAlignment="1">
      <alignment vertical="center"/>
    </xf>
    <xf numFmtId="4" fontId="3" fillId="5542" borderId="4917" xfId="0" applyNumberFormat="1" applyFont="1" applyFill="1" applyBorder="1" applyAlignment="1">
      <alignment vertical="center"/>
    </xf>
    <xf numFmtId="4" fontId="3" fillId="5543" borderId="4918" xfId="0" applyNumberFormat="1" applyFont="1" applyFill="1" applyBorder="1" applyAlignment="1">
      <alignment vertical="center"/>
    </xf>
    <xf numFmtId="0" fontId="3" fillId="5544" borderId="4919" xfId="0" applyFont="1" applyFill="1" applyBorder="1" applyAlignment="1">
      <alignment vertical="center"/>
    </xf>
    <xf numFmtId="0" fontId="3" fillId="5545" borderId="4920" xfId="0" applyFont="1" applyFill="1" applyBorder="1" applyAlignment="1">
      <alignment vertical="center"/>
    </xf>
    <xf numFmtId="0" fontId="3" fillId="5547" borderId="4921" xfId="0" applyFont="1" applyFill="1" applyBorder="1" applyAlignment="1">
      <alignment vertical="center"/>
    </xf>
    <xf numFmtId="0" fontId="3" fillId="5548" borderId="4922" xfId="0" applyFont="1" applyFill="1" applyBorder="1" applyAlignment="1">
      <alignment vertical="center"/>
    </xf>
    <xf numFmtId="0" fontId="3" fillId="5549" borderId="4923" xfId="0" applyFont="1" applyFill="1" applyBorder="1" applyAlignment="1">
      <alignment vertical="center"/>
    </xf>
    <xf numFmtId="4" fontId="3" fillId="5550" borderId="4924" xfId="0" applyNumberFormat="1" applyFont="1" applyFill="1" applyBorder="1" applyAlignment="1">
      <alignment vertical="center"/>
    </xf>
    <xf numFmtId="4" fontId="3" fillId="5551" borderId="4925" xfId="0" applyNumberFormat="1" applyFont="1" applyFill="1" applyBorder="1" applyAlignment="1">
      <alignment vertical="center"/>
    </xf>
    <xf numFmtId="4" fontId="3" fillId="5552" borderId="4926" xfId="0" applyNumberFormat="1" applyFont="1" applyFill="1" applyBorder="1" applyAlignment="1">
      <alignment vertical="center"/>
    </xf>
    <xf numFmtId="0" fontId="3" fillId="5553" borderId="4927" xfId="0" applyFont="1" applyFill="1" applyBorder="1" applyAlignment="1">
      <alignment vertical="center"/>
    </xf>
    <xf numFmtId="0" fontId="3" fillId="5554" borderId="4928" xfId="0" applyFont="1" applyFill="1" applyBorder="1" applyAlignment="1">
      <alignment vertical="center"/>
    </xf>
    <xf numFmtId="0" fontId="3" fillId="5556" borderId="4929" xfId="0" applyFont="1" applyFill="1" applyBorder="1" applyAlignment="1">
      <alignment vertical="center"/>
    </xf>
    <xf numFmtId="0" fontId="3" fillId="5557" borderId="4930" xfId="0" applyFont="1" applyFill="1" applyBorder="1" applyAlignment="1">
      <alignment vertical="center"/>
    </xf>
    <xf numFmtId="0" fontId="3" fillId="5558" borderId="4931" xfId="0" applyFont="1" applyFill="1" applyBorder="1" applyAlignment="1">
      <alignment vertical="center"/>
    </xf>
    <xf numFmtId="4" fontId="3" fillId="5559" borderId="4932" xfId="0" applyNumberFormat="1" applyFont="1" applyFill="1" applyBorder="1" applyAlignment="1">
      <alignment vertical="center"/>
    </xf>
    <xf numFmtId="4" fontId="3" fillId="5560" borderId="4933" xfId="0" applyNumberFormat="1" applyFont="1" applyFill="1" applyBorder="1" applyAlignment="1">
      <alignment vertical="center"/>
    </xf>
    <xf numFmtId="4" fontId="3" fillId="5561" borderId="4934" xfId="0" applyNumberFormat="1" applyFont="1" applyFill="1" applyBorder="1" applyAlignment="1">
      <alignment vertical="center"/>
    </xf>
    <xf numFmtId="0" fontId="3" fillId="5562" borderId="4935" xfId="0" applyFont="1" applyFill="1" applyBorder="1" applyAlignment="1">
      <alignment vertical="center"/>
    </xf>
    <xf numFmtId="0" fontId="3" fillId="5563" borderId="4936" xfId="0" applyFont="1" applyFill="1" applyBorder="1" applyAlignment="1">
      <alignment vertical="center"/>
    </xf>
    <xf numFmtId="0" fontId="3" fillId="5565" borderId="4937" xfId="0" applyFont="1" applyFill="1" applyBorder="1" applyAlignment="1">
      <alignment vertical="center"/>
    </xf>
    <xf numFmtId="0" fontId="3" fillId="5566" borderId="4938" xfId="0" applyFont="1" applyFill="1" applyBorder="1" applyAlignment="1">
      <alignment vertical="center"/>
    </xf>
    <xf numFmtId="0" fontId="3" fillId="5567" borderId="4939" xfId="0" applyFont="1" applyFill="1" applyBorder="1" applyAlignment="1">
      <alignment vertical="center"/>
    </xf>
    <xf numFmtId="4" fontId="3" fillId="5568" borderId="4940" xfId="0" applyNumberFormat="1" applyFont="1" applyFill="1" applyBorder="1" applyAlignment="1">
      <alignment vertical="center"/>
    </xf>
    <xf numFmtId="4" fontId="3" fillId="5569" borderId="4941" xfId="0" applyNumberFormat="1" applyFont="1" applyFill="1" applyBorder="1" applyAlignment="1">
      <alignment vertical="center"/>
    </xf>
    <xf numFmtId="4" fontId="3" fillId="5570" borderId="4942" xfId="0" applyNumberFormat="1" applyFont="1" applyFill="1" applyBorder="1" applyAlignment="1">
      <alignment vertical="center"/>
    </xf>
    <xf numFmtId="0" fontId="3" fillId="5571" borderId="4943" xfId="0" applyFont="1" applyFill="1" applyBorder="1" applyAlignment="1">
      <alignment vertical="center"/>
    </xf>
    <xf numFmtId="0" fontId="3" fillId="5572" borderId="4944" xfId="0" applyFont="1" applyFill="1" applyBorder="1" applyAlignment="1">
      <alignment vertical="center"/>
    </xf>
    <xf numFmtId="0" fontId="3" fillId="5574" borderId="4945" xfId="0" applyFont="1" applyFill="1" applyBorder="1" applyAlignment="1">
      <alignment vertical="center"/>
    </xf>
    <xf numFmtId="0" fontId="3" fillId="5575" borderId="4946" xfId="0" applyFont="1" applyFill="1" applyBorder="1" applyAlignment="1">
      <alignment vertical="center"/>
    </xf>
    <xf numFmtId="0" fontId="3" fillId="5576" borderId="4947" xfId="0" applyFont="1" applyFill="1" applyBorder="1" applyAlignment="1">
      <alignment vertical="center"/>
    </xf>
    <xf numFmtId="4" fontId="3" fillId="5577" borderId="4948" xfId="0" applyNumberFormat="1" applyFont="1" applyFill="1" applyBorder="1" applyAlignment="1">
      <alignment vertical="center"/>
    </xf>
    <xf numFmtId="4" fontId="3" fillId="5578" borderId="4949" xfId="0" applyNumberFormat="1" applyFont="1" applyFill="1" applyBorder="1" applyAlignment="1">
      <alignment vertical="center"/>
    </xf>
    <xf numFmtId="4" fontId="3" fillId="5579" borderId="4950" xfId="0" applyNumberFormat="1" applyFont="1" applyFill="1" applyBorder="1" applyAlignment="1">
      <alignment vertical="center"/>
    </xf>
    <xf numFmtId="0" fontId="3" fillId="5580" borderId="4951" xfId="0" applyFont="1" applyFill="1" applyBorder="1" applyAlignment="1">
      <alignment vertical="center"/>
    </xf>
    <xf numFmtId="0" fontId="3" fillId="5581" borderId="4952" xfId="0" applyFont="1" applyFill="1" applyBorder="1" applyAlignment="1">
      <alignment vertical="center"/>
    </xf>
    <xf numFmtId="0" fontId="3" fillId="5583" borderId="4953" xfId="0" applyFont="1" applyFill="1" applyBorder="1" applyAlignment="1">
      <alignment vertical="center"/>
    </xf>
    <xf numFmtId="0" fontId="3" fillId="5584" borderId="4954" xfId="0" applyFont="1" applyFill="1" applyBorder="1" applyAlignment="1">
      <alignment vertical="center"/>
    </xf>
    <xf numFmtId="0" fontId="3" fillId="5585" borderId="4955" xfId="0" applyFont="1" applyFill="1" applyBorder="1" applyAlignment="1">
      <alignment vertical="center"/>
    </xf>
    <xf numFmtId="4" fontId="3" fillId="5586" borderId="4956" xfId="0" applyNumberFormat="1" applyFont="1" applyFill="1" applyBorder="1" applyAlignment="1">
      <alignment vertical="center"/>
    </xf>
    <xf numFmtId="4" fontId="3" fillId="5587" borderId="4957" xfId="0" applyNumberFormat="1" applyFont="1" applyFill="1" applyBorder="1" applyAlignment="1">
      <alignment vertical="center"/>
    </xf>
    <xf numFmtId="4" fontId="3" fillId="5588" borderId="4958" xfId="0" applyNumberFormat="1" applyFont="1" applyFill="1" applyBorder="1" applyAlignment="1">
      <alignment vertical="center"/>
    </xf>
    <xf numFmtId="0" fontId="3" fillId="5589" borderId="4959" xfId="0" applyFont="1" applyFill="1" applyBorder="1" applyAlignment="1">
      <alignment vertical="center"/>
    </xf>
    <xf numFmtId="0" fontId="3" fillId="5590" borderId="4960" xfId="0" applyFont="1" applyFill="1" applyBorder="1" applyAlignment="1">
      <alignment vertical="center"/>
    </xf>
    <xf numFmtId="0" fontId="3" fillId="5592" borderId="4961" xfId="0" applyFont="1" applyFill="1" applyBorder="1" applyAlignment="1">
      <alignment vertical="center"/>
    </xf>
    <xf numFmtId="0" fontId="3" fillId="5593" borderId="4962" xfId="0" applyFont="1" applyFill="1" applyBorder="1" applyAlignment="1">
      <alignment vertical="center"/>
    </xf>
    <xf numFmtId="0" fontId="3" fillId="5594" borderId="4963" xfId="0" applyFont="1" applyFill="1" applyBorder="1" applyAlignment="1">
      <alignment vertical="center"/>
    </xf>
    <xf numFmtId="4" fontId="3" fillId="5595" borderId="4964" xfId="0" applyNumberFormat="1" applyFont="1" applyFill="1" applyBorder="1" applyAlignment="1">
      <alignment vertical="center"/>
    </xf>
    <xf numFmtId="4" fontId="3" fillId="5596" borderId="4965" xfId="0" applyNumberFormat="1" applyFont="1" applyFill="1" applyBorder="1" applyAlignment="1">
      <alignment vertical="center"/>
    </xf>
    <xf numFmtId="4" fontId="3" fillId="5597" borderId="4966" xfId="0" applyNumberFormat="1" applyFont="1" applyFill="1" applyBorder="1" applyAlignment="1">
      <alignment vertical="center"/>
    </xf>
    <xf numFmtId="0" fontId="3" fillId="5598" borderId="4967" xfId="0" applyFont="1" applyFill="1" applyBorder="1" applyAlignment="1">
      <alignment vertical="center"/>
    </xf>
    <xf numFmtId="0" fontId="3" fillId="5599" borderId="4968" xfId="0" applyFont="1" applyFill="1" applyBorder="1" applyAlignment="1">
      <alignment vertical="center"/>
    </xf>
    <xf numFmtId="0" fontId="3" fillId="5601" borderId="4969" xfId="0" applyFont="1" applyFill="1" applyBorder="1" applyAlignment="1">
      <alignment vertical="center"/>
    </xf>
    <xf numFmtId="0" fontId="3" fillId="5602" borderId="4970" xfId="0" applyFont="1" applyFill="1" applyBorder="1" applyAlignment="1">
      <alignment vertical="center"/>
    </xf>
    <xf numFmtId="0" fontId="3" fillId="5603" borderId="4971" xfId="0" applyFont="1" applyFill="1" applyBorder="1" applyAlignment="1">
      <alignment vertical="center"/>
    </xf>
    <xf numFmtId="4" fontId="3" fillId="5604" borderId="4972" xfId="0" applyNumberFormat="1" applyFont="1" applyFill="1" applyBorder="1" applyAlignment="1">
      <alignment vertical="center"/>
    </xf>
    <xf numFmtId="4" fontId="3" fillId="5605" borderId="4973" xfId="0" applyNumberFormat="1" applyFont="1" applyFill="1" applyBorder="1" applyAlignment="1">
      <alignment vertical="center"/>
    </xf>
    <xf numFmtId="4" fontId="3" fillId="5606" borderId="4974" xfId="0" applyNumberFormat="1" applyFont="1" applyFill="1" applyBorder="1" applyAlignment="1">
      <alignment vertical="center"/>
    </xf>
    <xf numFmtId="0" fontId="3" fillId="5607" borderId="4975" xfId="0" applyFont="1" applyFill="1" applyBorder="1" applyAlignment="1">
      <alignment vertical="center"/>
    </xf>
    <xf numFmtId="0" fontId="3" fillId="5608" borderId="4976" xfId="0" applyFont="1" applyFill="1" applyBorder="1" applyAlignment="1">
      <alignment vertical="center"/>
    </xf>
    <xf numFmtId="0" fontId="3" fillId="5610" borderId="4977" xfId="0" applyFont="1" applyFill="1" applyBorder="1" applyAlignment="1">
      <alignment vertical="center"/>
    </xf>
    <xf numFmtId="0" fontId="3" fillId="5611" borderId="4978" xfId="0" applyFont="1" applyFill="1" applyBorder="1" applyAlignment="1">
      <alignment vertical="center"/>
    </xf>
    <xf numFmtId="0" fontId="3" fillId="5612" borderId="4979" xfId="0" applyFont="1" applyFill="1" applyBorder="1" applyAlignment="1">
      <alignment vertical="center"/>
    </xf>
    <xf numFmtId="4" fontId="3" fillId="5613" borderId="4980" xfId="0" applyNumberFormat="1" applyFont="1" applyFill="1" applyBorder="1" applyAlignment="1">
      <alignment vertical="center"/>
    </xf>
    <xf numFmtId="4" fontId="3" fillId="5614" borderId="4981" xfId="0" applyNumberFormat="1" applyFont="1" applyFill="1" applyBorder="1" applyAlignment="1">
      <alignment vertical="center"/>
    </xf>
    <xf numFmtId="4" fontId="3" fillId="5615" borderId="4982" xfId="0" applyNumberFormat="1" applyFont="1" applyFill="1" applyBorder="1" applyAlignment="1">
      <alignment vertical="center"/>
    </xf>
    <xf numFmtId="0" fontId="3" fillId="5616" borderId="4983" xfId="0" applyFont="1" applyFill="1" applyBorder="1" applyAlignment="1">
      <alignment vertical="center"/>
    </xf>
    <xf numFmtId="0" fontId="3" fillId="5617" borderId="4984" xfId="0" applyFont="1" applyFill="1" applyBorder="1" applyAlignment="1">
      <alignment vertical="center"/>
    </xf>
    <xf numFmtId="0" fontId="3" fillId="5619" borderId="4985" xfId="0" applyFont="1" applyFill="1" applyBorder="1" applyAlignment="1">
      <alignment vertical="center"/>
    </xf>
    <xf numFmtId="0" fontId="3" fillId="5620" borderId="4986" xfId="0" applyFont="1" applyFill="1" applyBorder="1" applyAlignment="1">
      <alignment vertical="center"/>
    </xf>
    <xf numFmtId="0" fontId="3" fillId="5621" borderId="4987" xfId="0" applyFont="1" applyFill="1" applyBorder="1" applyAlignment="1">
      <alignment vertical="center"/>
    </xf>
    <xf numFmtId="4" fontId="3" fillId="5622" borderId="4988" xfId="0" applyNumberFormat="1" applyFont="1" applyFill="1" applyBorder="1" applyAlignment="1">
      <alignment vertical="center"/>
    </xf>
    <xf numFmtId="4" fontId="3" fillId="5623" borderId="4989" xfId="0" applyNumberFormat="1" applyFont="1" applyFill="1" applyBorder="1" applyAlignment="1">
      <alignment vertical="center"/>
    </xf>
    <xf numFmtId="4" fontId="3" fillId="5624" borderId="4990" xfId="0" applyNumberFormat="1" applyFont="1" applyFill="1" applyBorder="1" applyAlignment="1">
      <alignment vertical="center"/>
    </xf>
    <xf numFmtId="0" fontId="3" fillId="5625" borderId="4991" xfId="0" applyFont="1" applyFill="1" applyBorder="1" applyAlignment="1">
      <alignment vertical="center"/>
    </xf>
    <xf numFmtId="0" fontId="3" fillId="5626" borderId="4992" xfId="0" applyFont="1" applyFill="1" applyBorder="1" applyAlignment="1">
      <alignment vertical="center"/>
    </xf>
    <xf numFmtId="0" fontId="3" fillId="5628" borderId="4993" xfId="0" applyFont="1" applyFill="1" applyBorder="1" applyAlignment="1">
      <alignment vertical="center"/>
    </xf>
    <xf numFmtId="0" fontId="3" fillId="5629" borderId="4994" xfId="0" applyFont="1" applyFill="1" applyBorder="1" applyAlignment="1">
      <alignment vertical="center"/>
    </xf>
    <xf numFmtId="0" fontId="3" fillId="5630" borderId="4995" xfId="0" applyFont="1" applyFill="1" applyBorder="1" applyAlignment="1">
      <alignment vertical="center"/>
    </xf>
    <xf numFmtId="4" fontId="3" fillId="5631" borderId="4996" xfId="0" applyNumberFormat="1" applyFont="1" applyFill="1" applyBorder="1" applyAlignment="1">
      <alignment vertical="center"/>
    </xf>
    <xf numFmtId="4" fontId="3" fillId="5632" borderId="4997" xfId="0" applyNumberFormat="1" applyFont="1" applyFill="1" applyBorder="1" applyAlignment="1">
      <alignment vertical="center"/>
    </xf>
    <xf numFmtId="4" fontId="3" fillId="5633" borderId="4998" xfId="0" applyNumberFormat="1" applyFont="1" applyFill="1" applyBorder="1" applyAlignment="1">
      <alignment vertical="center"/>
    </xf>
    <xf numFmtId="0" fontId="3" fillId="5634" borderId="4999" xfId="0" applyFont="1" applyFill="1" applyBorder="1" applyAlignment="1">
      <alignment vertical="center"/>
    </xf>
    <xf numFmtId="0" fontId="3" fillId="5635" borderId="5000" xfId="0" applyFont="1" applyFill="1" applyBorder="1" applyAlignment="1">
      <alignment vertical="center"/>
    </xf>
    <xf numFmtId="0" fontId="3" fillId="5637" borderId="5001" xfId="0" applyFont="1" applyFill="1" applyBorder="1" applyAlignment="1">
      <alignment vertical="center"/>
    </xf>
    <xf numFmtId="0" fontId="3" fillId="5638" borderId="5002" xfId="0" applyFont="1" applyFill="1" applyBorder="1" applyAlignment="1">
      <alignment vertical="center"/>
    </xf>
    <xf numFmtId="0" fontId="3" fillId="5639" borderId="5003" xfId="0" applyFont="1" applyFill="1" applyBorder="1" applyAlignment="1">
      <alignment vertical="center"/>
    </xf>
    <xf numFmtId="4" fontId="3" fillId="5640" borderId="5004" xfId="0" applyNumberFormat="1" applyFont="1" applyFill="1" applyBorder="1" applyAlignment="1">
      <alignment vertical="center"/>
    </xf>
    <xf numFmtId="4" fontId="3" fillId="5641" borderId="5005" xfId="0" applyNumberFormat="1" applyFont="1" applyFill="1" applyBorder="1" applyAlignment="1">
      <alignment vertical="center"/>
    </xf>
    <xf numFmtId="4" fontId="3" fillId="5642" borderId="5006" xfId="0" applyNumberFormat="1" applyFont="1" applyFill="1" applyBorder="1" applyAlignment="1">
      <alignment vertical="center"/>
    </xf>
    <xf numFmtId="0" fontId="3" fillId="5643" borderId="5007" xfId="0" applyFont="1" applyFill="1" applyBorder="1" applyAlignment="1">
      <alignment vertical="center"/>
    </xf>
    <xf numFmtId="0" fontId="3" fillId="5644" borderId="5008" xfId="0" applyFont="1" applyFill="1" applyBorder="1" applyAlignment="1">
      <alignment vertical="center"/>
    </xf>
    <xf numFmtId="0" fontId="3" fillId="5646" borderId="5009" xfId="0" applyFont="1" applyFill="1" applyBorder="1" applyAlignment="1">
      <alignment vertical="center"/>
    </xf>
    <xf numFmtId="0" fontId="3" fillId="5647" borderId="5010" xfId="0" applyFont="1" applyFill="1" applyBorder="1" applyAlignment="1">
      <alignment vertical="center"/>
    </xf>
    <xf numFmtId="0" fontId="3" fillId="5648" borderId="5011" xfId="0" applyFont="1" applyFill="1" applyBorder="1" applyAlignment="1">
      <alignment vertical="center"/>
    </xf>
    <xf numFmtId="4" fontId="3" fillId="5649" borderId="5012" xfId="0" applyNumberFormat="1" applyFont="1" applyFill="1" applyBorder="1" applyAlignment="1">
      <alignment vertical="center"/>
    </xf>
    <xf numFmtId="4" fontId="3" fillId="5650" borderId="5013" xfId="0" applyNumberFormat="1" applyFont="1" applyFill="1" applyBorder="1" applyAlignment="1">
      <alignment vertical="center"/>
    </xf>
    <xf numFmtId="4" fontId="3" fillId="5651" borderId="5014" xfId="0" applyNumberFormat="1" applyFont="1" applyFill="1" applyBorder="1" applyAlignment="1">
      <alignment vertical="center"/>
    </xf>
    <xf numFmtId="0" fontId="3" fillId="5652" borderId="5015" xfId="0" applyFont="1" applyFill="1" applyBorder="1" applyAlignment="1">
      <alignment vertical="center"/>
    </xf>
    <xf numFmtId="0" fontId="3" fillId="5653" borderId="5016" xfId="0" applyFont="1" applyFill="1" applyBorder="1" applyAlignment="1">
      <alignment vertical="center"/>
    </xf>
    <xf numFmtId="0" fontId="3" fillId="5655" borderId="5017" xfId="0" applyFont="1" applyFill="1" applyBorder="1" applyAlignment="1">
      <alignment vertical="center"/>
    </xf>
    <xf numFmtId="0" fontId="3" fillId="5656" borderId="5018" xfId="0" applyFont="1" applyFill="1" applyBorder="1" applyAlignment="1">
      <alignment vertical="center"/>
    </xf>
    <xf numFmtId="0" fontId="3" fillId="5657" borderId="5019" xfId="0" applyFont="1" applyFill="1" applyBorder="1" applyAlignment="1">
      <alignment vertical="center"/>
    </xf>
    <xf numFmtId="4" fontId="3" fillId="5658" borderId="5020" xfId="0" applyNumberFormat="1" applyFont="1" applyFill="1" applyBorder="1" applyAlignment="1">
      <alignment vertical="center"/>
    </xf>
    <xf numFmtId="4" fontId="3" fillId="5659" borderId="5021" xfId="0" applyNumberFormat="1" applyFont="1" applyFill="1" applyBorder="1" applyAlignment="1">
      <alignment vertical="center"/>
    </xf>
    <xf numFmtId="4" fontId="3" fillId="5660" borderId="5022" xfId="0" applyNumberFormat="1" applyFont="1" applyFill="1" applyBorder="1" applyAlignment="1">
      <alignment vertical="center"/>
    </xf>
    <xf numFmtId="0" fontId="3" fillId="5661" borderId="5023" xfId="0" applyFont="1" applyFill="1" applyBorder="1" applyAlignment="1">
      <alignment vertical="center"/>
    </xf>
    <xf numFmtId="0" fontId="3" fillId="5662" borderId="5024" xfId="0" applyFont="1" applyFill="1" applyBorder="1" applyAlignment="1">
      <alignment vertical="center"/>
    </xf>
    <xf numFmtId="0" fontId="3" fillId="5664" borderId="5025" xfId="0" applyFont="1" applyFill="1" applyBorder="1" applyAlignment="1">
      <alignment vertical="center"/>
    </xf>
    <xf numFmtId="0" fontId="3" fillId="5665" borderId="5026" xfId="0" applyFont="1" applyFill="1" applyBorder="1" applyAlignment="1">
      <alignment vertical="center"/>
    </xf>
    <xf numFmtId="0" fontId="3" fillId="5666" borderId="5027" xfId="0" applyFont="1" applyFill="1" applyBorder="1" applyAlignment="1">
      <alignment vertical="center"/>
    </xf>
    <xf numFmtId="4" fontId="3" fillId="5667" borderId="5028" xfId="0" applyNumberFormat="1" applyFont="1" applyFill="1" applyBorder="1" applyAlignment="1">
      <alignment vertical="center"/>
    </xf>
    <xf numFmtId="4" fontId="3" fillId="5668" borderId="5029" xfId="0" applyNumberFormat="1" applyFont="1" applyFill="1" applyBorder="1" applyAlignment="1">
      <alignment vertical="center"/>
    </xf>
    <xf numFmtId="4" fontId="3" fillId="5669" borderId="5030" xfId="0" applyNumberFormat="1" applyFont="1" applyFill="1" applyBorder="1" applyAlignment="1">
      <alignment vertical="center"/>
    </xf>
    <xf numFmtId="0" fontId="3" fillId="5670" borderId="5031" xfId="0" applyFont="1" applyFill="1" applyBorder="1" applyAlignment="1">
      <alignment vertical="center"/>
    </xf>
    <xf numFmtId="0" fontId="3" fillId="5671" borderId="5032" xfId="0" applyFont="1" applyFill="1" applyBorder="1" applyAlignment="1">
      <alignment vertical="center"/>
    </xf>
    <xf numFmtId="0" fontId="3" fillId="5673" borderId="5033" xfId="0" applyFont="1" applyFill="1" applyBorder="1" applyAlignment="1">
      <alignment vertical="center"/>
    </xf>
    <xf numFmtId="0" fontId="3" fillId="5674" borderId="5034" xfId="0" applyFont="1" applyFill="1" applyBorder="1" applyAlignment="1">
      <alignment vertical="center"/>
    </xf>
    <xf numFmtId="0" fontId="3" fillId="5675" borderId="5035" xfId="0" applyFont="1" applyFill="1" applyBorder="1" applyAlignment="1">
      <alignment vertical="center"/>
    </xf>
    <xf numFmtId="4" fontId="3" fillId="5676" borderId="5036" xfId="0" applyNumberFormat="1" applyFont="1" applyFill="1" applyBorder="1" applyAlignment="1">
      <alignment vertical="center"/>
    </xf>
    <xf numFmtId="4" fontId="3" fillId="5677" borderId="5037" xfId="0" applyNumberFormat="1" applyFont="1" applyFill="1" applyBorder="1" applyAlignment="1">
      <alignment vertical="center"/>
    </xf>
    <xf numFmtId="4" fontId="3" fillId="5678" borderId="5038" xfId="0" applyNumberFormat="1" applyFont="1" applyFill="1" applyBorder="1" applyAlignment="1">
      <alignment vertical="center"/>
    </xf>
    <xf numFmtId="0" fontId="3" fillId="5679" borderId="5039" xfId="0" applyFont="1" applyFill="1" applyBorder="1" applyAlignment="1">
      <alignment vertical="center"/>
    </xf>
    <xf numFmtId="0" fontId="3" fillId="5680" borderId="5040" xfId="0" applyFont="1" applyFill="1" applyBorder="1" applyAlignment="1">
      <alignment vertical="center"/>
    </xf>
    <xf numFmtId="0" fontId="3" fillId="5682" borderId="5041" xfId="0" applyFont="1" applyFill="1" applyBorder="1" applyAlignment="1">
      <alignment vertical="center"/>
    </xf>
    <xf numFmtId="0" fontId="3" fillId="5683" borderId="5042" xfId="0" applyFont="1" applyFill="1" applyBorder="1" applyAlignment="1">
      <alignment vertical="center"/>
    </xf>
    <xf numFmtId="0" fontId="3" fillId="5684" borderId="5043" xfId="0" applyFont="1" applyFill="1" applyBorder="1" applyAlignment="1">
      <alignment vertical="center"/>
    </xf>
    <xf numFmtId="4" fontId="3" fillId="5685" borderId="5044" xfId="0" applyNumberFormat="1" applyFont="1" applyFill="1" applyBorder="1" applyAlignment="1">
      <alignment vertical="center"/>
    </xf>
    <xf numFmtId="4" fontId="3" fillId="5686" borderId="5045" xfId="0" applyNumberFormat="1" applyFont="1" applyFill="1" applyBorder="1" applyAlignment="1">
      <alignment vertical="center"/>
    </xf>
    <xf numFmtId="4" fontId="3" fillId="5687" borderId="5046" xfId="0" applyNumberFormat="1" applyFont="1" applyFill="1" applyBorder="1" applyAlignment="1">
      <alignment vertical="center"/>
    </xf>
    <xf numFmtId="0" fontId="3" fillId="5688" borderId="5047" xfId="0" applyFont="1" applyFill="1" applyBorder="1" applyAlignment="1">
      <alignment vertical="center"/>
    </xf>
    <xf numFmtId="0" fontId="3" fillId="5689" borderId="5048" xfId="0" applyFont="1" applyFill="1" applyBorder="1" applyAlignment="1">
      <alignment vertical="center"/>
    </xf>
    <xf numFmtId="0" fontId="3" fillId="5691" borderId="5049" xfId="0" applyFont="1" applyFill="1" applyBorder="1" applyAlignment="1">
      <alignment vertical="center"/>
    </xf>
    <xf numFmtId="0" fontId="3" fillId="5692" borderId="5050" xfId="0" applyFont="1" applyFill="1" applyBorder="1" applyAlignment="1">
      <alignment vertical="center"/>
    </xf>
    <xf numFmtId="0" fontId="3" fillId="5693" borderId="5051" xfId="0" applyFont="1" applyFill="1" applyBorder="1" applyAlignment="1">
      <alignment vertical="center"/>
    </xf>
    <xf numFmtId="4" fontId="3" fillId="5694" borderId="5052" xfId="0" applyNumberFormat="1" applyFont="1" applyFill="1" applyBorder="1" applyAlignment="1">
      <alignment vertical="center"/>
    </xf>
    <xf numFmtId="4" fontId="3" fillId="5695" borderId="5053" xfId="0" applyNumberFormat="1" applyFont="1" applyFill="1" applyBorder="1" applyAlignment="1">
      <alignment vertical="center"/>
    </xf>
    <xf numFmtId="4" fontId="3" fillId="5696" borderId="5054" xfId="0" applyNumberFormat="1" applyFont="1" applyFill="1" applyBorder="1" applyAlignment="1">
      <alignment vertical="center"/>
    </xf>
    <xf numFmtId="0" fontId="3" fillId="5697" borderId="5055" xfId="0" applyFont="1" applyFill="1" applyBorder="1" applyAlignment="1">
      <alignment vertical="center"/>
    </xf>
    <xf numFmtId="0" fontId="3" fillId="5698" borderId="5056" xfId="0" applyFont="1" applyFill="1" applyBorder="1" applyAlignment="1">
      <alignment vertical="center"/>
    </xf>
    <xf numFmtId="0" fontId="3" fillId="5700" borderId="5057" xfId="0" applyFont="1" applyFill="1" applyBorder="1" applyAlignment="1">
      <alignment vertical="center"/>
    </xf>
    <xf numFmtId="0" fontId="3" fillId="5701" borderId="5058" xfId="0" applyFont="1" applyFill="1" applyBorder="1" applyAlignment="1">
      <alignment vertical="center"/>
    </xf>
    <xf numFmtId="0" fontId="3" fillId="5702" borderId="5059" xfId="0" applyFont="1" applyFill="1" applyBorder="1" applyAlignment="1">
      <alignment vertical="center"/>
    </xf>
    <xf numFmtId="4" fontId="3" fillId="5703" borderId="5060" xfId="0" applyNumberFormat="1" applyFont="1" applyFill="1" applyBorder="1" applyAlignment="1">
      <alignment vertical="center"/>
    </xf>
    <xf numFmtId="4" fontId="3" fillId="5704" borderId="5061" xfId="0" applyNumberFormat="1" applyFont="1" applyFill="1" applyBorder="1" applyAlignment="1">
      <alignment vertical="center"/>
    </xf>
    <xf numFmtId="4" fontId="3" fillId="5705" borderId="5062" xfId="0" applyNumberFormat="1" applyFont="1" applyFill="1" applyBorder="1" applyAlignment="1">
      <alignment vertical="center"/>
    </xf>
    <xf numFmtId="0" fontId="3" fillId="5706" borderId="5063" xfId="0" applyFont="1" applyFill="1" applyBorder="1" applyAlignment="1">
      <alignment vertical="center"/>
    </xf>
    <xf numFmtId="0" fontId="3" fillId="5707" borderId="5064" xfId="0" applyFont="1" applyFill="1" applyBorder="1" applyAlignment="1">
      <alignment vertical="center"/>
    </xf>
    <xf numFmtId="0" fontId="3" fillId="5709" borderId="5065" xfId="0" applyFont="1" applyFill="1" applyBorder="1" applyAlignment="1">
      <alignment vertical="center"/>
    </xf>
    <xf numFmtId="0" fontId="3" fillId="5710" borderId="5066" xfId="0" applyFont="1" applyFill="1" applyBorder="1" applyAlignment="1">
      <alignment vertical="center"/>
    </xf>
    <xf numFmtId="0" fontId="3" fillId="5711" borderId="5067" xfId="0" applyFont="1" applyFill="1" applyBorder="1" applyAlignment="1">
      <alignment vertical="center"/>
    </xf>
    <xf numFmtId="4" fontId="3" fillId="5712" borderId="5068" xfId="0" applyNumberFormat="1" applyFont="1" applyFill="1" applyBorder="1" applyAlignment="1">
      <alignment vertical="center"/>
    </xf>
    <xf numFmtId="4" fontId="3" fillId="5713" borderId="5069" xfId="0" applyNumberFormat="1" applyFont="1" applyFill="1" applyBorder="1" applyAlignment="1">
      <alignment vertical="center"/>
    </xf>
    <xf numFmtId="4" fontId="3" fillId="5714" borderId="5070" xfId="0" applyNumberFormat="1" applyFont="1" applyFill="1" applyBorder="1" applyAlignment="1">
      <alignment vertical="center"/>
    </xf>
    <xf numFmtId="0" fontId="3" fillId="5715" borderId="5071" xfId="0" applyFont="1" applyFill="1" applyBorder="1" applyAlignment="1">
      <alignment vertical="center"/>
    </xf>
    <xf numFmtId="0" fontId="3" fillId="5716" borderId="5072" xfId="0" applyFont="1" applyFill="1" applyBorder="1" applyAlignment="1">
      <alignment vertical="center"/>
    </xf>
    <xf numFmtId="0" fontId="3" fillId="5718" borderId="5073" xfId="0" applyFont="1" applyFill="1" applyBorder="1" applyAlignment="1">
      <alignment vertical="center"/>
    </xf>
    <xf numFmtId="0" fontId="3" fillId="5719" borderId="5074" xfId="0" applyFont="1" applyFill="1" applyBorder="1" applyAlignment="1">
      <alignment vertical="center"/>
    </xf>
    <xf numFmtId="0" fontId="3" fillId="5720" borderId="5075" xfId="0" applyFont="1" applyFill="1" applyBorder="1" applyAlignment="1">
      <alignment vertical="center"/>
    </xf>
    <xf numFmtId="4" fontId="3" fillId="5721" borderId="5076" xfId="0" applyNumberFormat="1" applyFont="1" applyFill="1" applyBorder="1" applyAlignment="1">
      <alignment vertical="center"/>
    </xf>
    <xf numFmtId="4" fontId="3" fillId="5722" borderId="5077" xfId="0" applyNumberFormat="1" applyFont="1" applyFill="1" applyBorder="1" applyAlignment="1">
      <alignment vertical="center"/>
    </xf>
    <xf numFmtId="4" fontId="3" fillId="5723" borderId="5078" xfId="0" applyNumberFormat="1" applyFont="1" applyFill="1" applyBorder="1" applyAlignment="1">
      <alignment vertical="center"/>
    </xf>
    <xf numFmtId="0" fontId="3" fillId="5724" borderId="5079" xfId="0" applyFont="1" applyFill="1" applyBorder="1" applyAlignment="1">
      <alignment vertical="center"/>
    </xf>
    <xf numFmtId="0" fontId="3" fillId="5725" borderId="5080" xfId="0" applyFont="1" applyFill="1" applyBorder="1" applyAlignment="1">
      <alignment vertical="center"/>
    </xf>
    <xf numFmtId="0" fontId="3" fillId="5727" borderId="5081" xfId="0" applyFont="1" applyFill="1" applyBorder="1" applyAlignment="1">
      <alignment vertical="center"/>
    </xf>
    <xf numFmtId="0" fontId="3" fillId="5728" borderId="5082" xfId="0" applyFont="1" applyFill="1" applyBorder="1" applyAlignment="1">
      <alignment vertical="center"/>
    </xf>
    <xf numFmtId="0" fontId="3" fillId="5729" borderId="5083" xfId="0" applyFont="1" applyFill="1" applyBorder="1" applyAlignment="1">
      <alignment vertical="center"/>
    </xf>
    <xf numFmtId="4" fontId="3" fillId="5730" borderId="5084" xfId="0" applyNumberFormat="1" applyFont="1" applyFill="1" applyBorder="1" applyAlignment="1">
      <alignment vertical="center"/>
    </xf>
    <xf numFmtId="4" fontId="3" fillId="5731" borderId="5085" xfId="0" applyNumberFormat="1" applyFont="1" applyFill="1" applyBorder="1" applyAlignment="1">
      <alignment vertical="center"/>
    </xf>
    <xf numFmtId="4" fontId="3" fillId="5732" borderId="5086" xfId="0" applyNumberFormat="1" applyFont="1" applyFill="1" applyBorder="1" applyAlignment="1">
      <alignment vertical="center"/>
    </xf>
    <xf numFmtId="0" fontId="3" fillId="5733" borderId="5087" xfId="0" applyFont="1" applyFill="1" applyBorder="1" applyAlignment="1">
      <alignment vertical="center"/>
    </xf>
    <xf numFmtId="0" fontId="3" fillId="5734" borderId="5088" xfId="0" applyFont="1" applyFill="1" applyBorder="1" applyAlignment="1">
      <alignment vertical="center"/>
    </xf>
    <xf numFmtId="0" fontId="3" fillId="5736" borderId="5089" xfId="0" applyFont="1" applyFill="1" applyBorder="1" applyAlignment="1">
      <alignment vertical="center"/>
    </xf>
    <xf numFmtId="0" fontId="3" fillId="5737" borderId="5090" xfId="0" applyFont="1" applyFill="1" applyBorder="1" applyAlignment="1">
      <alignment vertical="center"/>
    </xf>
    <xf numFmtId="0" fontId="3" fillId="5738" borderId="5091" xfId="0" applyFont="1" applyFill="1" applyBorder="1" applyAlignment="1">
      <alignment vertical="center"/>
    </xf>
    <xf numFmtId="4" fontId="3" fillId="5739" borderId="5092" xfId="0" applyNumberFormat="1" applyFont="1" applyFill="1" applyBorder="1" applyAlignment="1">
      <alignment vertical="center"/>
    </xf>
    <xf numFmtId="4" fontId="3" fillId="5740" borderId="5093" xfId="0" applyNumberFormat="1" applyFont="1" applyFill="1" applyBorder="1" applyAlignment="1">
      <alignment vertical="center"/>
    </xf>
    <xf numFmtId="4" fontId="3" fillId="5741" borderId="5094" xfId="0" applyNumberFormat="1" applyFont="1" applyFill="1" applyBorder="1" applyAlignment="1">
      <alignment vertical="center"/>
    </xf>
    <xf numFmtId="0" fontId="3" fillId="5742" borderId="5095" xfId="0" applyFont="1" applyFill="1" applyBorder="1" applyAlignment="1">
      <alignment vertical="center"/>
    </xf>
    <xf numFmtId="0" fontId="3" fillId="5743" borderId="5096" xfId="0" applyFont="1" applyFill="1" applyBorder="1" applyAlignment="1">
      <alignment vertical="center"/>
    </xf>
    <xf numFmtId="0" fontId="3" fillId="5745" borderId="5097" xfId="0" applyFont="1" applyFill="1" applyBorder="1" applyAlignment="1">
      <alignment vertical="center"/>
    </xf>
    <xf numFmtId="0" fontId="3" fillId="5746" borderId="5098" xfId="0" applyFont="1" applyFill="1" applyBorder="1" applyAlignment="1">
      <alignment vertical="center"/>
    </xf>
    <xf numFmtId="0" fontId="3" fillId="5747" borderId="5099" xfId="0" applyFont="1" applyFill="1" applyBorder="1" applyAlignment="1">
      <alignment vertical="center"/>
    </xf>
    <xf numFmtId="4" fontId="3" fillId="5748" borderId="5100" xfId="0" applyNumberFormat="1" applyFont="1" applyFill="1" applyBorder="1" applyAlignment="1">
      <alignment vertical="center"/>
    </xf>
    <xf numFmtId="4" fontId="3" fillId="5749" borderId="5101" xfId="0" applyNumberFormat="1" applyFont="1" applyFill="1" applyBorder="1" applyAlignment="1">
      <alignment vertical="center"/>
    </xf>
    <xf numFmtId="4" fontId="3" fillId="5750" borderId="5102" xfId="0" applyNumberFormat="1" applyFont="1" applyFill="1" applyBorder="1" applyAlignment="1">
      <alignment vertical="center"/>
    </xf>
    <xf numFmtId="0" fontId="3" fillId="5751" borderId="5103" xfId="0" applyFont="1" applyFill="1" applyBorder="1" applyAlignment="1">
      <alignment vertical="center"/>
    </xf>
    <xf numFmtId="0" fontId="3" fillId="5752" borderId="5104" xfId="0" applyFont="1" applyFill="1" applyBorder="1" applyAlignment="1">
      <alignment vertical="center"/>
    </xf>
    <xf numFmtId="0" fontId="3" fillId="5754" borderId="5105" xfId="0" applyFont="1" applyFill="1" applyBorder="1" applyAlignment="1">
      <alignment vertical="center"/>
    </xf>
    <xf numFmtId="0" fontId="3" fillId="5755" borderId="5106" xfId="0" applyFont="1" applyFill="1" applyBorder="1" applyAlignment="1">
      <alignment vertical="center"/>
    </xf>
    <xf numFmtId="0" fontId="3" fillId="5756" borderId="5107" xfId="0" applyFont="1" applyFill="1" applyBorder="1" applyAlignment="1">
      <alignment vertical="center"/>
    </xf>
    <xf numFmtId="4" fontId="3" fillId="5757" borderId="5108" xfId="0" applyNumberFormat="1" applyFont="1" applyFill="1" applyBorder="1" applyAlignment="1">
      <alignment vertical="center"/>
    </xf>
    <xf numFmtId="4" fontId="3" fillId="5758" borderId="5109" xfId="0" applyNumberFormat="1" applyFont="1" applyFill="1" applyBorder="1" applyAlignment="1">
      <alignment vertical="center"/>
    </xf>
    <xf numFmtId="4" fontId="3" fillId="5759" borderId="5110" xfId="0" applyNumberFormat="1" applyFont="1" applyFill="1" applyBorder="1" applyAlignment="1">
      <alignment vertical="center"/>
    </xf>
    <xf numFmtId="0" fontId="3" fillId="5760" borderId="5111" xfId="0" applyFont="1" applyFill="1" applyBorder="1" applyAlignment="1">
      <alignment vertical="center"/>
    </xf>
    <xf numFmtId="0" fontId="3" fillId="5761" borderId="5112" xfId="0" applyFont="1" applyFill="1" applyBorder="1" applyAlignment="1">
      <alignment vertical="center"/>
    </xf>
    <xf numFmtId="0" fontId="3" fillId="5763" borderId="5113" xfId="0" applyFont="1" applyFill="1" applyBorder="1" applyAlignment="1">
      <alignment vertical="center"/>
    </xf>
    <xf numFmtId="0" fontId="3" fillId="5764" borderId="5114" xfId="0" applyFont="1" applyFill="1" applyBorder="1" applyAlignment="1">
      <alignment vertical="center"/>
    </xf>
    <xf numFmtId="0" fontId="3" fillId="5765" borderId="5115" xfId="0" applyFont="1" applyFill="1" applyBorder="1" applyAlignment="1">
      <alignment vertical="center"/>
    </xf>
    <xf numFmtId="4" fontId="3" fillId="5766" borderId="5116" xfId="0" applyNumberFormat="1" applyFont="1" applyFill="1" applyBorder="1" applyAlignment="1">
      <alignment vertical="center"/>
    </xf>
    <xf numFmtId="4" fontId="3" fillId="5767" borderId="5117" xfId="0" applyNumberFormat="1" applyFont="1" applyFill="1" applyBorder="1" applyAlignment="1">
      <alignment vertical="center"/>
    </xf>
    <xf numFmtId="4" fontId="3" fillId="5768" borderId="5118" xfId="0" applyNumberFormat="1" applyFont="1" applyFill="1" applyBorder="1" applyAlignment="1">
      <alignment vertical="center"/>
    </xf>
    <xf numFmtId="0" fontId="3" fillId="5769" borderId="5119" xfId="0" applyFont="1" applyFill="1" applyBorder="1" applyAlignment="1">
      <alignment vertical="center"/>
    </xf>
    <xf numFmtId="0" fontId="3" fillId="5770" borderId="5120" xfId="0" applyFont="1" applyFill="1" applyBorder="1" applyAlignment="1">
      <alignment vertical="center"/>
    </xf>
    <xf numFmtId="0" fontId="3" fillId="5772" borderId="5121" xfId="0" applyFont="1" applyFill="1" applyBorder="1" applyAlignment="1">
      <alignment vertical="center"/>
    </xf>
    <xf numFmtId="0" fontId="3" fillId="5773" borderId="5122" xfId="0" applyFont="1" applyFill="1" applyBorder="1" applyAlignment="1">
      <alignment vertical="center"/>
    </xf>
    <xf numFmtId="0" fontId="3" fillId="5774" borderId="5123" xfId="0" applyFont="1" applyFill="1" applyBorder="1" applyAlignment="1">
      <alignment vertical="center"/>
    </xf>
    <xf numFmtId="4" fontId="3" fillId="5775" borderId="5124" xfId="0" applyNumberFormat="1" applyFont="1" applyFill="1" applyBorder="1" applyAlignment="1">
      <alignment vertical="center"/>
    </xf>
    <xf numFmtId="4" fontId="3" fillId="5776" borderId="5125" xfId="0" applyNumberFormat="1" applyFont="1" applyFill="1" applyBorder="1" applyAlignment="1">
      <alignment vertical="center"/>
    </xf>
    <xf numFmtId="4" fontId="3" fillId="5777" borderId="5126" xfId="0" applyNumberFormat="1" applyFont="1" applyFill="1" applyBorder="1" applyAlignment="1">
      <alignment vertical="center"/>
    </xf>
    <xf numFmtId="0" fontId="3" fillId="5778" borderId="5127" xfId="0" applyFont="1" applyFill="1" applyBorder="1" applyAlignment="1">
      <alignment vertical="center"/>
    </xf>
    <xf numFmtId="0" fontId="3" fillId="5779" borderId="5128" xfId="0" applyFont="1" applyFill="1" applyBorder="1" applyAlignment="1">
      <alignment vertical="center"/>
    </xf>
    <xf numFmtId="0" fontId="3" fillId="5781" borderId="5129" xfId="0" applyFont="1" applyFill="1" applyBorder="1" applyAlignment="1">
      <alignment vertical="center"/>
    </xf>
    <xf numFmtId="0" fontId="3" fillId="5782" borderId="5130" xfId="0" applyFont="1" applyFill="1" applyBorder="1" applyAlignment="1">
      <alignment vertical="center"/>
    </xf>
    <xf numFmtId="0" fontId="3" fillId="5783" borderId="5131" xfId="0" applyFont="1" applyFill="1" applyBorder="1" applyAlignment="1">
      <alignment vertical="center"/>
    </xf>
    <xf numFmtId="4" fontId="3" fillId="5784" borderId="5132" xfId="0" applyNumberFormat="1" applyFont="1" applyFill="1" applyBorder="1" applyAlignment="1">
      <alignment vertical="center"/>
    </xf>
    <xf numFmtId="4" fontId="3" fillId="5785" borderId="5133" xfId="0" applyNumberFormat="1" applyFont="1" applyFill="1" applyBorder="1" applyAlignment="1">
      <alignment vertical="center"/>
    </xf>
    <xf numFmtId="4" fontId="3" fillId="5786" borderId="5134" xfId="0" applyNumberFormat="1" applyFont="1" applyFill="1" applyBorder="1" applyAlignment="1">
      <alignment vertical="center"/>
    </xf>
    <xf numFmtId="0" fontId="3" fillId="5787" borderId="5135" xfId="0" applyFont="1" applyFill="1" applyBorder="1" applyAlignment="1">
      <alignment vertical="center"/>
    </xf>
    <xf numFmtId="0" fontId="3" fillId="5788" borderId="5136" xfId="0" applyFont="1" applyFill="1" applyBorder="1" applyAlignment="1">
      <alignment vertical="center"/>
    </xf>
    <xf numFmtId="0" fontId="3" fillId="5790" borderId="5137" xfId="0" applyFont="1" applyFill="1" applyBorder="1" applyAlignment="1">
      <alignment vertical="center"/>
    </xf>
    <xf numFmtId="0" fontId="3" fillId="5791" borderId="5138" xfId="0" applyFont="1" applyFill="1" applyBorder="1" applyAlignment="1">
      <alignment vertical="center"/>
    </xf>
    <xf numFmtId="0" fontId="3" fillId="5792" borderId="5139" xfId="0" applyFont="1" applyFill="1" applyBorder="1" applyAlignment="1">
      <alignment vertical="center"/>
    </xf>
    <xf numFmtId="4" fontId="3" fillId="5793" borderId="5140" xfId="0" applyNumberFormat="1" applyFont="1" applyFill="1" applyBorder="1" applyAlignment="1">
      <alignment vertical="center"/>
    </xf>
    <xf numFmtId="4" fontId="3" fillId="5794" borderId="5141" xfId="0" applyNumberFormat="1" applyFont="1" applyFill="1" applyBorder="1" applyAlignment="1">
      <alignment vertical="center"/>
    </xf>
    <xf numFmtId="4" fontId="3" fillId="5795" borderId="5142" xfId="0" applyNumberFormat="1" applyFont="1" applyFill="1" applyBorder="1" applyAlignment="1">
      <alignment vertical="center"/>
    </xf>
    <xf numFmtId="0" fontId="3" fillId="5796" borderId="5143" xfId="0" applyFont="1" applyFill="1" applyBorder="1" applyAlignment="1">
      <alignment vertical="center"/>
    </xf>
    <xf numFmtId="0" fontId="3" fillId="5797" borderId="5144" xfId="0" applyFont="1" applyFill="1" applyBorder="1" applyAlignment="1">
      <alignment vertical="center"/>
    </xf>
    <xf numFmtId="0" fontId="3" fillId="5799" borderId="5145" xfId="0" applyFont="1" applyFill="1" applyBorder="1" applyAlignment="1">
      <alignment vertical="center"/>
    </xf>
    <xf numFmtId="0" fontId="3" fillId="5800" borderId="5146" xfId="0" applyFont="1" applyFill="1" applyBorder="1" applyAlignment="1">
      <alignment vertical="center"/>
    </xf>
    <xf numFmtId="0" fontId="3" fillId="5801" borderId="5147" xfId="0" applyFont="1" applyFill="1" applyBorder="1" applyAlignment="1">
      <alignment vertical="center"/>
    </xf>
    <xf numFmtId="4" fontId="3" fillId="5802" borderId="5148" xfId="0" applyNumberFormat="1" applyFont="1" applyFill="1" applyBorder="1" applyAlignment="1">
      <alignment vertical="center"/>
    </xf>
    <xf numFmtId="4" fontId="3" fillId="5803" borderId="5149" xfId="0" applyNumberFormat="1" applyFont="1" applyFill="1" applyBorder="1" applyAlignment="1">
      <alignment vertical="center"/>
    </xf>
    <xf numFmtId="4" fontId="3" fillId="5804" borderId="5150" xfId="0" applyNumberFormat="1" applyFont="1" applyFill="1" applyBorder="1" applyAlignment="1">
      <alignment vertical="center"/>
    </xf>
    <xf numFmtId="0" fontId="3" fillId="5805" borderId="5151" xfId="0" applyFont="1" applyFill="1" applyBorder="1" applyAlignment="1">
      <alignment vertical="center"/>
    </xf>
    <xf numFmtId="0" fontId="3" fillId="5806" borderId="5152" xfId="0" applyFont="1" applyFill="1" applyBorder="1" applyAlignment="1">
      <alignment vertical="center"/>
    </xf>
    <xf numFmtId="0" fontId="3" fillId="5808" borderId="5153" xfId="0" applyFont="1" applyFill="1" applyBorder="1" applyAlignment="1">
      <alignment vertical="center"/>
    </xf>
    <xf numFmtId="0" fontId="3" fillId="5809" borderId="5154" xfId="0" applyFont="1" applyFill="1" applyBorder="1" applyAlignment="1">
      <alignment vertical="center"/>
    </xf>
    <xf numFmtId="0" fontId="3" fillId="5810" borderId="5155" xfId="0" applyFont="1" applyFill="1" applyBorder="1" applyAlignment="1">
      <alignment vertical="center"/>
    </xf>
    <xf numFmtId="4" fontId="3" fillId="5811" borderId="5156" xfId="0" applyNumberFormat="1" applyFont="1" applyFill="1" applyBorder="1" applyAlignment="1">
      <alignment vertical="center"/>
    </xf>
    <xf numFmtId="4" fontId="3" fillId="5812" borderId="5157" xfId="0" applyNumberFormat="1" applyFont="1" applyFill="1" applyBorder="1" applyAlignment="1">
      <alignment vertical="center"/>
    </xf>
    <xf numFmtId="4" fontId="3" fillId="5813" borderId="5158" xfId="0" applyNumberFormat="1" applyFont="1" applyFill="1" applyBorder="1" applyAlignment="1">
      <alignment vertical="center"/>
    </xf>
    <xf numFmtId="0" fontId="3" fillId="5814" borderId="5159" xfId="0" applyFont="1" applyFill="1" applyBorder="1" applyAlignment="1">
      <alignment vertical="center"/>
    </xf>
    <xf numFmtId="0" fontId="3" fillId="5815" borderId="5160" xfId="0" applyFont="1" applyFill="1" applyBorder="1" applyAlignment="1">
      <alignment vertical="center"/>
    </xf>
    <xf numFmtId="0" fontId="3" fillId="5817" borderId="5161" xfId="0" applyFont="1" applyFill="1" applyBorder="1" applyAlignment="1">
      <alignment vertical="center"/>
    </xf>
    <xf numFmtId="0" fontId="3" fillId="5818" borderId="5162" xfId="0" applyFont="1" applyFill="1" applyBorder="1" applyAlignment="1">
      <alignment vertical="center"/>
    </xf>
    <xf numFmtId="0" fontId="3" fillId="5819" borderId="5163" xfId="0" applyFont="1" applyFill="1" applyBorder="1" applyAlignment="1">
      <alignment vertical="center"/>
    </xf>
    <xf numFmtId="4" fontId="3" fillId="5820" borderId="5164" xfId="0" applyNumberFormat="1" applyFont="1" applyFill="1" applyBorder="1" applyAlignment="1">
      <alignment vertical="center"/>
    </xf>
    <xf numFmtId="4" fontId="3" fillId="5821" borderId="5165" xfId="0" applyNumberFormat="1" applyFont="1" applyFill="1" applyBorder="1" applyAlignment="1">
      <alignment vertical="center"/>
    </xf>
    <xf numFmtId="4" fontId="3" fillId="5822" borderId="5166" xfId="0" applyNumberFormat="1" applyFont="1" applyFill="1" applyBorder="1" applyAlignment="1">
      <alignment vertical="center"/>
    </xf>
    <xf numFmtId="0" fontId="3" fillId="5823" borderId="5167" xfId="0" applyFont="1" applyFill="1" applyBorder="1" applyAlignment="1">
      <alignment vertical="center"/>
    </xf>
    <xf numFmtId="0" fontId="3" fillId="5824" borderId="5168" xfId="0" applyFont="1" applyFill="1" applyBorder="1" applyAlignment="1">
      <alignment vertical="center"/>
    </xf>
    <xf numFmtId="0" fontId="3" fillId="5826" borderId="5169" xfId="0" applyFont="1" applyFill="1" applyBorder="1" applyAlignment="1">
      <alignment vertical="center"/>
    </xf>
    <xf numFmtId="0" fontId="3" fillId="5827" borderId="5170" xfId="0" applyFont="1" applyFill="1" applyBorder="1" applyAlignment="1">
      <alignment vertical="center"/>
    </xf>
    <xf numFmtId="0" fontId="3" fillId="5828" borderId="5171" xfId="0" applyFont="1" applyFill="1" applyBorder="1" applyAlignment="1">
      <alignment vertical="center"/>
    </xf>
    <xf numFmtId="4" fontId="3" fillId="5829" borderId="5172" xfId="0" applyNumberFormat="1" applyFont="1" applyFill="1" applyBorder="1" applyAlignment="1">
      <alignment vertical="center"/>
    </xf>
    <xf numFmtId="4" fontId="3" fillId="5830" borderId="5173" xfId="0" applyNumberFormat="1" applyFont="1" applyFill="1" applyBorder="1" applyAlignment="1">
      <alignment vertical="center"/>
    </xf>
    <xf numFmtId="4" fontId="3" fillId="5831" borderId="5174" xfId="0" applyNumberFormat="1" applyFont="1" applyFill="1" applyBorder="1" applyAlignment="1">
      <alignment vertical="center"/>
    </xf>
    <xf numFmtId="0" fontId="3" fillId="5832" borderId="5175" xfId="0" applyFont="1" applyFill="1" applyBorder="1" applyAlignment="1">
      <alignment vertical="center"/>
    </xf>
    <xf numFmtId="0" fontId="3" fillId="5833" borderId="5176" xfId="0" applyFont="1" applyFill="1" applyBorder="1" applyAlignment="1">
      <alignment vertical="center"/>
    </xf>
    <xf numFmtId="0" fontId="3" fillId="5835" borderId="5177" xfId="0" applyFont="1" applyFill="1" applyBorder="1" applyAlignment="1">
      <alignment vertical="center"/>
    </xf>
    <xf numFmtId="0" fontId="3" fillId="5836" borderId="5178" xfId="0" applyFont="1" applyFill="1" applyBorder="1" applyAlignment="1">
      <alignment vertical="center"/>
    </xf>
    <xf numFmtId="0" fontId="3" fillId="5837" borderId="5179" xfId="0" applyFont="1" applyFill="1" applyBorder="1" applyAlignment="1">
      <alignment vertical="center"/>
    </xf>
    <xf numFmtId="4" fontId="3" fillId="5838" borderId="5180" xfId="0" applyNumberFormat="1" applyFont="1" applyFill="1" applyBorder="1" applyAlignment="1">
      <alignment vertical="center"/>
    </xf>
    <xf numFmtId="4" fontId="3" fillId="5839" borderId="5181" xfId="0" applyNumberFormat="1" applyFont="1" applyFill="1" applyBorder="1" applyAlignment="1">
      <alignment vertical="center"/>
    </xf>
    <xf numFmtId="4" fontId="3" fillId="5840" borderId="5182" xfId="0" applyNumberFormat="1" applyFont="1" applyFill="1" applyBorder="1" applyAlignment="1">
      <alignment vertical="center"/>
    </xf>
    <xf numFmtId="0" fontId="3" fillId="5841" borderId="5183" xfId="0" applyFont="1" applyFill="1" applyBorder="1" applyAlignment="1">
      <alignment vertical="center"/>
    </xf>
    <xf numFmtId="0" fontId="3" fillId="5842" borderId="5184" xfId="0" applyFont="1" applyFill="1" applyBorder="1" applyAlignment="1">
      <alignment vertical="center"/>
    </xf>
    <xf numFmtId="0" fontId="3" fillId="5844" borderId="5185" xfId="0" applyFont="1" applyFill="1" applyBorder="1" applyAlignment="1">
      <alignment vertical="center"/>
    </xf>
    <xf numFmtId="0" fontId="3" fillId="5845" borderId="5186" xfId="0" applyFont="1" applyFill="1" applyBorder="1" applyAlignment="1">
      <alignment vertical="center"/>
    </xf>
    <xf numFmtId="0" fontId="3" fillId="5846" borderId="5187" xfId="0" applyFont="1" applyFill="1" applyBorder="1" applyAlignment="1">
      <alignment vertical="center"/>
    </xf>
    <xf numFmtId="4" fontId="3" fillId="5847" borderId="5188" xfId="0" applyNumberFormat="1" applyFont="1" applyFill="1" applyBorder="1" applyAlignment="1">
      <alignment vertical="center"/>
    </xf>
    <xf numFmtId="4" fontId="3" fillId="5848" borderId="5189" xfId="0" applyNumberFormat="1" applyFont="1" applyFill="1" applyBorder="1" applyAlignment="1">
      <alignment vertical="center"/>
    </xf>
    <xf numFmtId="4" fontId="3" fillId="5849" borderId="5190" xfId="0" applyNumberFormat="1" applyFont="1" applyFill="1" applyBorder="1" applyAlignment="1">
      <alignment vertical="center"/>
    </xf>
    <xf numFmtId="0" fontId="3" fillId="5850" borderId="5191" xfId="0" applyFont="1" applyFill="1" applyBorder="1" applyAlignment="1">
      <alignment vertical="center"/>
    </xf>
    <xf numFmtId="0" fontId="3" fillId="5851" borderId="5192" xfId="0" applyFont="1" applyFill="1" applyBorder="1" applyAlignment="1">
      <alignment vertical="center"/>
    </xf>
    <xf numFmtId="0" fontId="3" fillId="5853" borderId="5193" xfId="0" applyFont="1" applyFill="1" applyBorder="1" applyAlignment="1">
      <alignment vertical="center"/>
    </xf>
    <xf numFmtId="0" fontId="3" fillId="5854" borderId="5194" xfId="0" applyFont="1" applyFill="1" applyBorder="1" applyAlignment="1">
      <alignment vertical="center"/>
    </xf>
    <xf numFmtId="0" fontId="3" fillId="5855" borderId="5195" xfId="0" applyFont="1" applyFill="1" applyBorder="1" applyAlignment="1">
      <alignment vertical="center"/>
    </xf>
    <xf numFmtId="4" fontId="3" fillId="5856" borderId="5196" xfId="0" applyNumberFormat="1" applyFont="1" applyFill="1" applyBorder="1" applyAlignment="1">
      <alignment vertical="center"/>
    </xf>
    <xf numFmtId="4" fontId="3" fillId="5857" borderId="5197" xfId="0" applyNumberFormat="1" applyFont="1" applyFill="1" applyBorder="1" applyAlignment="1">
      <alignment vertical="center"/>
    </xf>
    <xf numFmtId="4" fontId="3" fillId="5858" borderId="5198" xfId="0" applyNumberFormat="1" applyFont="1" applyFill="1" applyBorder="1" applyAlignment="1">
      <alignment vertical="center"/>
    </xf>
    <xf numFmtId="0" fontId="3" fillId="5859" borderId="5199" xfId="0" applyFont="1" applyFill="1" applyBorder="1" applyAlignment="1">
      <alignment vertical="center"/>
    </xf>
    <xf numFmtId="0" fontId="3" fillId="5860" borderId="5200" xfId="0" applyFont="1" applyFill="1" applyBorder="1" applyAlignment="1">
      <alignment vertical="center"/>
    </xf>
    <xf numFmtId="0" fontId="3" fillId="5862" borderId="5201" xfId="0" applyFont="1" applyFill="1" applyBorder="1" applyAlignment="1">
      <alignment vertical="center"/>
    </xf>
    <xf numFmtId="0" fontId="3" fillId="5863" borderId="5202" xfId="0" applyFont="1" applyFill="1" applyBorder="1" applyAlignment="1">
      <alignment vertical="center"/>
    </xf>
    <xf numFmtId="0" fontId="3" fillId="5864" borderId="5203" xfId="0" applyFont="1" applyFill="1" applyBorder="1" applyAlignment="1">
      <alignment vertical="center"/>
    </xf>
    <xf numFmtId="4" fontId="3" fillId="5865" borderId="5204" xfId="0" applyNumberFormat="1" applyFont="1" applyFill="1" applyBorder="1" applyAlignment="1">
      <alignment vertical="center"/>
    </xf>
    <xf numFmtId="4" fontId="3" fillId="5866" borderId="5205" xfId="0" applyNumberFormat="1" applyFont="1" applyFill="1" applyBorder="1" applyAlignment="1">
      <alignment vertical="center"/>
    </xf>
    <xf numFmtId="4" fontId="3" fillId="5867" borderId="5206" xfId="0" applyNumberFormat="1" applyFont="1" applyFill="1" applyBorder="1" applyAlignment="1">
      <alignment vertical="center"/>
    </xf>
    <xf numFmtId="0" fontId="3" fillId="5868" borderId="5207" xfId="0" applyFont="1" applyFill="1" applyBorder="1" applyAlignment="1">
      <alignment vertical="center"/>
    </xf>
    <xf numFmtId="0" fontId="3" fillId="5869" borderId="5208" xfId="0" applyFont="1" applyFill="1" applyBorder="1" applyAlignment="1">
      <alignment vertical="center"/>
    </xf>
    <xf numFmtId="0" fontId="3" fillId="5871" borderId="5209" xfId="0" applyFont="1" applyFill="1" applyBorder="1" applyAlignment="1">
      <alignment vertical="center"/>
    </xf>
    <xf numFmtId="0" fontId="3" fillId="5872" borderId="5210" xfId="0" applyFont="1" applyFill="1" applyBorder="1" applyAlignment="1">
      <alignment vertical="center"/>
    </xf>
    <xf numFmtId="0" fontId="3" fillId="5873" borderId="5211" xfId="0" applyFont="1" applyFill="1" applyBorder="1" applyAlignment="1">
      <alignment vertical="center"/>
    </xf>
    <xf numFmtId="4" fontId="3" fillId="5874" borderId="5212" xfId="0" applyNumberFormat="1" applyFont="1" applyFill="1" applyBorder="1" applyAlignment="1">
      <alignment vertical="center"/>
    </xf>
    <xf numFmtId="4" fontId="3" fillId="5875" borderId="5213" xfId="0" applyNumberFormat="1" applyFont="1" applyFill="1" applyBorder="1" applyAlignment="1">
      <alignment vertical="center"/>
    </xf>
    <xf numFmtId="4" fontId="3" fillId="5876" borderId="5214" xfId="0" applyNumberFormat="1" applyFont="1" applyFill="1" applyBorder="1" applyAlignment="1">
      <alignment vertical="center"/>
    </xf>
    <xf numFmtId="0" fontId="3" fillId="5877" borderId="5215" xfId="0" applyFont="1" applyFill="1" applyBorder="1" applyAlignment="1">
      <alignment vertical="center"/>
    </xf>
    <xf numFmtId="0" fontId="3" fillId="5878" borderId="5216" xfId="0" applyFont="1" applyFill="1" applyBorder="1" applyAlignment="1">
      <alignment vertical="center"/>
    </xf>
    <xf numFmtId="0" fontId="3" fillId="5880" borderId="5217" xfId="0" applyFont="1" applyFill="1" applyBorder="1" applyAlignment="1">
      <alignment vertical="center"/>
    </xf>
    <xf numFmtId="0" fontId="3" fillId="5881" borderId="5218" xfId="0" applyFont="1" applyFill="1" applyBorder="1" applyAlignment="1">
      <alignment vertical="center"/>
    </xf>
    <xf numFmtId="0" fontId="3" fillId="5882" borderId="5219" xfId="0" applyFont="1" applyFill="1" applyBorder="1" applyAlignment="1">
      <alignment vertical="center"/>
    </xf>
    <xf numFmtId="4" fontId="3" fillId="5883" borderId="5220" xfId="0" applyNumberFormat="1" applyFont="1" applyFill="1" applyBorder="1" applyAlignment="1">
      <alignment vertical="center"/>
    </xf>
    <xf numFmtId="4" fontId="3" fillId="5884" borderId="5221" xfId="0" applyNumberFormat="1" applyFont="1" applyFill="1" applyBorder="1" applyAlignment="1">
      <alignment vertical="center"/>
    </xf>
    <xf numFmtId="4" fontId="3" fillId="5885" borderId="5222" xfId="0" applyNumberFormat="1" applyFont="1" applyFill="1" applyBorder="1" applyAlignment="1">
      <alignment vertical="center"/>
    </xf>
    <xf numFmtId="0" fontId="3" fillId="5886" borderId="5223" xfId="0" applyFont="1" applyFill="1" applyBorder="1" applyAlignment="1">
      <alignment vertical="center"/>
    </xf>
    <xf numFmtId="0" fontId="3" fillId="5887" borderId="5224" xfId="0" applyFont="1" applyFill="1" applyBorder="1" applyAlignment="1">
      <alignment vertical="center"/>
    </xf>
    <xf numFmtId="0" fontId="3" fillId="5889" borderId="5225" xfId="0" applyFont="1" applyFill="1" applyBorder="1" applyAlignment="1">
      <alignment vertical="center"/>
    </xf>
    <xf numFmtId="0" fontId="3" fillId="5890" borderId="5226" xfId="0" applyFont="1" applyFill="1" applyBorder="1" applyAlignment="1">
      <alignment vertical="center"/>
    </xf>
    <xf numFmtId="0" fontId="3" fillId="5891" borderId="5227" xfId="0" applyFont="1" applyFill="1" applyBorder="1" applyAlignment="1">
      <alignment vertical="center"/>
    </xf>
    <xf numFmtId="4" fontId="3" fillId="5892" borderId="5228" xfId="0" applyNumberFormat="1" applyFont="1" applyFill="1" applyBorder="1" applyAlignment="1">
      <alignment vertical="center"/>
    </xf>
    <xf numFmtId="4" fontId="3" fillId="5893" borderId="5229" xfId="0" applyNumberFormat="1" applyFont="1" applyFill="1" applyBorder="1" applyAlignment="1">
      <alignment vertical="center"/>
    </xf>
    <xf numFmtId="4" fontId="3" fillId="5894" borderId="5230" xfId="0" applyNumberFormat="1" applyFont="1" applyFill="1" applyBorder="1" applyAlignment="1">
      <alignment vertical="center"/>
    </xf>
    <xf numFmtId="0" fontId="3" fillId="5895" borderId="5231" xfId="0" applyFont="1" applyFill="1" applyBorder="1" applyAlignment="1">
      <alignment vertical="center"/>
    </xf>
    <xf numFmtId="0" fontId="3" fillId="5896" borderId="5232" xfId="0" applyFont="1" applyFill="1" applyBorder="1" applyAlignment="1">
      <alignment vertical="center"/>
    </xf>
    <xf numFmtId="0" fontId="3" fillId="5898" borderId="5233" xfId="0" applyFont="1" applyFill="1" applyBorder="1" applyAlignment="1">
      <alignment vertical="center"/>
    </xf>
    <xf numFmtId="0" fontId="3" fillId="5899" borderId="5234" xfId="0" applyFont="1" applyFill="1" applyBorder="1" applyAlignment="1">
      <alignment vertical="center"/>
    </xf>
    <xf numFmtId="0" fontId="3" fillId="5900" borderId="5235" xfId="0" applyFont="1" applyFill="1" applyBorder="1" applyAlignment="1">
      <alignment vertical="center"/>
    </xf>
    <xf numFmtId="4" fontId="3" fillId="5901" borderId="5236" xfId="0" applyNumberFormat="1" applyFont="1" applyFill="1" applyBorder="1" applyAlignment="1">
      <alignment vertical="center"/>
    </xf>
    <xf numFmtId="4" fontId="3" fillId="5902" borderId="5237" xfId="0" applyNumberFormat="1" applyFont="1" applyFill="1" applyBorder="1" applyAlignment="1">
      <alignment vertical="center"/>
    </xf>
    <xf numFmtId="4" fontId="3" fillId="5903" borderId="5238" xfId="0" applyNumberFormat="1" applyFont="1" applyFill="1" applyBorder="1" applyAlignment="1">
      <alignment vertical="center"/>
    </xf>
    <xf numFmtId="0" fontId="3" fillId="5904" borderId="5239" xfId="0" applyFont="1" applyFill="1" applyBorder="1" applyAlignment="1">
      <alignment vertical="center"/>
    </xf>
    <xf numFmtId="0" fontId="3" fillId="5905" borderId="5240" xfId="0" applyFont="1" applyFill="1" applyBorder="1" applyAlignment="1">
      <alignment vertical="center"/>
    </xf>
    <xf numFmtId="0" fontId="3" fillId="5907" borderId="5241" xfId="0" applyFont="1" applyFill="1" applyBorder="1" applyAlignment="1">
      <alignment vertical="center"/>
    </xf>
    <xf numFmtId="0" fontId="3" fillId="5908" borderId="5242" xfId="0" applyFont="1" applyFill="1" applyBorder="1" applyAlignment="1">
      <alignment vertical="center"/>
    </xf>
    <xf numFmtId="0" fontId="3" fillId="5909" borderId="5243" xfId="0" applyFont="1" applyFill="1" applyBorder="1" applyAlignment="1">
      <alignment vertical="center"/>
    </xf>
    <xf numFmtId="4" fontId="3" fillId="5910" borderId="5244" xfId="0" applyNumberFormat="1" applyFont="1" applyFill="1" applyBorder="1" applyAlignment="1">
      <alignment vertical="center"/>
    </xf>
    <xf numFmtId="4" fontId="3" fillId="5911" borderId="5245" xfId="0" applyNumberFormat="1" applyFont="1" applyFill="1" applyBorder="1" applyAlignment="1">
      <alignment vertical="center"/>
    </xf>
    <xf numFmtId="4" fontId="3" fillId="5912" borderId="5246" xfId="0" applyNumberFormat="1" applyFont="1" applyFill="1" applyBorder="1" applyAlignment="1">
      <alignment vertical="center"/>
    </xf>
    <xf numFmtId="0" fontId="3" fillId="5913" borderId="5247" xfId="0" applyFont="1" applyFill="1" applyBorder="1" applyAlignment="1">
      <alignment vertical="center"/>
    </xf>
    <xf numFmtId="0" fontId="3" fillId="5914" borderId="5248" xfId="0" applyFont="1" applyFill="1" applyBorder="1" applyAlignment="1">
      <alignment vertical="center"/>
    </xf>
    <xf numFmtId="0" fontId="3" fillId="5916" borderId="5249" xfId="0" applyFont="1" applyFill="1" applyBorder="1" applyAlignment="1">
      <alignment vertical="center"/>
    </xf>
    <xf numFmtId="0" fontId="3" fillId="5917" borderId="5250" xfId="0" applyFont="1" applyFill="1" applyBorder="1" applyAlignment="1">
      <alignment vertical="center"/>
    </xf>
    <xf numFmtId="0" fontId="3" fillId="5918" borderId="5251" xfId="0" applyFont="1" applyFill="1" applyBorder="1" applyAlignment="1">
      <alignment vertical="center"/>
    </xf>
    <xf numFmtId="4" fontId="3" fillId="5919" borderId="5252" xfId="0" applyNumberFormat="1" applyFont="1" applyFill="1" applyBorder="1" applyAlignment="1">
      <alignment vertical="center"/>
    </xf>
    <xf numFmtId="4" fontId="3" fillId="5920" borderId="5253" xfId="0" applyNumberFormat="1" applyFont="1" applyFill="1" applyBorder="1" applyAlignment="1">
      <alignment vertical="center"/>
    </xf>
    <xf numFmtId="4" fontId="3" fillId="5921" borderId="5254" xfId="0" applyNumberFormat="1" applyFont="1" applyFill="1" applyBorder="1" applyAlignment="1">
      <alignment vertical="center"/>
    </xf>
    <xf numFmtId="0" fontId="3" fillId="5922" borderId="5255" xfId="0" applyFont="1" applyFill="1" applyBorder="1" applyAlignment="1">
      <alignment vertical="center"/>
    </xf>
    <xf numFmtId="0" fontId="3" fillId="5923" borderId="5256" xfId="0" applyFont="1" applyFill="1" applyBorder="1" applyAlignment="1">
      <alignment vertical="center"/>
    </xf>
    <xf numFmtId="0" fontId="3" fillId="5925" borderId="5257" xfId="0" applyFont="1" applyFill="1" applyBorder="1" applyAlignment="1">
      <alignment vertical="center"/>
    </xf>
    <xf numFmtId="0" fontId="3" fillId="5926" borderId="5258" xfId="0" applyFont="1" applyFill="1" applyBorder="1" applyAlignment="1">
      <alignment vertical="center"/>
    </xf>
    <xf numFmtId="0" fontId="3" fillId="5927" borderId="5259" xfId="0" applyFont="1" applyFill="1" applyBorder="1" applyAlignment="1">
      <alignment vertical="center"/>
    </xf>
    <xf numFmtId="4" fontId="3" fillId="5928" borderId="5260" xfId="0" applyNumberFormat="1" applyFont="1" applyFill="1" applyBorder="1" applyAlignment="1">
      <alignment vertical="center"/>
    </xf>
    <xf numFmtId="4" fontId="3" fillId="5929" borderId="5261" xfId="0" applyNumberFormat="1" applyFont="1" applyFill="1" applyBorder="1" applyAlignment="1">
      <alignment vertical="center"/>
    </xf>
    <xf numFmtId="4" fontId="3" fillId="5930" borderId="5262" xfId="0" applyNumberFormat="1" applyFont="1" applyFill="1" applyBorder="1" applyAlignment="1">
      <alignment vertical="center"/>
    </xf>
    <xf numFmtId="0" fontId="3" fillId="5931" borderId="5263" xfId="0" applyFont="1" applyFill="1" applyBorder="1" applyAlignment="1">
      <alignment vertical="center"/>
    </xf>
    <xf numFmtId="0" fontId="3" fillId="5932" borderId="5264" xfId="0" applyFont="1" applyFill="1" applyBorder="1" applyAlignment="1">
      <alignment vertical="center"/>
    </xf>
    <xf numFmtId="0" fontId="3" fillId="5934" borderId="5265" xfId="0" applyFont="1" applyFill="1" applyBorder="1" applyAlignment="1">
      <alignment vertical="center"/>
    </xf>
    <xf numFmtId="0" fontId="3" fillId="5935" borderId="5266" xfId="0" applyFont="1" applyFill="1" applyBorder="1" applyAlignment="1">
      <alignment vertical="center"/>
    </xf>
    <xf numFmtId="0" fontId="3" fillId="5936" borderId="5267" xfId="0" applyFont="1" applyFill="1" applyBorder="1" applyAlignment="1">
      <alignment vertical="center"/>
    </xf>
    <xf numFmtId="4" fontId="3" fillId="5937" borderId="5268" xfId="0" applyNumberFormat="1" applyFont="1" applyFill="1" applyBorder="1" applyAlignment="1">
      <alignment vertical="center"/>
    </xf>
    <xf numFmtId="4" fontId="3" fillId="5938" borderId="5269" xfId="0" applyNumberFormat="1" applyFont="1" applyFill="1" applyBorder="1" applyAlignment="1">
      <alignment vertical="center"/>
    </xf>
    <xf numFmtId="4" fontId="3" fillId="5939" borderId="5270" xfId="0" applyNumberFormat="1" applyFont="1" applyFill="1" applyBorder="1" applyAlignment="1">
      <alignment vertical="center"/>
    </xf>
    <xf numFmtId="0" fontId="3" fillId="5940" borderId="5271" xfId="0" applyFont="1" applyFill="1" applyBorder="1" applyAlignment="1">
      <alignment vertical="center"/>
    </xf>
    <xf numFmtId="0" fontId="3" fillId="5941" borderId="5272" xfId="0" applyFont="1" applyFill="1" applyBorder="1" applyAlignment="1">
      <alignment vertical="center"/>
    </xf>
    <xf numFmtId="0" fontId="3" fillId="5943" borderId="5273" xfId="0" applyFont="1" applyFill="1" applyBorder="1" applyAlignment="1">
      <alignment vertical="center"/>
    </xf>
    <xf numFmtId="0" fontId="3" fillId="5944" borderId="5274" xfId="0" applyFont="1" applyFill="1" applyBorder="1" applyAlignment="1">
      <alignment vertical="center"/>
    </xf>
    <xf numFmtId="0" fontId="3" fillId="5945" borderId="5275" xfId="0" applyFont="1" applyFill="1" applyBorder="1" applyAlignment="1">
      <alignment vertical="center"/>
    </xf>
    <xf numFmtId="4" fontId="3" fillId="5946" borderId="5276" xfId="0" applyNumberFormat="1" applyFont="1" applyFill="1" applyBorder="1" applyAlignment="1">
      <alignment vertical="center"/>
    </xf>
    <xf numFmtId="4" fontId="3" fillId="5947" borderId="5277" xfId="0" applyNumberFormat="1" applyFont="1" applyFill="1" applyBorder="1" applyAlignment="1">
      <alignment vertical="center"/>
    </xf>
    <xf numFmtId="4" fontId="3" fillId="5948" borderId="5278" xfId="0" applyNumberFormat="1" applyFont="1" applyFill="1" applyBorder="1" applyAlignment="1">
      <alignment vertical="center"/>
    </xf>
    <xf numFmtId="0" fontId="3" fillId="5949" borderId="5279" xfId="0" applyFont="1" applyFill="1" applyBorder="1" applyAlignment="1">
      <alignment vertical="center"/>
    </xf>
    <xf numFmtId="0" fontId="3" fillId="5950" borderId="5280" xfId="0" applyFont="1" applyFill="1" applyBorder="1" applyAlignment="1">
      <alignment vertical="center"/>
    </xf>
    <xf numFmtId="0" fontId="3" fillId="5952" borderId="5281" xfId="0" applyFont="1" applyFill="1" applyBorder="1" applyAlignment="1">
      <alignment vertical="center"/>
    </xf>
    <xf numFmtId="0" fontId="3" fillId="5953" borderId="5282" xfId="0" applyFont="1" applyFill="1" applyBorder="1" applyAlignment="1">
      <alignment vertical="center"/>
    </xf>
    <xf numFmtId="0" fontId="3" fillId="5954" borderId="5283" xfId="0" applyFont="1" applyFill="1" applyBorder="1" applyAlignment="1">
      <alignment vertical="center"/>
    </xf>
    <xf numFmtId="4" fontId="3" fillId="5955" borderId="5284" xfId="0" applyNumberFormat="1" applyFont="1" applyFill="1" applyBorder="1" applyAlignment="1">
      <alignment vertical="center"/>
    </xf>
    <xf numFmtId="4" fontId="3" fillId="5956" borderId="5285" xfId="0" applyNumberFormat="1" applyFont="1" applyFill="1" applyBorder="1" applyAlignment="1">
      <alignment vertical="center"/>
    </xf>
    <xf numFmtId="4" fontId="3" fillId="5957" borderId="5286" xfId="0" applyNumberFormat="1" applyFont="1" applyFill="1" applyBorder="1" applyAlignment="1">
      <alignment vertical="center"/>
    </xf>
    <xf numFmtId="0" fontId="3" fillId="5958" borderId="5287" xfId="0" applyFont="1" applyFill="1" applyBorder="1" applyAlignment="1">
      <alignment vertical="center"/>
    </xf>
    <xf numFmtId="0" fontId="3" fillId="5959" borderId="5288" xfId="0" applyFont="1" applyFill="1" applyBorder="1" applyAlignment="1">
      <alignment vertical="center"/>
    </xf>
    <xf numFmtId="0" fontId="3" fillId="5961" borderId="5289" xfId="0" applyFont="1" applyFill="1" applyBorder="1" applyAlignment="1">
      <alignment vertical="center"/>
    </xf>
    <xf numFmtId="0" fontId="3" fillId="5962" borderId="5290" xfId="0" applyFont="1" applyFill="1" applyBorder="1" applyAlignment="1">
      <alignment vertical="center"/>
    </xf>
    <xf numFmtId="0" fontId="3" fillId="5963" borderId="5291" xfId="0" applyFont="1" applyFill="1" applyBorder="1" applyAlignment="1">
      <alignment vertical="center"/>
    </xf>
    <xf numFmtId="4" fontId="3" fillId="5964" borderId="5292" xfId="0" applyNumberFormat="1" applyFont="1" applyFill="1" applyBorder="1" applyAlignment="1">
      <alignment vertical="center"/>
    </xf>
    <xf numFmtId="4" fontId="3" fillId="5965" borderId="5293" xfId="0" applyNumberFormat="1" applyFont="1" applyFill="1" applyBorder="1" applyAlignment="1">
      <alignment vertical="center"/>
    </xf>
    <xf numFmtId="4" fontId="3" fillId="5966" borderId="5294" xfId="0" applyNumberFormat="1" applyFont="1" applyFill="1" applyBorder="1" applyAlignment="1">
      <alignment vertical="center"/>
    </xf>
    <xf numFmtId="0" fontId="3" fillId="5967" borderId="5295" xfId="0" applyFont="1" applyFill="1" applyBorder="1" applyAlignment="1">
      <alignment vertical="center"/>
    </xf>
    <xf numFmtId="0" fontId="3" fillId="5968" borderId="5296" xfId="0" applyFont="1" applyFill="1" applyBorder="1" applyAlignment="1">
      <alignment vertical="center"/>
    </xf>
    <xf numFmtId="0" fontId="3" fillId="5970" borderId="5297" xfId="0" applyFont="1" applyFill="1" applyBorder="1" applyAlignment="1">
      <alignment vertical="center"/>
    </xf>
    <xf numFmtId="0" fontId="3" fillId="5971" borderId="5298" xfId="0" applyFont="1" applyFill="1" applyBorder="1" applyAlignment="1">
      <alignment vertical="center"/>
    </xf>
    <xf numFmtId="0" fontId="3" fillId="5972" borderId="5299" xfId="0" applyFont="1" applyFill="1" applyBorder="1" applyAlignment="1">
      <alignment vertical="center"/>
    </xf>
    <xf numFmtId="4" fontId="3" fillId="5973" borderId="5300" xfId="0" applyNumberFormat="1" applyFont="1" applyFill="1" applyBorder="1" applyAlignment="1">
      <alignment vertical="center"/>
    </xf>
    <xf numFmtId="4" fontId="3" fillId="5974" borderId="5301" xfId="0" applyNumberFormat="1" applyFont="1" applyFill="1" applyBorder="1" applyAlignment="1">
      <alignment vertical="center"/>
    </xf>
    <xf numFmtId="4" fontId="3" fillId="5975" borderId="5302" xfId="0" applyNumberFormat="1" applyFont="1" applyFill="1" applyBorder="1" applyAlignment="1">
      <alignment vertical="center"/>
    </xf>
    <xf numFmtId="0" fontId="3" fillId="5976" borderId="5303" xfId="0" applyFont="1" applyFill="1" applyBorder="1" applyAlignment="1">
      <alignment vertical="center"/>
    </xf>
    <xf numFmtId="0" fontId="3" fillId="5977" borderId="5304" xfId="0" applyFont="1" applyFill="1" applyBorder="1" applyAlignment="1">
      <alignment vertical="center"/>
    </xf>
    <xf numFmtId="0" fontId="3" fillId="5979" borderId="5305" xfId="0" applyFont="1" applyFill="1" applyBorder="1" applyAlignment="1">
      <alignment vertical="center"/>
    </xf>
    <xf numFmtId="0" fontId="3" fillId="5980" borderId="5306" xfId="0" applyFont="1" applyFill="1" applyBorder="1" applyAlignment="1">
      <alignment vertical="center"/>
    </xf>
    <xf numFmtId="0" fontId="3" fillId="5981" borderId="5307" xfId="0" applyFont="1" applyFill="1" applyBorder="1" applyAlignment="1">
      <alignment vertical="center"/>
    </xf>
    <xf numFmtId="4" fontId="3" fillId="5982" borderId="5308" xfId="0" applyNumberFormat="1" applyFont="1" applyFill="1" applyBorder="1" applyAlignment="1">
      <alignment vertical="center"/>
    </xf>
    <xf numFmtId="4" fontId="3" fillId="5983" borderId="5309" xfId="0" applyNumberFormat="1" applyFont="1" applyFill="1" applyBorder="1" applyAlignment="1">
      <alignment vertical="center"/>
    </xf>
    <xf numFmtId="4" fontId="3" fillId="5984" borderId="5310" xfId="0" applyNumberFormat="1" applyFont="1" applyFill="1" applyBorder="1" applyAlignment="1">
      <alignment vertical="center"/>
    </xf>
    <xf numFmtId="0" fontId="3" fillId="5985" borderId="5311" xfId="0" applyFont="1" applyFill="1" applyBorder="1" applyAlignment="1">
      <alignment vertical="center"/>
    </xf>
    <xf numFmtId="0" fontId="3" fillId="5986" borderId="5312" xfId="0" applyFont="1" applyFill="1" applyBorder="1" applyAlignment="1">
      <alignment vertical="center"/>
    </xf>
    <xf numFmtId="0" fontId="3" fillId="5988" borderId="5313" xfId="0" applyFont="1" applyFill="1" applyBorder="1" applyAlignment="1">
      <alignment vertical="center"/>
    </xf>
    <xf numFmtId="0" fontId="3" fillId="5989" borderId="5314" xfId="0" applyFont="1" applyFill="1" applyBorder="1" applyAlignment="1">
      <alignment vertical="center"/>
    </xf>
    <xf numFmtId="0" fontId="3" fillId="5990" borderId="5315" xfId="0" applyFont="1" applyFill="1" applyBorder="1" applyAlignment="1">
      <alignment vertical="center"/>
    </xf>
    <xf numFmtId="4" fontId="3" fillId="5991" borderId="5316" xfId="0" applyNumberFormat="1" applyFont="1" applyFill="1" applyBorder="1" applyAlignment="1">
      <alignment vertical="center"/>
    </xf>
    <xf numFmtId="4" fontId="3" fillId="5992" borderId="5317" xfId="0" applyNumberFormat="1" applyFont="1" applyFill="1" applyBorder="1" applyAlignment="1">
      <alignment vertical="center"/>
    </xf>
    <xf numFmtId="4" fontId="3" fillId="5993" borderId="5318" xfId="0" applyNumberFormat="1" applyFont="1" applyFill="1" applyBorder="1" applyAlignment="1">
      <alignment vertical="center"/>
    </xf>
    <xf numFmtId="0" fontId="3" fillId="5994" borderId="5319" xfId="0" applyFont="1" applyFill="1" applyBorder="1" applyAlignment="1">
      <alignment vertical="center"/>
    </xf>
    <xf numFmtId="0" fontId="3" fillId="5995" borderId="5320" xfId="0" applyFont="1" applyFill="1" applyBorder="1" applyAlignment="1">
      <alignment vertical="center"/>
    </xf>
    <xf numFmtId="0" fontId="3" fillId="5997" borderId="5321" xfId="0" applyFont="1" applyFill="1" applyBorder="1" applyAlignment="1">
      <alignment vertical="center"/>
    </xf>
    <xf numFmtId="0" fontId="3" fillId="5998" borderId="5322" xfId="0" applyFont="1" applyFill="1" applyBorder="1" applyAlignment="1">
      <alignment vertical="center"/>
    </xf>
    <xf numFmtId="0" fontId="3" fillId="5999" borderId="5323" xfId="0" applyFont="1" applyFill="1" applyBorder="1" applyAlignment="1">
      <alignment vertical="center"/>
    </xf>
    <xf numFmtId="4" fontId="3" fillId="6000" borderId="5324" xfId="0" applyNumberFormat="1" applyFont="1" applyFill="1" applyBorder="1" applyAlignment="1">
      <alignment vertical="center"/>
    </xf>
    <xf numFmtId="4" fontId="3" fillId="6001" borderId="5325" xfId="0" applyNumberFormat="1" applyFont="1" applyFill="1" applyBorder="1" applyAlignment="1">
      <alignment vertical="center"/>
    </xf>
    <xf numFmtId="4" fontId="3" fillId="6002" borderId="5326" xfId="0" applyNumberFormat="1" applyFont="1" applyFill="1" applyBorder="1" applyAlignment="1">
      <alignment vertical="center"/>
    </xf>
    <xf numFmtId="0" fontId="3" fillId="6003" borderId="5327" xfId="0" applyFont="1" applyFill="1" applyBorder="1" applyAlignment="1">
      <alignment vertical="center"/>
    </xf>
    <xf numFmtId="0" fontId="3" fillId="6004" borderId="5328" xfId="0" applyFont="1" applyFill="1" applyBorder="1" applyAlignment="1">
      <alignment vertical="center"/>
    </xf>
    <xf numFmtId="0" fontId="3" fillId="6006" borderId="5329" xfId="0" applyFont="1" applyFill="1" applyBorder="1" applyAlignment="1">
      <alignment vertical="center"/>
    </xf>
    <xf numFmtId="0" fontId="3" fillId="6007" borderId="5330" xfId="0" applyFont="1" applyFill="1" applyBorder="1" applyAlignment="1">
      <alignment vertical="center"/>
    </xf>
    <xf numFmtId="0" fontId="3" fillId="6008" borderId="5331" xfId="0" applyFont="1" applyFill="1" applyBorder="1" applyAlignment="1">
      <alignment vertical="center"/>
    </xf>
    <xf numFmtId="4" fontId="3" fillId="6009" borderId="5332" xfId="0" applyNumberFormat="1" applyFont="1" applyFill="1" applyBorder="1" applyAlignment="1">
      <alignment vertical="center"/>
    </xf>
    <xf numFmtId="4" fontId="3" fillId="6010" borderId="5333" xfId="0" applyNumberFormat="1" applyFont="1" applyFill="1" applyBorder="1" applyAlignment="1">
      <alignment vertical="center"/>
    </xf>
    <xf numFmtId="4" fontId="3" fillId="6011" borderId="5334" xfId="0" applyNumberFormat="1" applyFont="1" applyFill="1" applyBorder="1" applyAlignment="1">
      <alignment vertical="center"/>
    </xf>
    <xf numFmtId="0" fontId="3" fillId="6012" borderId="5335" xfId="0" applyFont="1" applyFill="1" applyBorder="1" applyAlignment="1">
      <alignment vertical="center"/>
    </xf>
    <xf numFmtId="0" fontId="3" fillId="6013" borderId="5336" xfId="0" applyFont="1" applyFill="1" applyBorder="1" applyAlignment="1">
      <alignment vertical="center"/>
    </xf>
    <xf numFmtId="0" fontId="3" fillId="6015" borderId="5337" xfId="0" applyFont="1" applyFill="1" applyBorder="1" applyAlignment="1">
      <alignment vertical="center"/>
    </xf>
    <xf numFmtId="0" fontId="3" fillId="6016" borderId="5338" xfId="0" applyFont="1" applyFill="1" applyBorder="1" applyAlignment="1">
      <alignment vertical="center"/>
    </xf>
    <xf numFmtId="0" fontId="3" fillId="6017" borderId="5339" xfId="0" applyFont="1" applyFill="1" applyBorder="1" applyAlignment="1">
      <alignment vertical="center"/>
    </xf>
    <xf numFmtId="4" fontId="3" fillId="6018" borderId="5340" xfId="0" applyNumberFormat="1" applyFont="1" applyFill="1" applyBorder="1" applyAlignment="1">
      <alignment vertical="center"/>
    </xf>
    <xf numFmtId="4" fontId="3" fillId="6019" borderId="5341" xfId="0" applyNumberFormat="1" applyFont="1" applyFill="1" applyBorder="1" applyAlignment="1">
      <alignment vertical="center"/>
    </xf>
    <xf numFmtId="4" fontId="3" fillId="6020" borderId="5342" xfId="0" applyNumberFormat="1" applyFont="1" applyFill="1" applyBorder="1" applyAlignment="1">
      <alignment vertical="center"/>
    </xf>
    <xf numFmtId="0" fontId="3" fillId="6021" borderId="5343" xfId="0" applyFont="1" applyFill="1" applyBorder="1" applyAlignment="1">
      <alignment vertical="center"/>
    </xf>
    <xf numFmtId="0" fontId="3" fillId="6022" borderId="5344" xfId="0" applyFont="1" applyFill="1" applyBorder="1" applyAlignment="1">
      <alignment vertical="center"/>
    </xf>
    <xf numFmtId="0" fontId="3" fillId="6024" borderId="5345" xfId="0" applyFont="1" applyFill="1" applyBorder="1" applyAlignment="1">
      <alignment vertical="center"/>
    </xf>
    <xf numFmtId="0" fontId="3" fillId="6025" borderId="5346" xfId="0" applyFont="1" applyFill="1" applyBorder="1" applyAlignment="1">
      <alignment vertical="center"/>
    </xf>
    <xf numFmtId="0" fontId="3" fillId="6026" borderId="5347" xfId="0" applyFont="1" applyFill="1" applyBorder="1" applyAlignment="1">
      <alignment vertical="center"/>
    </xf>
    <xf numFmtId="4" fontId="3" fillId="6027" borderId="5348" xfId="0" applyNumberFormat="1" applyFont="1" applyFill="1" applyBorder="1" applyAlignment="1">
      <alignment vertical="center"/>
    </xf>
    <xf numFmtId="4" fontId="3" fillId="6028" borderId="5349" xfId="0" applyNumberFormat="1" applyFont="1" applyFill="1" applyBorder="1" applyAlignment="1">
      <alignment vertical="center"/>
    </xf>
    <xf numFmtId="4" fontId="3" fillId="6029" borderId="5350" xfId="0" applyNumberFormat="1" applyFont="1" applyFill="1" applyBorder="1" applyAlignment="1">
      <alignment vertical="center"/>
    </xf>
    <xf numFmtId="0" fontId="3" fillId="6030" borderId="5351" xfId="0" applyFont="1" applyFill="1" applyBorder="1" applyAlignment="1">
      <alignment vertical="center"/>
    </xf>
    <xf numFmtId="0" fontId="3" fillId="6031" borderId="5352" xfId="0" applyFont="1" applyFill="1" applyBorder="1" applyAlignment="1">
      <alignment vertical="center"/>
    </xf>
    <xf numFmtId="0" fontId="3" fillId="6033" borderId="5353" xfId="0" applyFont="1" applyFill="1" applyBorder="1" applyAlignment="1">
      <alignment vertical="center"/>
    </xf>
    <xf numFmtId="0" fontId="3" fillId="6034" borderId="5354" xfId="0" applyFont="1" applyFill="1" applyBorder="1" applyAlignment="1">
      <alignment vertical="center"/>
    </xf>
    <xf numFmtId="0" fontId="3" fillId="6035" borderId="5355" xfId="0" applyFont="1" applyFill="1" applyBorder="1" applyAlignment="1">
      <alignment vertical="center"/>
    </xf>
    <xf numFmtId="4" fontId="3" fillId="6036" borderId="5356" xfId="0" applyNumberFormat="1" applyFont="1" applyFill="1" applyBorder="1" applyAlignment="1">
      <alignment vertical="center"/>
    </xf>
    <xf numFmtId="4" fontId="3" fillId="6037" borderId="5357" xfId="0" applyNumberFormat="1" applyFont="1" applyFill="1" applyBorder="1" applyAlignment="1">
      <alignment vertical="center"/>
    </xf>
    <xf numFmtId="4" fontId="3" fillId="6038" borderId="5358" xfId="0" applyNumberFormat="1" applyFont="1" applyFill="1" applyBorder="1" applyAlignment="1">
      <alignment vertical="center"/>
    </xf>
    <xf numFmtId="0" fontId="3" fillId="6039" borderId="5359" xfId="0" applyFont="1" applyFill="1" applyBorder="1" applyAlignment="1">
      <alignment vertical="center"/>
    </xf>
    <xf numFmtId="0" fontId="3" fillId="6040" borderId="5360" xfId="0" applyFont="1" applyFill="1" applyBorder="1" applyAlignment="1">
      <alignment vertical="center"/>
    </xf>
    <xf numFmtId="0" fontId="3" fillId="6042" borderId="5361" xfId="0" applyFont="1" applyFill="1" applyBorder="1" applyAlignment="1">
      <alignment vertical="center"/>
    </xf>
    <xf numFmtId="0" fontId="3" fillId="6043" borderId="5362" xfId="0" applyFont="1" applyFill="1" applyBorder="1" applyAlignment="1">
      <alignment vertical="center"/>
    </xf>
    <xf numFmtId="0" fontId="3" fillId="6044" borderId="5363" xfId="0" applyFont="1" applyFill="1" applyBorder="1" applyAlignment="1">
      <alignment vertical="center"/>
    </xf>
    <xf numFmtId="4" fontId="3" fillId="6045" borderId="5364" xfId="0" applyNumberFormat="1" applyFont="1" applyFill="1" applyBorder="1" applyAlignment="1">
      <alignment vertical="center"/>
    </xf>
    <xf numFmtId="4" fontId="3" fillId="6046" borderId="5365" xfId="0" applyNumberFormat="1" applyFont="1" applyFill="1" applyBorder="1" applyAlignment="1">
      <alignment vertical="center"/>
    </xf>
    <xf numFmtId="4" fontId="3" fillId="6047" borderId="5366" xfId="0" applyNumberFormat="1" applyFont="1" applyFill="1" applyBorder="1" applyAlignment="1">
      <alignment vertical="center"/>
    </xf>
    <xf numFmtId="0" fontId="3" fillId="6048" borderId="5367" xfId="0" applyFont="1" applyFill="1" applyBorder="1" applyAlignment="1">
      <alignment vertical="center"/>
    </xf>
    <xf numFmtId="0" fontId="3" fillId="6049" borderId="5368" xfId="0" applyFont="1" applyFill="1" applyBorder="1" applyAlignment="1">
      <alignment vertical="center"/>
    </xf>
    <xf numFmtId="0" fontId="3" fillId="6051" borderId="5369" xfId="0" applyFont="1" applyFill="1" applyBorder="1" applyAlignment="1">
      <alignment vertical="center"/>
    </xf>
    <xf numFmtId="0" fontId="3" fillId="6052" borderId="5370" xfId="0" applyFont="1" applyFill="1" applyBorder="1" applyAlignment="1">
      <alignment vertical="center"/>
    </xf>
    <xf numFmtId="0" fontId="3" fillId="6053" borderId="5371" xfId="0" applyFont="1" applyFill="1" applyBorder="1" applyAlignment="1">
      <alignment vertical="center"/>
    </xf>
    <xf numFmtId="4" fontId="3" fillId="6054" borderId="5372" xfId="0" applyNumberFormat="1" applyFont="1" applyFill="1" applyBorder="1" applyAlignment="1">
      <alignment vertical="center"/>
    </xf>
    <xf numFmtId="4" fontId="3" fillId="6055" borderId="5373" xfId="0" applyNumberFormat="1" applyFont="1" applyFill="1" applyBorder="1" applyAlignment="1">
      <alignment vertical="center"/>
    </xf>
    <xf numFmtId="4" fontId="3" fillId="6056" borderId="5374" xfId="0" applyNumberFormat="1" applyFont="1" applyFill="1" applyBorder="1" applyAlignment="1">
      <alignment vertical="center"/>
    </xf>
    <xf numFmtId="0" fontId="3" fillId="6057" borderId="5375" xfId="0" applyFont="1" applyFill="1" applyBorder="1" applyAlignment="1">
      <alignment vertical="center"/>
    </xf>
    <xf numFmtId="0" fontId="3" fillId="6058" borderId="5376" xfId="0" applyFont="1" applyFill="1" applyBorder="1" applyAlignment="1">
      <alignment vertical="center"/>
    </xf>
    <xf numFmtId="0" fontId="3" fillId="6060" borderId="5377" xfId="0" applyFont="1" applyFill="1" applyBorder="1" applyAlignment="1">
      <alignment vertical="center"/>
    </xf>
    <xf numFmtId="0" fontId="3" fillId="6061" borderId="5378" xfId="0" applyFont="1" applyFill="1" applyBorder="1" applyAlignment="1">
      <alignment vertical="center"/>
    </xf>
    <xf numFmtId="0" fontId="3" fillId="6062" borderId="5379" xfId="0" applyFont="1" applyFill="1" applyBorder="1" applyAlignment="1">
      <alignment vertical="center"/>
    </xf>
    <xf numFmtId="4" fontId="3" fillId="6063" borderId="5380" xfId="0" applyNumberFormat="1" applyFont="1" applyFill="1" applyBorder="1" applyAlignment="1">
      <alignment vertical="center"/>
    </xf>
    <xf numFmtId="4" fontId="3" fillId="6064" borderId="5381" xfId="0" applyNumberFormat="1" applyFont="1" applyFill="1" applyBorder="1" applyAlignment="1">
      <alignment vertical="center"/>
    </xf>
    <xf numFmtId="4" fontId="3" fillId="6065" borderId="5382" xfId="0" applyNumberFormat="1" applyFont="1" applyFill="1" applyBorder="1" applyAlignment="1">
      <alignment vertical="center"/>
    </xf>
    <xf numFmtId="0" fontId="3" fillId="6066" borderId="5383" xfId="0" applyFont="1" applyFill="1" applyBorder="1" applyAlignment="1">
      <alignment vertical="center"/>
    </xf>
    <xf numFmtId="0" fontId="3" fillId="6067" borderId="5384" xfId="0" applyFont="1" applyFill="1" applyBorder="1" applyAlignment="1">
      <alignment vertical="center"/>
    </xf>
    <xf numFmtId="0" fontId="3" fillId="6069" borderId="5385" xfId="0" applyFont="1" applyFill="1" applyBorder="1" applyAlignment="1">
      <alignment vertical="center"/>
    </xf>
    <xf numFmtId="0" fontId="3" fillId="6070" borderId="5386" xfId="0" applyFont="1" applyFill="1" applyBorder="1" applyAlignment="1">
      <alignment vertical="center"/>
    </xf>
    <xf numFmtId="0" fontId="3" fillId="6071" borderId="5387" xfId="0" applyFont="1" applyFill="1" applyBorder="1" applyAlignment="1">
      <alignment vertical="center"/>
    </xf>
    <xf numFmtId="4" fontId="3" fillId="6072" borderId="5388" xfId="0" applyNumberFormat="1" applyFont="1" applyFill="1" applyBorder="1" applyAlignment="1">
      <alignment vertical="center"/>
    </xf>
    <xf numFmtId="4" fontId="3" fillId="6073" borderId="5389" xfId="0" applyNumberFormat="1" applyFont="1" applyFill="1" applyBorder="1" applyAlignment="1">
      <alignment vertical="center"/>
    </xf>
    <xf numFmtId="4" fontId="3" fillId="6074" borderId="5390" xfId="0" applyNumberFormat="1" applyFont="1" applyFill="1" applyBorder="1" applyAlignment="1">
      <alignment vertical="center"/>
    </xf>
    <xf numFmtId="0" fontId="3" fillId="6075" borderId="5391" xfId="0" applyFont="1" applyFill="1" applyBorder="1" applyAlignment="1">
      <alignment vertical="center"/>
    </xf>
    <xf numFmtId="0" fontId="3" fillId="6076" borderId="5392" xfId="0" applyFont="1" applyFill="1" applyBorder="1" applyAlignment="1">
      <alignment vertical="center"/>
    </xf>
    <xf numFmtId="0" fontId="3" fillId="6078" borderId="5393" xfId="0" applyFont="1" applyFill="1" applyBorder="1" applyAlignment="1">
      <alignment vertical="center"/>
    </xf>
    <xf numFmtId="0" fontId="3" fillId="6079" borderId="5394" xfId="0" applyFont="1" applyFill="1" applyBorder="1" applyAlignment="1">
      <alignment vertical="center"/>
    </xf>
    <xf numFmtId="0" fontId="3" fillId="6080" borderId="5395" xfId="0" applyFont="1" applyFill="1" applyBorder="1" applyAlignment="1">
      <alignment vertical="center"/>
    </xf>
    <xf numFmtId="4" fontId="3" fillId="6081" borderId="5396" xfId="0" applyNumberFormat="1" applyFont="1" applyFill="1" applyBorder="1" applyAlignment="1">
      <alignment vertical="center"/>
    </xf>
    <xf numFmtId="4" fontId="3" fillId="6082" borderId="5397" xfId="0" applyNumberFormat="1" applyFont="1" applyFill="1" applyBorder="1" applyAlignment="1">
      <alignment vertical="center"/>
    </xf>
    <xf numFmtId="4" fontId="3" fillId="6083" borderId="5398" xfId="0" applyNumberFormat="1" applyFont="1" applyFill="1" applyBorder="1" applyAlignment="1">
      <alignment vertical="center"/>
    </xf>
    <xf numFmtId="0" fontId="3" fillId="6084" borderId="5399" xfId="0" applyFont="1" applyFill="1" applyBorder="1" applyAlignment="1">
      <alignment vertical="center"/>
    </xf>
    <xf numFmtId="0" fontId="3" fillId="6085" borderId="5400" xfId="0" applyFont="1" applyFill="1" applyBorder="1" applyAlignment="1">
      <alignment vertical="center"/>
    </xf>
    <xf numFmtId="0" fontId="3" fillId="6087" borderId="5401" xfId="0" applyFont="1" applyFill="1" applyBorder="1" applyAlignment="1">
      <alignment vertical="center"/>
    </xf>
    <xf numFmtId="0" fontId="3" fillId="6088" borderId="5402" xfId="0" applyFont="1" applyFill="1" applyBorder="1" applyAlignment="1">
      <alignment vertical="center"/>
    </xf>
    <xf numFmtId="0" fontId="3" fillId="6089" borderId="5403" xfId="0" applyFont="1" applyFill="1" applyBorder="1" applyAlignment="1">
      <alignment vertical="center"/>
    </xf>
    <xf numFmtId="4" fontId="3" fillId="6090" borderId="5404" xfId="0" applyNumberFormat="1" applyFont="1" applyFill="1" applyBorder="1" applyAlignment="1">
      <alignment vertical="center"/>
    </xf>
    <xf numFmtId="4" fontId="3" fillId="6091" borderId="5405" xfId="0" applyNumberFormat="1" applyFont="1" applyFill="1" applyBorder="1" applyAlignment="1">
      <alignment vertical="center"/>
    </xf>
    <xf numFmtId="4" fontId="3" fillId="6092" borderId="5406" xfId="0" applyNumberFormat="1" applyFont="1" applyFill="1" applyBorder="1" applyAlignment="1">
      <alignment vertical="center"/>
    </xf>
    <xf numFmtId="0" fontId="3" fillId="6093" borderId="5407" xfId="0" applyFont="1" applyFill="1" applyBorder="1" applyAlignment="1">
      <alignment vertical="center"/>
    </xf>
    <xf numFmtId="0" fontId="3" fillId="6094" borderId="5408" xfId="0" applyFont="1" applyFill="1" applyBorder="1" applyAlignment="1">
      <alignment vertical="center"/>
    </xf>
    <xf numFmtId="0" fontId="3" fillId="6096" borderId="5409" xfId="0" applyFont="1" applyFill="1" applyBorder="1" applyAlignment="1">
      <alignment vertical="center"/>
    </xf>
    <xf numFmtId="0" fontId="3" fillId="6097" borderId="5410" xfId="0" applyFont="1" applyFill="1" applyBorder="1" applyAlignment="1">
      <alignment vertical="center"/>
    </xf>
    <xf numFmtId="0" fontId="3" fillId="6098" borderId="5411" xfId="0" applyFont="1" applyFill="1" applyBorder="1" applyAlignment="1">
      <alignment vertical="center"/>
    </xf>
    <xf numFmtId="4" fontId="3" fillId="6099" borderId="5412" xfId="0" applyNumberFormat="1" applyFont="1" applyFill="1" applyBorder="1" applyAlignment="1">
      <alignment vertical="center"/>
    </xf>
    <xf numFmtId="4" fontId="3" fillId="6100" borderId="5413" xfId="0" applyNumberFormat="1" applyFont="1" applyFill="1" applyBorder="1" applyAlignment="1">
      <alignment vertical="center"/>
    </xf>
    <xf numFmtId="4" fontId="3" fillId="6101" borderId="5414" xfId="0" applyNumberFormat="1" applyFont="1" applyFill="1" applyBorder="1" applyAlignment="1">
      <alignment vertical="center"/>
    </xf>
    <xf numFmtId="0" fontId="3" fillId="6102" borderId="5415" xfId="0" applyFont="1" applyFill="1" applyBorder="1" applyAlignment="1">
      <alignment vertical="center"/>
    </xf>
    <xf numFmtId="0" fontId="3" fillId="6103" borderId="5416" xfId="0" applyFont="1" applyFill="1" applyBorder="1" applyAlignment="1">
      <alignment vertical="center"/>
    </xf>
    <xf numFmtId="0" fontId="3" fillId="6105" borderId="5417" xfId="0" applyFont="1" applyFill="1" applyBorder="1" applyAlignment="1">
      <alignment vertical="center"/>
    </xf>
    <xf numFmtId="0" fontId="3" fillId="6106" borderId="5418" xfId="0" applyFont="1" applyFill="1" applyBorder="1" applyAlignment="1">
      <alignment vertical="center"/>
    </xf>
    <xf numFmtId="0" fontId="3" fillId="6107" borderId="5419" xfId="0" applyFont="1" applyFill="1" applyBorder="1" applyAlignment="1">
      <alignment vertical="center"/>
    </xf>
    <xf numFmtId="4" fontId="3" fillId="6108" borderId="5420" xfId="0" applyNumberFormat="1" applyFont="1" applyFill="1" applyBorder="1" applyAlignment="1">
      <alignment vertical="center"/>
    </xf>
    <xf numFmtId="4" fontId="3" fillId="6109" borderId="5421" xfId="0" applyNumberFormat="1" applyFont="1" applyFill="1" applyBorder="1" applyAlignment="1">
      <alignment vertical="center"/>
    </xf>
    <xf numFmtId="4" fontId="3" fillId="6110" borderId="5422" xfId="0" applyNumberFormat="1" applyFont="1" applyFill="1" applyBorder="1" applyAlignment="1">
      <alignment vertical="center"/>
    </xf>
    <xf numFmtId="0" fontId="3" fillId="6111" borderId="5423" xfId="0" applyFont="1" applyFill="1" applyBorder="1" applyAlignment="1">
      <alignment vertical="center"/>
    </xf>
    <xf numFmtId="0" fontId="3" fillId="6112" borderId="5424" xfId="0" applyFont="1" applyFill="1" applyBorder="1" applyAlignment="1">
      <alignment vertical="center"/>
    </xf>
    <xf numFmtId="0" fontId="3" fillId="6114" borderId="5425" xfId="0" applyFont="1" applyFill="1" applyBorder="1" applyAlignment="1">
      <alignment vertical="center"/>
    </xf>
    <xf numFmtId="0" fontId="3" fillId="6115" borderId="5426" xfId="0" applyFont="1" applyFill="1" applyBorder="1" applyAlignment="1">
      <alignment vertical="center"/>
    </xf>
    <xf numFmtId="0" fontId="3" fillId="6116" borderId="5427" xfId="0" applyFont="1" applyFill="1" applyBorder="1" applyAlignment="1">
      <alignment vertical="center"/>
    </xf>
    <xf numFmtId="4" fontId="3" fillId="6117" borderId="5428" xfId="0" applyNumberFormat="1" applyFont="1" applyFill="1" applyBorder="1" applyAlignment="1">
      <alignment vertical="center"/>
    </xf>
    <xf numFmtId="4" fontId="3" fillId="6118" borderId="5429" xfId="0" applyNumberFormat="1" applyFont="1" applyFill="1" applyBorder="1" applyAlignment="1">
      <alignment vertical="center"/>
    </xf>
    <xf numFmtId="4" fontId="3" fillId="6119" borderId="5430" xfId="0" applyNumberFormat="1" applyFont="1" applyFill="1" applyBorder="1" applyAlignment="1">
      <alignment vertical="center"/>
    </xf>
    <xf numFmtId="0" fontId="3" fillId="6120" borderId="5431" xfId="0" applyFont="1" applyFill="1" applyBorder="1" applyAlignment="1">
      <alignment vertical="center"/>
    </xf>
    <xf numFmtId="0" fontId="3" fillId="6121" borderId="5432" xfId="0" applyFont="1" applyFill="1" applyBorder="1" applyAlignment="1">
      <alignment vertical="center"/>
    </xf>
    <xf numFmtId="0" fontId="3" fillId="6123" borderId="5433" xfId="0" applyFont="1" applyFill="1" applyBorder="1" applyAlignment="1">
      <alignment vertical="center"/>
    </xf>
    <xf numFmtId="0" fontId="3" fillId="6124" borderId="5434" xfId="0" applyFont="1" applyFill="1" applyBorder="1" applyAlignment="1">
      <alignment vertical="center"/>
    </xf>
    <xf numFmtId="0" fontId="3" fillId="6125" borderId="5435" xfId="0" applyFont="1" applyFill="1" applyBorder="1" applyAlignment="1">
      <alignment vertical="center"/>
    </xf>
    <xf numFmtId="4" fontId="3" fillId="6126" borderId="5436" xfId="0" applyNumberFormat="1" applyFont="1" applyFill="1" applyBorder="1" applyAlignment="1">
      <alignment vertical="center"/>
    </xf>
    <xf numFmtId="4" fontId="3" fillId="6127" borderId="5437" xfId="0" applyNumberFormat="1" applyFont="1" applyFill="1" applyBorder="1" applyAlignment="1">
      <alignment vertical="center"/>
    </xf>
    <xf numFmtId="4" fontId="3" fillId="6128" borderId="5438" xfId="0" applyNumberFormat="1" applyFont="1" applyFill="1" applyBorder="1" applyAlignment="1">
      <alignment vertical="center"/>
    </xf>
    <xf numFmtId="0" fontId="3" fillId="6129" borderId="5439" xfId="0" applyFont="1" applyFill="1" applyBorder="1" applyAlignment="1">
      <alignment vertical="center"/>
    </xf>
    <xf numFmtId="0" fontId="3" fillId="6130" borderId="5440" xfId="0" applyFont="1" applyFill="1" applyBorder="1" applyAlignment="1">
      <alignment vertical="center"/>
    </xf>
    <xf numFmtId="0" fontId="3" fillId="6132" borderId="5441" xfId="0" applyFont="1" applyFill="1" applyBorder="1" applyAlignment="1">
      <alignment vertical="center"/>
    </xf>
    <xf numFmtId="0" fontId="3" fillId="6133" borderId="5442" xfId="0" applyFont="1" applyFill="1" applyBorder="1" applyAlignment="1">
      <alignment vertical="center"/>
    </xf>
    <xf numFmtId="0" fontId="3" fillId="6134" borderId="5443" xfId="0" applyFont="1" applyFill="1" applyBorder="1" applyAlignment="1">
      <alignment vertical="center"/>
    </xf>
    <xf numFmtId="4" fontId="3" fillId="6135" borderId="5444" xfId="0" applyNumberFormat="1" applyFont="1" applyFill="1" applyBorder="1" applyAlignment="1">
      <alignment vertical="center"/>
    </xf>
    <xf numFmtId="4" fontId="3" fillId="6136" borderId="5445" xfId="0" applyNumberFormat="1" applyFont="1" applyFill="1" applyBorder="1" applyAlignment="1">
      <alignment vertical="center"/>
    </xf>
    <xf numFmtId="4" fontId="3" fillId="6137" borderId="5446" xfId="0" applyNumberFormat="1" applyFont="1" applyFill="1" applyBorder="1" applyAlignment="1">
      <alignment vertical="center"/>
    </xf>
    <xf numFmtId="0" fontId="3" fillId="6138" borderId="5447" xfId="0" applyFont="1" applyFill="1" applyBorder="1" applyAlignment="1">
      <alignment vertical="center"/>
    </xf>
    <xf numFmtId="0" fontId="3" fillId="6139" borderId="5448" xfId="0" applyFont="1" applyFill="1" applyBorder="1" applyAlignment="1">
      <alignment vertical="center"/>
    </xf>
    <xf numFmtId="0" fontId="3" fillId="6141" borderId="5449" xfId="0" applyFont="1" applyFill="1" applyBorder="1" applyAlignment="1">
      <alignment vertical="center"/>
    </xf>
    <xf numFmtId="0" fontId="3" fillId="6142" borderId="5450" xfId="0" applyFont="1" applyFill="1" applyBorder="1" applyAlignment="1">
      <alignment vertical="center"/>
    </xf>
    <xf numFmtId="0" fontId="3" fillId="6143" borderId="5451" xfId="0" applyFont="1" applyFill="1" applyBorder="1" applyAlignment="1">
      <alignment vertical="center"/>
    </xf>
    <xf numFmtId="4" fontId="3" fillId="6144" borderId="5452" xfId="0" applyNumberFormat="1" applyFont="1" applyFill="1" applyBorder="1" applyAlignment="1">
      <alignment vertical="center"/>
    </xf>
    <xf numFmtId="4" fontId="3" fillId="6145" borderId="5453" xfId="0" applyNumberFormat="1" applyFont="1" applyFill="1" applyBorder="1" applyAlignment="1">
      <alignment vertical="center"/>
    </xf>
    <xf numFmtId="4" fontId="3" fillId="6146" borderId="5454" xfId="0" applyNumberFormat="1" applyFont="1" applyFill="1" applyBorder="1" applyAlignment="1">
      <alignment vertical="center"/>
    </xf>
    <xf numFmtId="0" fontId="3" fillId="6147" borderId="5455" xfId="0" applyFont="1" applyFill="1" applyBorder="1" applyAlignment="1">
      <alignment vertical="center"/>
    </xf>
    <xf numFmtId="0" fontId="3" fillId="6148" borderId="5456" xfId="0" applyFont="1" applyFill="1" applyBorder="1" applyAlignment="1">
      <alignment vertical="center"/>
    </xf>
    <xf numFmtId="0" fontId="3" fillId="6150" borderId="5457" xfId="0" applyFont="1" applyFill="1" applyBorder="1" applyAlignment="1">
      <alignment vertical="center"/>
    </xf>
    <xf numFmtId="0" fontId="3" fillId="6151" borderId="5458" xfId="0" applyFont="1" applyFill="1" applyBorder="1" applyAlignment="1">
      <alignment vertical="center"/>
    </xf>
    <xf numFmtId="0" fontId="3" fillId="6152" borderId="5459" xfId="0" applyFont="1" applyFill="1" applyBorder="1" applyAlignment="1">
      <alignment vertical="center"/>
    </xf>
    <xf numFmtId="4" fontId="3" fillId="6153" borderId="5460" xfId="0" applyNumberFormat="1" applyFont="1" applyFill="1" applyBorder="1" applyAlignment="1">
      <alignment vertical="center"/>
    </xf>
    <xf numFmtId="4" fontId="3" fillId="6154" borderId="5461" xfId="0" applyNumberFormat="1" applyFont="1" applyFill="1" applyBorder="1" applyAlignment="1">
      <alignment vertical="center"/>
    </xf>
    <xf numFmtId="4" fontId="3" fillId="6155" borderId="5462" xfId="0" applyNumberFormat="1" applyFont="1" applyFill="1" applyBorder="1" applyAlignment="1">
      <alignment vertical="center"/>
    </xf>
    <xf numFmtId="0" fontId="3" fillId="6156" borderId="5463" xfId="0" applyFont="1" applyFill="1" applyBorder="1" applyAlignment="1">
      <alignment vertical="center"/>
    </xf>
    <xf numFmtId="0" fontId="3" fillId="6157" borderId="5464" xfId="0" applyFont="1" applyFill="1" applyBorder="1" applyAlignment="1">
      <alignment vertical="center"/>
    </xf>
    <xf numFmtId="0" fontId="3" fillId="6159" borderId="5465" xfId="0" applyFont="1" applyFill="1" applyBorder="1" applyAlignment="1">
      <alignment vertical="center"/>
    </xf>
    <xf numFmtId="0" fontId="3" fillId="6160" borderId="5466" xfId="0" applyFont="1" applyFill="1" applyBorder="1" applyAlignment="1">
      <alignment vertical="center"/>
    </xf>
    <xf numFmtId="0" fontId="3" fillId="6161" borderId="5467" xfId="0" applyFont="1" applyFill="1" applyBorder="1" applyAlignment="1">
      <alignment vertical="center"/>
    </xf>
    <xf numFmtId="4" fontId="3" fillId="6162" borderId="5468" xfId="0" applyNumberFormat="1" applyFont="1" applyFill="1" applyBorder="1" applyAlignment="1">
      <alignment vertical="center"/>
    </xf>
    <xf numFmtId="4" fontId="3" fillId="6163" borderId="5469" xfId="0" applyNumberFormat="1" applyFont="1" applyFill="1" applyBorder="1" applyAlignment="1">
      <alignment vertical="center"/>
    </xf>
    <xf numFmtId="4" fontId="3" fillId="6164" borderId="5470" xfId="0" applyNumberFormat="1" applyFont="1" applyFill="1" applyBorder="1" applyAlignment="1">
      <alignment vertical="center"/>
    </xf>
    <xf numFmtId="0" fontId="3" fillId="6165" borderId="5471" xfId="0" applyFont="1" applyFill="1" applyBorder="1" applyAlignment="1">
      <alignment vertical="center"/>
    </xf>
    <xf numFmtId="0" fontId="3" fillId="6166" borderId="5472" xfId="0" applyFont="1" applyFill="1" applyBorder="1" applyAlignment="1">
      <alignment vertical="center"/>
    </xf>
    <xf numFmtId="0" fontId="3" fillId="6168" borderId="5473" xfId="0" applyFont="1" applyFill="1" applyBorder="1" applyAlignment="1">
      <alignment vertical="center"/>
    </xf>
    <xf numFmtId="0" fontId="3" fillId="6169" borderId="5474" xfId="0" applyFont="1" applyFill="1" applyBorder="1" applyAlignment="1">
      <alignment vertical="center"/>
    </xf>
    <xf numFmtId="0" fontId="3" fillId="6170" borderId="5475" xfId="0" applyFont="1" applyFill="1" applyBorder="1" applyAlignment="1">
      <alignment vertical="center"/>
    </xf>
    <xf numFmtId="4" fontId="3" fillId="6171" borderId="5476" xfId="0" applyNumberFormat="1" applyFont="1" applyFill="1" applyBorder="1" applyAlignment="1">
      <alignment vertical="center"/>
    </xf>
    <xf numFmtId="4" fontId="3" fillId="6172" borderId="5477" xfId="0" applyNumberFormat="1" applyFont="1" applyFill="1" applyBorder="1" applyAlignment="1">
      <alignment vertical="center"/>
    </xf>
    <xf numFmtId="4" fontId="3" fillId="6173" borderId="5478" xfId="0" applyNumberFormat="1" applyFont="1" applyFill="1" applyBorder="1" applyAlignment="1">
      <alignment vertical="center"/>
    </xf>
    <xf numFmtId="0" fontId="3" fillId="6174" borderId="5479" xfId="0" applyFont="1" applyFill="1" applyBorder="1" applyAlignment="1">
      <alignment vertical="center"/>
    </xf>
    <xf numFmtId="0" fontId="3" fillId="6175" borderId="5480" xfId="0" applyFont="1" applyFill="1" applyBorder="1" applyAlignment="1">
      <alignment vertical="center"/>
    </xf>
    <xf numFmtId="0" fontId="3" fillId="6177" borderId="5481" xfId="0" applyFont="1" applyFill="1" applyBorder="1" applyAlignment="1">
      <alignment vertical="center"/>
    </xf>
    <xf numFmtId="0" fontId="3" fillId="6178" borderId="5482" xfId="0" applyFont="1" applyFill="1" applyBorder="1" applyAlignment="1">
      <alignment vertical="center"/>
    </xf>
    <xf numFmtId="0" fontId="3" fillId="6179" borderId="5483" xfId="0" applyFont="1" applyFill="1" applyBorder="1" applyAlignment="1">
      <alignment vertical="center"/>
    </xf>
    <xf numFmtId="4" fontId="3" fillId="6180" borderId="5484" xfId="0" applyNumberFormat="1" applyFont="1" applyFill="1" applyBorder="1" applyAlignment="1">
      <alignment vertical="center"/>
    </xf>
    <xf numFmtId="4" fontId="3" fillId="6181" borderId="5485" xfId="0" applyNumberFormat="1" applyFont="1" applyFill="1" applyBorder="1" applyAlignment="1">
      <alignment vertical="center"/>
    </xf>
    <xf numFmtId="4" fontId="3" fillId="6182" borderId="5486" xfId="0" applyNumberFormat="1" applyFont="1" applyFill="1" applyBorder="1" applyAlignment="1">
      <alignment vertical="center"/>
    </xf>
    <xf numFmtId="0" fontId="3" fillId="6183" borderId="5487" xfId="0" applyFont="1" applyFill="1" applyBorder="1" applyAlignment="1">
      <alignment vertical="center"/>
    </xf>
    <xf numFmtId="0" fontId="3" fillId="6184" borderId="5488" xfId="0" applyFont="1" applyFill="1" applyBorder="1" applyAlignment="1">
      <alignment vertical="center"/>
    </xf>
    <xf numFmtId="0" fontId="3" fillId="6186" borderId="5489" xfId="0" applyFont="1" applyFill="1" applyBorder="1" applyAlignment="1">
      <alignment vertical="center"/>
    </xf>
    <xf numFmtId="0" fontId="3" fillId="6187" borderId="5490" xfId="0" applyFont="1" applyFill="1" applyBorder="1" applyAlignment="1">
      <alignment vertical="center"/>
    </xf>
    <xf numFmtId="0" fontId="3" fillId="6188" borderId="5491" xfId="0" applyFont="1" applyFill="1" applyBorder="1" applyAlignment="1">
      <alignment vertical="center"/>
    </xf>
    <xf numFmtId="4" fontId="3" fillId="6189" borderId="5492" xfId="0" applyNumberFormat="1" applyFont="1" applyFill="1" applyBorder="1" applyAlignment="1">
      <alignment vertical="center"/>
    </xf>
    <xf numFmtId="4" fontId="3" fillId="6190" borderId="5493" xfId="0" applyNumberFormat="1" applyFont="1" applyFill="1" applyBorder="1" applyAlignment="1">
      <alignment vertical="center"/>
    </xf>
    <xf numFmtId="4" fontId="3" fillId="6191" borderId="5494" xfId="0" applyNumberFormat="1" applyFont="1" applyFill="1" applyBorder="1" applyAlignment="1">
      <alignment vertical="center"/>
    </xf>
    <xf numFmtId="0" fontId="3" fillId="6192" borderId="5495" xfId="0" applyFont="1" applyFill="1" applyBorder="1" applyAlignment="1">
      <alignment vertical="center"/>
    </xf>
    <xf numFmtId="0" fontId="3" fillId="6193" borderId="5496" xfId="0" applyFont="1" applyFill="1" applyBorder="1" applyAlignment="1">
      <alignment vertical="center"/>
    </xf>
    <xf numFmtId="0" fontId="3" fillId="6195" borderId="5497" xfId="0" applyFont="1" applyFill="1" applyBorder="1" applyAlignment="1">
      <alignment vertical="center"/>
    </xf>
    <xf numFmtId="0" fontId="3" fillId="6196" borderId="5498" xfId="0" applyFont="1" applyFill="1" applyBorder="1" applyAlignment="1">
      <alignment vertical="center"/>
    </xf>
    <xf numFmtId="0" fontId="3" fillId="6197" borderId="5499" xfId="0" applyFont="1" applyFill="1" applyBorder="1" applyAlignment="1">
      <alignment vertical="center"/>
    </xf>
    <xf numFmtId="4" fontId="3" fillId="6198" borderId="5500" xfId="0" applyNumberFormat="1" applyFont="1" applyFill="1" applyBorder="1" applyAlignment="1">
      <alignment vertical="center"/>
    </xf>
    <xf numFmtId="4" fontId="3" fillId="6199" borderId="5501" xfId="0" applyNumberFormat="1" applyFont="1" applyFill="1" applyBorder="1" applyAlignment="1">
      <alignment vertical="center"/>
    </xf>
    <xf numFmtId="4" fontId="3" fillId="6200" borderId="5502" xfId="0" applyNumberFormat="1" applyFont="1" applyFill="1" applyBorder="1" applyAlignment="1">
      <alignment vertical="center"/>
    </xf>
    <xf numFmtId="0" fontId="3" fillId="6201" borderId="5503" xfId="0" applyFont="1" applyFill="1" applyBorder="1" applyAlignment="1">
      <alignment vertical="center"/>
    </xf>
    <xf numFmtId="0" fontId="3" fillId="6202" borderId="5504" xfId="0" applyFont="1" applyFill="1" applyBorder="1" applyAlignment="1">
      <alignment vertical="center"/>
    </xf>
    <xf numFmtId="0" fontId="3" fillId="6204" borderId="5505" xfId="0" applyFont="1" applyFill="1" applyBorder="1" applyAlignment="1">
      <alignment vertical="center"/>
    </xf>
    <xf numFmtId="0" fontId="3" fillId="6205" borderId="5506" xfId="0" applyFont="1" applyFill="1" applyBorder="1" applyAlignment="1">
      <alignment vertical="center"/>
    </xf>
    <xf numFmtId="0" fontId="3" fillId="6206" borderId="5507" xfId="0" applyFont="1" applyFill="1" applyBorder="1" applyAlignment="1">
      <alignment vertical="center"/>
    </xf>
    <xf numFmtId="4" fontId="3" fillId="6207" borderId="5508" xfId="0" applyNumberFormat="1" applyFont="1" applyFill="1" applyBorder="1" applyAlignment="1">
      <alignment vertical="center"/>
    </xf>
    <xf numFmtId="4" fontId="3" fillId="6208" borderId="5509" xfId="0" applyNumberFormat="1" applyFont="1" applyFill="1" applyBorder="1" applyAlignment="1">
      <alignment vertical="center"/>
    </xf>
    <xf numFmtId="4" fontId="3" fillId="6209" borderId="5510" xfId="0" applyNumberFormat="1" applyFont="1" applyFill="1" applyBorder="1" applyAlignment="1">
      <alignment vertical="center"/>
    </xf>
    <xf numFmtId="0" fontId="3" fillId="6210" borderId="5511" xfId="0" applyFont="1" applyFill="1" applyBorder="1" applyAlignment="1">
      <alignment vertical="center"/>
    </xf>
    <xf numFmtId="0" fontId="3" fillId="6211" borderId="5512" xfId="0" applyFont="1" applyFill="1" applyBorder="1" applyAlignment="1">
      <alignment vertical="center"/>
    </xf>
    <xf numFmtId="0" fontId="3" fillId="6213" borderId="5513" xfId="0" applyFont="1" applyFill="1" applyBorder="1" applyAlignment="1">
      <alignment vertical="center"/>
    </xf>
    <xf numFmtId="0" fontId="3" fillId="6214" borderId="5514" xfId="0" applyFont="1" applyFill="1" applyBorder="1" applyAlignment="1">
      <alignment vertical="center"/>
    </xf>
    <xf numFmtId="0" fontId="3" fillId="6215" borderId="5515" xfId="0" applyFont="1" applyFill="1" applyBorder="1" applyAlignment="1">
      <alignment vertical="center"/>
    </xf>
    <xf numFmtId="4" fontId="3" fillId="6216" borderId="5516" xfId="0" applyNumberFormat="1" applyFont="1" applyFill="1" applyBorder="1" applyAlignment="1">
      <alignment vertical="center"/>
    </xf>
    <xf numFmtId="4" fontId="3" fillId="6217" borderId="5517" xfId="0" applyNumberFormat="1" applyFont="1" applyFill="1" applyBorder="1" applyAlignment="1">
      <alignment vertical="center"/>
    </xf>
    <xf numFmtId="4" fontId="3" fillId="6218" borderId="5518" xfId="0" applyNumberFormat="1" applyFont="1" applyFill="1" applyBorder="1" applyAlignment="1">
      <alignment vertical="center"/>
    </xf>
    <xf numFmtId="0" fontId="3" fillId="6219" borderId="5519" xfId="0" applyFont="1" applyFill="1" applyBorder="1" applyAlignment="1">
      <alignment vertical="center"/>
    </xf>
    <xf numFmtId="0" fontId="3" fillId="6220" borderId="5520" xfId="0" applyFont="1" applyFill="1" applyBorder="1" applyAlignment="1">
      <alignment vertical="center"/>
    </xf>
    <xf numFmtId="0" fontId="3" fillId="6222" borderId="5521" xfId="0" applyFont="1" applyFill="1" applyBorder="1" applyAlignment="1">
      <alignment vertical="center"/>
    </xf>
    <xf numFmtId="0" fontId="3" fillId="6223" borderId="5522" xfId="0" applyFont="1" applyFill="1" applyBorder="1" applyAlignment="1">
      <alignment vertical="center"/>
    </xf>
    <xf numFmtId="0" fontId="3" fillId="6224" borderId="5523" xfId="0" applyFont="1" applyFill="1" applyBorder="1" applyAlignment="1">
      <alignment vertical="center"/>
    </xf>
    <xf numFmtId="4" fontId="3" fillId="6225" borderId="5524" xfId="0" applyNumberFormat="1" applyFont="1" applyFill="1" applyBorder="1" applyAlignment="1">
      <alignment vertical="center"/>
    </xf>
    <xf numFmtId="4" fontId="3" fillId="6226" borderId="5525" xfId="0" applyNumberFormat="1" applyFont="1" applyFill="1" applyBorder="1" applyAlignment="1">
      <alignment vertical="center"/>
    </xf>
    <xf numFmtId="4" fontId="3" fillId="6227" borderId="5526" xfId="0" applyNumberFormat="1" applyFont="1" applyFill="1" applyBorder="1" applyAlignment="1">
      <alignment vertical="center"/>
    </xf>
    <xf numFmtId="0" fontId="3" fillId="6228" borderId="5527" xfId="0" applyFont="1" applyFill="1" applyBorder="1" applyAlignment="1">
      <alignment vertical="center"/>
    </xf>
    <xf numFmtId="0" fontId="3" fillId="6229" borderId="5528" xfId="0" applyFont="1" applyFill="1" applyBorder="1" applyAlignment="1">
      <alignment vertical="center"/>
    </xf>
    <xf numFmtId="0" fontId="3" fillId="6231" borderId="5529" xfId="0" applyFont="1" applyFill="1" applyBorder="1" applyAlignment="1">
      <alignment vertical="center"/>
    </xf>
    <xf numFmtId="0" fontId="3" fillId="6232" borderId="5530" xfId="0" applyFont="1" applyFill="1" applyBorder="1" applyAlignment="1">
      <alignment vertical="center"/>
    </xf>
    <xf numFmtId="0" fontId="3" fillId="6233" borderId="5531" xfId="0" applyFont="1" applyFill="1" applyBorder="1" applyAlignment="1">
      <alignment vertical="center"/>
    </xf>
    <xf numFmtId="4" fontId="3" fillId="6234" borderId="5532" xfId="0" applyNumberFormat="1" applyFont="1" applyFill="1" applyBorder="1" applyAlignment="1">
      <alignment vertical="center"/>
    </xf>
    <xf numFmtId="4" fontId="3" fillId="6235" borderId="5533" xfId="0" applyNumberFormat="1" applyFont="1" applyFill="1" applyBorder="1" applyAlignment="1">
      <alignment vertical="center"/>
    </xf>
    <xf numFmtId="4" fontId="3" fillId="6236" borderId="5534" xfId="0" applyNumberFormat="1" applyFont="1" applyFill="1" applyBorder="1" applyAlignment="1">
      <alignment vertical="center"/>
    </xf>
    <xf numFmtId="0" fontId="3" fillId="6237" borderId="5535" xfId="0" applyFont="1" applyFill="1" applyBorder="1" applyAlignment="1">
      <alignment vertical="center"/>
    </xf>
    <xf numFmtId="0" fontId="3" fillId="6238" borderId="5536" xfId="0" applyFont="1" applyFill="1" applyBorder="1" applyAlignment="1">
      <alignment vertical="center"/>
    </xf>
    <xf numFmtId="0" fontId="3" fillId="6240" borderId="5537" xfId="0" applyFont="1" applyFill="1" applyBorder="1" applyAlignment="1">
      <alignment vertical="center"/>
    </xf>
    <xf numFmtId="0" fontId="3" fillId="6241" borderId="5538" xfId="0" applyFont="1" applyFill="1" applyBorder="1" applyAlignment="1">
      <alignment vertical="center"/>
    </xf>
    <xf numFmtId="0" fontId="3" fillId="6242" borderId="5539" xfId="0" applyFont="1" applyFill="1" applyBorder="1" applyAlignment="1">
      <alignment vertical="center"/>
    </xf>
    <xf numFmtId="4" fontId="3" fillId="6243" borderId="5540" xfId="0" applyNumberFormat="1" applyFont="1" applyFill="1" applyBorder="1" applyAlignment="1">
      <alignment vertical="center"/>
    </xf>
    <xf numFmtId="4" fontId="3" fillId="6244" borderId="5541" xfId="0" applyNumberFormat="1" applyFont="1" applyFill="1" applyBorder="1" applyAlignment="1">
      <alignment vertical="center"/>
    </xf>
    <xf numFmtId="4" fontId="3" fillId="6245" borderId="5542" xfId="0" applyNumberFormat="1" applyFont="1" applyFill="1" applyBorder="1" applyAlignment="1">
      <alignment vertical="center"/>
    </xf>
    <xf numFmtId="0" fontId="3" fillId="6246" borderId="5543" xfId="0" applyFont="1" applyFill="1" applyBorder="1" applyAlignment="1">
      <alignment vertical="center"/>
    </xf>
    <xf numFmtId="0" fontId="3" fillId="6247" borderId="5544" xfId="0" applyFont="1" applyFill="1" applyBorder="1" applyAlignment="1">
      <alignment vertical="center"/>
    </xf>
    <xf numFmtId="0" fontId="3" fillId="6249" borderId="5545" xfId="0" applyFont="1" applyFill="1" applyBorder="1" applyAlignment="1">
      <alignment vertical="center"/>
    </xf>
    <xf numFmtId="0" fontId="3" fillId="6250" borderId="5546" xfId="0" applyFont="1" applyFill="1" applyBorder="1" applyAlignment="1">
      <alignment vertical="center"/>
    </xf>
    <xf numFmtId="0" fontId="3" fillId="6251" borderId="5547" xfId="0" applyFont="1" applyFill="1" applyBorder="1" applyAlignment="1">
      <alignment vertical="center"/>
    </xf>
    <xf numFmtId="4" fontId="3" fillId="6252" borderId="5548" xfId="0" applyNumberFormat="1" applyFont="1" applyFill="1" applyBorder="1" applyAlignment="1">
      <alignment vertical="center"/>
    </xf>
    <xf numFmtId="4" fontId="3" fillId="6253" borderId="5549" xfId="0" applyNumberFormat="1" applyFont="1" applyFill="1" applyBorder="1" applyAlignment="1">
      <alignment vertical="center"/>
    </xf>
    <xf numFmtId="4" fontId="3" fillId="6254" borderId="5550" xfId="0" applyNumberFormat="1" applyFont="1" applyFill="1" applyBorder="1" applyAlignment="1">
      <alignment vertical="center"/>
    </xf>
    <xf numFmtId="0" fontId="3" fillId="6255" borderId="5551" xfId="0" applyFont="1" applyFill="1" applyBorder="1" applyAlignment="1">
      <alignment vertical="center"/>
    </xf>
    <xf numFmtId="0" fontId="3" fillId="6256" borderId="5552" xfId="0" applyFont="1" applyFill="1" applyBorder="1" applyAlignment="1">
      <alignment vertical="center"/>
    </xf>
    <xf numFmtId="0" fontId="3" fillId="6258" borderId="5553" xfId="0" applyFont="1" applyFill="1" applyBorder="1" applyAlignment="1">
      <alignment vertical="center"/>
    </xf>
    <xf numFmtId="0" fontId="3" fillId="6259" borderId="5554" xfId="0" applyFont="1" applyFill="1" applyBorder="1" applyAlignment="1">
      <alignment vertical="center"/>
    </xf>
    <xf numFmtId="0" fontId="3" fillId="6260" borderId="5555" xfId="0" applyFont="1" applyFill="1" applyBorder="1" applyAlignment="1">
      <alignment vertical="center"/>
    </xf>
    <xf numFmtId="4" fontId="3" fillId="6261" borderId="5556" xfId="0" applyNumberFormat="1" applyFont="1" applyFill="1" applyBorder="1" applyAlignment="1">
      <alignment vertical="center"/>
    </xf>
    <xf numFmtId="4" fontId="3" fillId="6262" borderId="5557" xfId="0" applyNumberFormat="1" applyFont="1" applyFill="1" applyBorder="1" applyAlignment="1">
      <alignment vertical="center"/>
    </xf>
    <xf numFmtId="4" fontId="3" fillId="6263" borderId="5558" xfId="0" applyNumberFormat="1" applyFont="1" applyFill="1" applyBorder="1" applyAlignment="1">
      <alignment vertical="center"/>
    </xf>
    <xf numFmtId="0" fontId="3" fillId="6264" borderId="5559" xfId="0" applyFont="1" applyFill="1" applyBorder="1" applyAlignment="1">
      <alignment vertical="center"/>
    </xf>
    <xf numFmtId="0" fontId="3" fillId="6265" borderId="5560" xfId="0" applyFont="1" applyFill="1" applyBorder="1" applyAlignment="1">
      <alignment vertical="center"/>
    </xf>
    <xf numFmtId="0" fontId="3" fillId="6267" borderId="5561" xfId="0" applyFont="1" applyFill="1" applyBorder="1" applyAlignment="1">
      <alignment vertical="center"/>
    </xf>
    <xf numFmtId="0" fontId="3" fillId="6268" borderId="5562" xfId="0" applyFont="1" applyFill="1" applyBorder="1" applyAlignment="1">
      <alignment vertical="center"/>
    </xf>
    <xf numFmtId="0" fontId="3" fillId="6269" borderId="5563" xfId="0" applyFont="1" applyFill="1" applyBorder="1" applyAlignment="1">
      <alignment vertical="center"/>
    </xf>
    <xf numFmtId="4" fontId="3" fillId="6270" borderId="5564" xfId="0" applyNumberFormat="1" applyFont="1" applyFill="1" applyBorder="1" applyAlignment="1">
      <alignment vertical="center"/>
    </xf>
    <xf numFmtId="4" fontId="3" fillId="6271" borderId="5565" xfId="0" applyNumberFormat="1" applyFont="1" applyFill="1" applyBorder="1" applyAlignment="1">
      <alignment vertical="center"/>
    </xf>
    <xf numFmtId="4" fontId="3" fillId="6272" borderId="5566" xfId="0" applyNumberFormat="1" applyFont="1" applyFill="1" applyBorder="1" applyAlignment="1">
      <alignment vertical="center"/>
    </xf>
    <xf numFmtId="0" fontId="3" fillId="6273" borderId="5567" xfId="0" applyFont="1" applyFill="1" applyBorder="1" applyAlignment="1">
      <alignment vertical="center"/>
    </xf>
    <xf numFmtId="0" fontId="3" fillId="6274" borderId="5568" xfId="0" applyFont="1" applyFill="1" applyBorder="1" applyAlignment="1">
      <alignment vertical="center"/>
    </xf>
    <xf numFmtId="0" fontId="3" fillId="6276" borderId="5569" xfId="0" applyFont="1" applyFill="1" applyBorder="1" applyAlignment="1">
      <alignment vertical="center"/>
    </xf>
    <xf numFmtId="0" fontId="3" fillId="6277" borderId="5570" xfId="0" applyFont="1" applyFill="1" applyBorder="1" applyAlignment="1">
      <alignment vertical="center"/>
    </xf>
    <xf numFmtId="0" fontId="3" fillId="6278" borderId="5571" xfId="0" applyFont="1" applyFill="1" applyBorder="1" applyAlignment="1">
      <alignment vertical="center"/>
    </xf>
    <xf numFmtId="4" fontId="3" fillId="6279" borderId="5572" xfId="0" applyNumberFormat="1" applyFont="1" applyFill="1" applyBorder="1" applyAlignment="1">
      <alignment vertical="center"/>
    </xf>
    <xf numFmtId="4" fontId="3" fillId="6280" borderId="5573" xfId="0" applyNumberFormat="1" applyFont="1" applyFill="1" applyBorder="1" applyAlignment="1">
      <alignment vertical="center"/>
    </xf>
    <xf numFmtId="4" fontId="3" fillId="6281" borderId="5574" xfId="0" applyNumberFormat="1" applyFont="1" applyFill="1" applyBorder="1" applyAlignment="1">
      <alignment vertical="center"/>
    </xf>
    <xf numFmtId="0" fontId="3" fillId="6282" borderId="5575" xfId="0" applyFont="1" applyFill="1" applyBorder="1" applyAlignment="1">
      <alignment vertical="center"/>
    </xf>
    <xf numFmtId="0" fontId="3" fillId="6283" borderId="5576" xfId="0" applyFont="1" applyFill="1" applyBorder="1" applyAlignment="1">
      <alignment vertical="center"/>
    </xf>
    <xf numFmtId="0" fontId="3" fillId="6285" borderId="5577" xfId="0" applyFont="1" applyFill="1" applyBorder="1" applyAlignment="1">
      <alignment vertical="center"/>
    </xf>
    <xf numFmtId="0" fontId="3" fillId="6286" borderId="5578" xfId="0" applyFont="1" applyFill="1" applyBorder="1" applyAlignment="1">
      <alignment vertical="center"/>
    </xf>
    <xf numFmtId="0" fontId="3" fillId="6287" borderId="5579" xfId="0" applyFont="1" applyFill="1" applyBorder="1" applyAlignment="1">
      <alignment vertical="center"/>
    </xf>
    <xf numFmtId="4" fontId="3" fillId="6288" borderId="5580" xfId="0" applyNumberFormat="1" applyFont="1" applyFill="1" applyBorder="1" applyAlignment="1">
      <alignment vertical="center"/>
    </xf>
    <xf numFmtId="4" fontId="3" fillId="6289" borderId="5581" xfId="0" applyNumberFormat="1" applyFont="1" applyFill="1" applyBorder="1" applyAlignment="1">
      <alignment vertical="center"/>
    </xf>
    <xf numFmtId="4" fontId="3" fillId="6290" borderId="5582" xfId="0" applyNumberFormat="1" applyFont="1" applyFill="1" applyBorder="1" applyAlignment="1">
      <alignment vertical="center"/>
    </xf>
    <xf numFmtId="0" fontId="3" fillId="6291" borderId="5583" xfId="0" applyFont="1" applyFill="1" applyBorder="1" applyAlignment="1">
      <alignment vertical="center"/>
    </xf>
    <xf numFmtId="0" fontId="3" fillId="6292" borderId="5584" xfId="0" applyFont="1" applyFill="1" applyBorder="1" applyAlignment="1">
      <alignment vertical="center"/>
    </xf>
    <xf numFmtId="0" fontId="3" fillId="6294" borderId="5585" xfId="0" applyFont="1" applyFill="1" applyBorder="1" applyAlignment="1">
      <alignment vertical="center"/>
    </xf>
    <xf numFmtId="0" fontId="3" fillId="6295" borderId="5586" xfId="0" applyFont="1" applyFill="1" applyBorder="1" applyAlignment="1">
      <alignment vertical="center"/>
    </xf>
    <xf numFmtId="0" fontId="3" fillId="6296" borderId="5587" xfId="0" applyFont="1" applyFill="1" applyBorder="1" applyAlignment="1">
      <alignment vertical="center"/>
    </xf>
    <xf numFmtId="4" fontId="3" fillId="6297" borderId="5588" xfId="0" applyNumberFormat="1" applyFont="1" applyFill="1" applyBorder="1" applyAlignment="1">
      <alignment vertical="center"/>
    </xf>
    <xf numFmtId="4" fontId="3" fillId="6298" borderId="5589" xfId="0" applyNumberFormat="1" applyFont="1" applyFill="1" applyBorder="1" applyAlignment="1">
      <alignment vertical="center"/>
    </xf>
    <xf numFmtId="4" fontId="3" fillId="6299" borderId="5590" xfId="0" applyNumberFormat="1" applyFont="1" applyFill="1" applyBorder="1" applyAlignment="1">
      <alignment vertical="center"/>
    </xf>
    <xf numFmtId="0" fontId="3" fillId="6300" borderId="5591" xfId="0" applyFont="1" applyFill="1" applyBorder="1" applyAlignment="1">
      <alignment vertical="center"/>
    </xf>
    <xf numFmtId="0" fontId="3" fillId="6301" borderId="5592" xfId="0" applyFont="1" applyFill="1" applyBorder="1" applyAlignment="1">
      <alignment vertical="center"/>
    </xf>
    <xf numFmtId="0" fontId="3" fillId="6303" borderId="5593" xfId="0" applyFont="1" applyFill="1" applyBorder="1" applyAlignment="1">
      <alignment vertical="center"/>
    </xf>
    <xf numFmtId="0" fontId="3" fillId="6304" borderId="5594" xfId="0" applyFont="1" applyFill="1" applyBorder="1" applyAlignment="1">
      <alignment vertical="center"/>
    </xf>
    <xf numFmtId="0" fontId="3" fillId="6305" borderId="5595" xfId="0" applyFont="1" applyFill="1" applyBorder="1" applyAlignment="1">
      <alignment vertical="center"/>
    </xf>
    <xf numFmtId="4" fontId="3" fillId="6306" borderId="5596" xfId="0" applyNumberFormat="1" applyFont="1" applyFill="1" applyBorder="1" applyAlignment="1">
      <alignment vertical="center"/>
    </xf>
    <xf numFmtId="4" fontId="3" fillId="6307" borderId="5597" xfId="0" applyNumberFormat="1" applyFont="1" applyFill="1" applyBorder="1" applyAlignment="1">
      <alignment vertical="center"/>
    </xf>
    <xf numFmtId="4" fontId="3" fillId="6308" borderId="5598" xfId="0" applyNumberFormat="1" applyFont="1" applyFill="1" applyBorder="1" applyAlignment="1">
      <alignment vertical="center"/>
    </xf>
    <xf numFmtId="0" fontId="3" fillId="6309" borderId="5599" xfId="0" applyFont="1" applyFill="1" applyBorder="1" applyAlignment="1">
      <alignment vertical="center"/>
    </xf>
    <xf numFmtId="0" fontId="3" fillId="6310" borderId="5600" xfId="0" applyFont="1" applyFill="1" applyBorder="1" applyAlignment="1">
      <alignment vertical="center"/>
    </xf>
    <xf numFmtId="0" fontId="3" fillId="6312" borderId="5601" xfId="0" applyFont="1" applyFill="1" applyBorder="1" applyAlignment="1">
      <alignment vertical="center"/>
    </xf>
    <xf numFmtId="0" fontId="3" fillId="6313" borderId="5602" xfId="0" applyFont="1" applyFill="1" applyBorder="1" applyAlignment="1">
      <alignment vertical="center"/>
    </xf>
    <xf numFmtId="0" fontId="3" fillId="6314" borderId="5603" xfId="0" applyFont="1" applyFill="1" applyBorder="1" applyAlignment="1">
      <alignment vertical="center"/>
    </xf>
    <xf numFmtId="4" fontId="3" fillId="6315" borderId="5604" xfId="0" applyNumberFormat="1" applyFont="1" applyFill="1" applyBorder="1" applyAlignment="1">
      <alignment vertical="center"/>
    </xf>
    <xf numFmtId="4" fontId="3" fillId="6316" borderId="5605" xfId="0" applyNumberFormat="1" applyFont="1" applyFill="1" applyBorder="1" applyAlignment="1">
      <alignment vertical="center"/>
    </xf>
    <xf numFmtId="4" fontId="3" fillId="6317" borderId="5606" xfId="0" applyNumberFormat="1" applyFont="1" applyFill="1" applyBorder="1" applyAlignment="1">
      <alignment vertical="center"/>
    </xf>
    <xf numFmtId="0" fontId="3" fillId="6318" borderId="5607" xfId="0" applyFont="1" applyFill="1" applyBorder="1" applyAlignment="1">
      <alignment vertical="center"/>
    </xf>
    <xf numFmtId="0" fontId="3" fillId="6319" borderId="5608" xfId="0" applyFont="1" applyFill="1" applyBorder="1" applyAlignment="1">
      <alignment vertical="center"/>
    </xf>
    <xf numFmtId="0" fontId="3" fillId="6321" borderId="5609" xfId="0" applyFont="1" applyFill="1" applyBorder="1" applyAlignment="1">
      <alignment vertical="center"/>
    </xf>
    <xf numFmtId="0" fontId="3" fillId="6322" borderId="5610" xfId="0" applyFont="1" applyFill="1" applyBorder="1" applyAlignment="1">
      <alignment vertical="center"/>
    </xf>
    <xf numFmtId="0" fontId="3" fillId="6323" borderId="5611" xfId="0" applyFont="1" applyFill="1" applyBorder="1" applyAlignment="1">
      <alignment vertical="center"/>
    </xf>
    <xf numFmtId="4" fontId="3" fillId="6324" borderId="5612" xfId="0" applyNumberFormat="1" applyFont="1" applyFill="1" applyBorder="1" applyAlignment="1">
      <alignment vertical="center"/>
    </xf>
    <xf numFmtId="4" fontId="3" fillId="6325" borderId="5613" xfId="0" applyNumberFormat="1" applyFont="1" applyFill="1" applyBorder="1" applyAlignment="1">
      <alignment vertical="center"/>
    </xf>
    <xf numFmtId="4" fontId="3" fillId="6326" borderId="5614" xfId="0" applyNumberFormat="1" applyFont="1" applyFill="1" applyBorder="1" applyAlignment="1">
      <alignment vertical="center"/>
    </xf>
    <xf numFmtId="0" fontId="3" fillId="6327" borderId="5615" xfId="0" applyFont="1" applyFill="1" applyBorder="1" applyAlignment="1">
      <alignment vertical="center"/>
    </xf>
    <xf numFmtId="0" fontId="3" fillId="6328" borderId="5616" xfId="0" applyFont="1" applyFill="1" applyBorder="1" applyAlignment="1">
      <alignment vertical="center"/>
    </xf>
    <xf numFmtId="0" fontId="3" fillId="6330" borderId="5617" xfId="0" applyFont="1" applyFill="1" applyBorder="1" applyAlignment="1">
      <alignment vertical="center"/>
    </xf>
    <xf numFmtId="0" fontId="3" fillId="6331" borderId="5618" xfId="0" applyFont="1" applyFill="1" applyBorder="1" applyAlignment="1">
      <alignment vertical="center"/>
    </xf>
    <xf numFmtId="0" fontId="3" fillId="6332" borderId="5619" xfId="0" applyFont="1" applyFill="1" applyBorder="1" applyAlignment="1">
      <alignment vertical="center"/>
    </xf>
    <xf numFmtId="4" fontId="3" fillId="6333" borderId="5620" xfId="0" applyNumberFormat="1" applyFont="1" applyFill="1" applyBorder="1" applyAlignment="1">
      <alignment vertical="center"/>
    </xf>
    <xf numFmtId="4" fontId="3" fillId="6334" borderId="5621" xfId="0" applyNumberFormat="1" applyFont="1" applyFill="1" applyBorder="1" applyAlignment="1">
      <alignment vertical="center"/>
    </xf>
    <xf numFmtId="4" fontId="3" fillId="6335" borderId="5622" xfId="0" applyNumberFormat="1" applyFont="1" applyFill="1" applyBorder="1" applyAlignment="1">
      <alignment vertical="center"/>
    </xf>
    <xf numFmtId="0" fontId="3" fillId="6336" borderId="5623" xfId="0" applyFont="1" applyFill="1" applyBorder="1" applyAlignment="1">
      <alignment vertical="center"/>
    </xf>
    <xf numFmtId="0" fontId="3" fillId="6337" borderId="5624" xfId="0" applyFont="1" applyFill="1" applyBorder="1" applyAlignment="1">
      <alignment vertical="center"/>
    </xf>
    <xf numFmtId="0" fontId="3" fillId="6339" borderId="5625" xfId="0" applyFont="1" applyFill="1" applyBorder="1" applyAlignment="1">
      <alignment vertical="center"/>
    </xf>
    <xf numFmtId="0" fontId="3" fillId="6340" borderId="5626" xfId="0" applyFont="1" applyFill="1" applyBorder="1" applyAlignment="1">
      <alignment vertical="center"/>
    </xf>
    <xf numFmtId="0" fontId="3" fillId="6341" borderId="5627" xfId="0" applyFont="1" applyFill="1" applyBorder="1" applyAlignment="1">
      <alignment vertical="center"/>
    </xf>
    <xf numFmtId="4" fontId="3" fillId="6342" borderId="5628" xfId="0" applyNumberFormat="1" applyFont="1" applyFill="1" applyBorder="1" applyAlignment="1">
      <alignment vertical="center"/>
    </xf>
    <xf numFmtId="4" fontId="3" fillId="6343" borderId="5629" xfId="0" applyNumberFormat="1" applyFont="1" applyFill="1" applyBorder="1" applyAlignment="1">
      <alignment vertical="center"/>
    </xf>
    <xf numFmtId="4" fontId="3" fillId="6344" borderId="5630" xfId="0" applyNumberFormat="1" applyFont="1" applyFill="1" applyBorder="1" applyAlignment="1">
      <alignment vertical="center"/>
    </xf>
    <xf numFmtId="0" fontId="3" fillId="6345" borderId="5631" xfId="0" applyFont="1" applyFill="1" applyBorder="1" applyAlignment="1">
      <alignment vertical="center"/>
    </xf>
    <xf numFmtId="0" fontId="3" fillId="6346" borderId="5632" xfId="0" applyFont="1" applyFill="1" applyBorder="1" applyAlignment="1">
      <alignment vertical="center"/>
    </xf>
    <xf numFmtId="0" fontId="3" fillId="6348" borderId="5633" xfId="0" applyFont="1" applyFill="1" applyBorder="1" applyAlignment="1">
      <alignment vertical="center"/>
    </xf>
    <xf numFmtId="0" fontId="3" fillId="6349" borderId="5634" xfId="0" applyFont="1" applyFill="1" applyBorder="1" applyAlignment="1">
      <alignment vertical="center"/>
    </xf>
    <xf numFmtId="0" fontId="3" fillId="6350" borderId="5635" xfId="0" applyFont="1" applyFill="1" applyBorder="1" applyAlignment="1">
      <alignment vertical="center"/>
    </xf>
    <xf numFmtId="4" fontId="3" fillId="6351" borderId="5636" xfId="0" applyNumberFormat="1" applyFont="1" applyFill="1" applyBorder="1" applyAlignment="1">
      <alignment vertical="center"/>
    </xf>
    <xf numFmtId="4" fontId="3" fillId="6352" borderId="5637" xfId="0" applyNumberFormat="1" applyFont="1" applyFill="1" applyBorder="1" applyAlignment="1">
      <alignment vertical="center"/>
    </xf>
    <xf numFmtId="4" fontId="3" fillId="6353" borderId="5638" xfId="0" applyNumberFormat="1" applyFont="1" applyFill="1" applyBorder="1" applyAlignment="1">
      <alignment vertical="center"/>
    </xf>
    <xf numFmtId="0" fontId="3" fillId="6354" borderId="5639" xfId="0" applyFont="1" applyFill="1" applyBorder="1" applyAlignment="1">
      <alignment vertical="center"/>
    </xf>
    <xf numFmtId="0" fontId="3" fillId="6355" borderId="5640" xfId="0" applyFont="1" applyFill="1" applyBorder="1" applyAlignment="1">
      <alignment vertical="center"/>
    </xf>
    <xf numFmtId="0" fontId="3" fillId="6357" borderId="5641" xfId="0" applyFont="1" applyFill="1" applyBorder="1" applyAlignment="1">
      <alignment vertical="center"/>
    </xf>
    <xf numFmtId="0" fontId="3" fillId="6358" borderId="5642" xfId="0" applyFont="1" applyFill="1" applyBorder="1" applyAlignment="1">
      <alignment vertical="center"/>
    </xf>
    <xf numFmtId="0" fontId="3" fillId="6359" borderId="5643" xfId="0" applyFont="1" applyFill="1" applyBorder="1" applyAlignment="1">
      <alignment vertical="center"/>
    </xf>
    <xf numFmtId="4" fontId="3" fillId="6360" borderId="5644" xfId="0" applyNumberFormat="1" applyFont="1" applyFill="1" applyBorder="1" applyAlignment="1">
      <alignment vertical="center"/>
    </xf>
    <xf numFmtId="4" fontId="3" fillId="6361" borderId="5645" xfId="0" applyNumberFormat="1" applyFont="1" applyFill="1" applyBorder="1" applyAlignment="1">
      <alignment vertical="center"/>
    </xf>
    <xf numFmtId="4" fontId="3" fillId="6362" borderId="5646" xfId="0" applyNumberFormat="1" applyFont="1" applyFill="1" applyBorder="1" applyAlignment="1">
      <alignment vertical="center"/>
    </xf>
    <xf numFmtId="0" fontId="3" fillId="6363" borderId="5647" xfId="0" applyFont="1" applyFill="1" applyBorder="1" applyAlignment="1">
      <alignment vertical="center"/>
    </xf>
    <xf numFmtId="0" fontId="3" fillId="6364" borderId="5648" xfId="0" applyFont="1" applyFill="1" applyBorder="1" applyAlignment="1">
      <alignment vertical="center"/>
    </xf>
    <xf numFmtId="0" fontId="3" fillId="6366" borderId="5649" xfId="0" applyFont="1" applyFill="1" applyBorder="1" applyAlignment="1">
      <alignment vertical="center"/>
    </xf>
    <xf numFmtId="0" fontId="3" fillId="6367" borderId="5650" xfId="0" applyFont="1" applyFill="1" applyBorder="1" applyAlignment="1">
      <alignment vertical="center"/>
    </xf>
    <xf numFmtId="0" fontId="3" fillId="6368" borderId="5651" xfId="0" applyFont="1" applyFill="1" applyBorder="1" applyAlignment="1">
      <alignment vertical="center"/>
    </xf>
    <xf numFmtId="4" fontId="3" fillId="6369" borderId="5652" xfId="0" applyNumberFormat="1" applyFont="1" applyFill="1" applyBorder="1" applyAlignment="1">
      <alignment vertical="center"/>
    </xf>
    <xf numFmtId="4" fontId="3" fillId="6370" borderId="5653" xfId="0" applyNumberFormat="1" applyFont="1" applyFill="1" applyBorder="1" applyAlignment="1">
      <alignment vertical="center"/>
    </xf>
    <xf numFmtId="4" fontId="3" fillId="6371" borderId="5654" xfId="0" applyNumberFormat="1" applyFont="1" applyFill="1" applyBorder="1" applyAlignment="1">
      <alignment vertical="center"/>
    </xf>
    <xf numFmtId="0" fontId="3" fillId="6372" borderId="5655" xfId="0" applyFont="1" applyFill="1" applyBorder="1" applyAlignment="1">
      <alignment vertical="center"/>
    </xf>
    <xf numFmtId="0" fontId="3" fillId="6373" borderId="5656" xfId="0" applyFont="1" applyFill="1" applyBorder="1" applyAlignment="1">
      <alignment vertical="center"/>
    </xf>
    <xf numFmtId="0" fontId="3" fillId="6375" borderId="5657" xfId="0" applyFont="1" applyFill="1" applyBorder="1" applyAlignment="1">
      <alignment vertical="center"/>
    </xf>
    <xf numFmtId="0" fontId="3" fillId="6376" borderId="5658" xfId="0" applyFont="1" applyFill="1" applyBorder="1" applyAlignment="1">
      <alignment vertical="center"/>
    </xf>
    <xf numFmtId="0" fontId="3" fillId="6377" borderId="5659" xfId="0" applyFont="1" applyFill="1" applyBorder="1" applyAlignment="1">
      <alignment vertical="center"/>
    </xf>
    <xf numFmtId="4" fontId="3" fillId="6378" borderId="5660" xfId="0" applyNumberFormat="1" applyFont="1" applyFill="1" applyBorder="1" applyAlignment="1">
      <alignment vertical="center"/>
    </xf>
    <xf numFmtId="4" fontId="3" fillId="6379" borderId="5661" xfId="0" applyNumberFormat="1" applyFont="1" applyFill="1" applyBorder="1" applyAlignment="1">
      <alignment vertical="center"/>
    </xf>
    <xf numFmtId="4" fontId="3" fillId="6380" borderId="5662" xfId="0" applyNumberFormat="1" applyFont="1" applyFill="1" applyBorder="1" applyAlignment="1">
      <alignment vertical="center"/>
    </xf>
    <xf numFmtId="0" fontId="3" fillId="6381" borderId="5663" xfId="0" applyFont="1" applyFill="1" applyBorder="1" applyAlignment="1">
      <alignment vertical="center"/>
    </xf>
    <xf numFmtId="0" fontId="3" fillId="6382" borderId="5664" xfId="0" applyFont="1" applyFill="1" applyBorder="1" applyAlignment="1">
      <alignment vertical="center"/>
    </xf>
    <xf numFmtId="0" fontId="3" fillId="6384" borderId="5665" xfId="0" applyFont="1" applyFill="1" applyBorder="1" applyAlignment="1">
      <alignment vertical="center"/>
    </xf>
    <xf numFmtId="0" fontId="3" fillId="6385" borderId="5666" xfId="0" applyFont="1" applyFill="1" applyBorder="1" applyAlignment="1">
      <alignment vertical="center"/>
    </xf>
    <xf numFmtId="0" fontId="3" fillId="6386" borderId="5667" xfId="0" applyFont="1" applyFill="1" applyBorder="1" applyAlignment="1">
      <alignment vertical="center"/>
    </xf>
    <xf numFmtId="4" fontId="3" fillId="6387" borderId="5668" xfId="0" applyNumberFormat="1" applyFont="1" applyFill="1" applyBorder="1" applyAlignment="1">
      <alignment vertical="center"/>
    </xf>
    <xf numFmtId="4" fontId="3" fillId="6388" borderId="5669" xfId="0" applyNumberFormat="1" applyFont="1" applyFill="1" applyBorder="1" applyAlignment="1">
      <alignment vertical="center"/>
    </xf>
    <xf numFmtId="4" fontId="3" fillId="6389" borderId="5670" xfId="0" applyNumberFormat="1" applyFont="1" applyFill="1" applyBorder="1" applyAlignment="1">
      <alignment vertical="center"/>
    </xf>
    <xf numFmtId="0" fontId="3" fillId="6390" borderId="5671" xfId="0" applyFont="1" applyFill="1" applyBorder="1" applyAlignment="1">
      <alignment vertical="center"/>
    </xf>
    <xf numFmtId="0" fontId="3" fillId="6391" borderId="5672" xfId="0" applyFont="1" applyFill="1" applyBorder="1" applyAlignment="1">
      <alignment vertical="center"/>
    </xf>
    <xf numFmtId="0" fontId="3" fillId="6393" borderId="5673" xfId="0" applyFont="1" applyFill="1" applyBorder="1" applyAlignment="1">
      <alignment vertical="center"/>
    </xf>
    <xf numFmtId="0" fontId="3" fillId="6394" borderId="5674" xfId="0" applyFont="1" applyFill="1" applyBorder="1" applyAlignment="1">
      <alignment vertical="center"/>
    </xf>
    <xf numFmtId="0" fontId="3" fillId="6395" borderId="5675" xfId="0" applyFont="1" applyFill="1" applyBorder="1" applyAlignment="1">
      <alignment vertical="center"/>
    </xf>
    <xf numFmtId="4" fontId="3" fillId="6396" borderId="5676" xfId="0" applyNumberFormat="1" applyFont="1" applyFill="1" applyBorder="1" applyAlignment="1">
      <alignment vertical="center"/>
    </xf>
    <xf numFmtId="4" fontId="3" fillId="6397" borderId="5677" xfId="0" applyNumberFormat="1" applyFont="1" applyFill="1" applyBorder="1" applyAlignment="1">
      <alignment vertical="center"/>
    </xf>
    <xf numFmtId="4" fontId="3" fillId="6398" borderId="5678" xfId="0" applyNumberFormat="1" applyFont="1" applyFill="1" applyBorder="1" applyAlignment="1">
      <alignment vertical="center"/>
    </xf>
    <xf numFmtId="0" fontId="3" fillId="6399" borderId="5679" xfId="0" applyFont="1" applyFill="1" applyBorder="1" applyAlignment="1">
      <alignment vertical="center"/>
    </xf>
    <xf numFmtId="0" fontId="3" fillId="6400" borderId="5680" xfId="0" applyFont="1" applyFill="1" applyBorder="1" applyAlignment="1">
      <alignment vertical="center"/>
    </xf>
    <xf numFmtId="0" fontId="3" fillId="6402" borderId="5681" xfId="0" applyFont="1" applyFill="1" applyBorder="1" applyAlignment="1">
      <alignment vertical="center"/>
    </xf>
    <xf numFmtId="0" fontId="3" fillId="6403" borderId="5682" xfId="0" applyFont="1" applyFill="1" applyBorder="1" applyAlignment="1">
      <alignment vertical="center"/>
    </xf>
    <xf numFmtId="0" fontId="3" fillId="6404" borderId="5683" xfId="0" applyFont="1" applyFill="1" applyBorder="1" applyAlignment="1">
      <alignment vertical="center"/>
    </xf>
    <xf numFmtId="4" fontId="3" fillId="6405" borderId="5684" xfId="0" applyNumberFormat="1" applyFont="1" applyFill="1" applyBorder="1" applyAlignment="1">
      <alignment vertical="center"/>
    </xf>
    <xf numFmtId="4" fontId="3" fillId="6406" borderId="5685" xfId="0" applyNumberFormat="1" applyFont="1" applyFill="1" applyBorder="1" applyAlignment="1">
      <alignment vertical="center"/>
    </xf>
    <xf numFmtId="4" fontId="3" fillId="6407" borderId="5686" xfId="0" applyNumberFormat="1" applyFont="1" applyFill="1" applyBorder="1" applyAlignment="1">
      <alignment vertical="center"/>
    </xf>
    <xf numFmtId="0" fontId="3" fillId="6408" borderId="5687" xfId="0" applyFont="1" applyFill="1" applyBorder="1" applyAlignment="1">
      <alignment vertical="center"/>
    </xf>
    <xf numFmtId="0" fontId="3" fillId="6409" borderId="5688" xfId="0" applyFont="1" applyFill="1" applyBorder="1" applyAlignment="1">
      <alignment vertical="center"/>
    </xf>
    <xf numFmtId="0" fontId="3" fillId="6411" borderId="5689" xfId="0" applyFont="1" applyFill="1" applyBorder="1" applyAlignment="1">
      <alignment vertical="center"/>
    </xf>
    <xf numFmtId="0" fontId="3" fillId="6412" borderId="5690" xfId="0" applyFont="1" applyFill="1" applyBorder="1" applyAlignment="1">
      <alignment vertical="center"/>
    </xf>
    <xf numFmtId="0" fontId="3" fillId="6413" borderId="5691" xfId="0" applyFont="1" applyFill="1" applyBorder="1" applyAlignment="1">
      <alignment vertical="center"/>
    </xf>
    <xf numFmtId="4" fontId="3" fillId="6414" borderId="5692" xfId="0" applyNumberFormat="1" applyFont="1" applyFill="1" applyBorder="1" applyAlignment="1">
      <alignment vertical="center"/>
    </xf>
    <xf numFmtId="4" fontId="3" fillId="6415" borderId="5693" xfId="0" applyNumberFormat="1" applyFont="1" applyFill="1" applyBorder="1" applyAlignment="1">
      <alignment vertical="center"/>
    </xf>
    <xf numFmtId="4" fontId="3" fillId="6416" borderId="5694" xfId="0" applyNumberFormat="1" applyFont="1" applyFill="1" applyBorder="1" applyAlignment="1">
      <alignment vertical="center"/>
    </xf>
    <xf numFmtId="0" fontId="3" fillId="6417" borderId="5695" xfId="0" applyFont="1" applyFill="1" applyBorder="1" applyAlignment="1">
      <alignment vertical="center"/>
    </xf>
    <xf numFmtId="0" fontId="3" fillId="6418" borderId="5696" xfId="0" applyFont="1" applyFill="1" applyBorder="1" applyAlignment="1">
      <alignment vertical="center"/>
    </xf>
    <xf numFmtId="0" fontId="3" fillId="6420" borderId="5697" xfId="0" applyFont="1" applyFill="1" applyBorder="1" applyAlignment="1">
      <alignment vertical="center"/>
    </xf>
    <xf numFmtId="0" fontId="3" fillId="6421" borderId="5698" xfId="0" applyFont="1" applyFill="1" applyBorder="1" applyAlignment="1">
      <alignment vertical="center"/>
    </xf>
    <xf numFmtId="0" fontId="3" fillId="6422" borderId="5699" xfId="0" applyFont="1" applyFill="1" applyBorder="1" applyAlignment="1">
      <alignment vertical="center"/>
    </xf>
    <xf numFmtId="4" fontId="3" fillId="6423" borderId="5700" xfId="0" applyNumberFormat="1" applyFont="1" applyFill="1" applyBorder="1" applyAlignment="1">
      <alignment vertical="center"/>
    </xf>
    <xf numFmtId="4" fontId="3" fillId="6424" borderId="5701" xfId="0" applyNumberFormat="1" applyFont="1" applyFill="1" applyBorder="1" applyAlignment="1">
      <alignment vertical="center"/>
    </xf>
    <xf numFmtId="4" fontId="3" fillId="6425" borderId="5702" xfId="0" applyNumberFormat="1" applyFont="1" applyFill="1" applyBorder="1" applyAlignment="1">
      <alignment vertical="center"/>
    </xf>
    <xf numFmtId="0" fontId="3" fillId="6426" borderId="5703" xfId="0" applyFont="1" applyFill="1" applyBorder="1" applyAlignment="1">
      <alignment vertical="center"/>
    </xf>
    <xf numFmtId="0" fontId="3" fillId="6427" borderId="5704" xfId="0" applyFont="1" applyFill="1" applyBorder="1" applyAlignment="1">
      <alignment vertical="center"/>
    </xf>
    <xf numFmtId="0" fontId="3" fillId="6429" borderId="5705" xfId="0" applyFont="1" applyFill="1" applyBorder="1" applyAlignment="1">
      <alignment vertical="center"/>
    </xf>
    <xf numFmtId="0" fontId="3" fillId="6430" borderId="5706" xfId="0" applyFont="1" applyFill="1" applyBorder="1" applyAlignment="1">
      <alignment vertical="center"/>
    </xf>
    <xf numFmtId="0" fontId="3" fillId="6431" borderId="5707" xfId="0" applyFont="1" applyFill="1" applyBorder="1" applyAlignment="1">
      <alignment vertical="center"/>
    </xf>
    <xf numFmtId="4" fontId="3" fillId="6432" borderId="5708" xfId="0" applyNumberFormat="1" applyFont="1" applyFill="1" applyBorder="1" applyAlignment="1">
      <alignment vertical="center"/>
    </xf>
    <xf numFmtId="4" fontId="3" fillId="6433" borderId="5709" xfId="0" applyNumberFormat="1" applyFont="1" applyFill="1" applyBorder="1" applyAlignment="1">
      <alignment vertical="center"/>
    </xf>
    <xf numFmtId="4" fontId="3" fillId="6434" borderId="5710" xfId="0" applyNumberFormat="1" applyFont="1" applyFill="1" applyBorder="1" applyAlignment="1">
      <alignment vertical="center"/>
    </xf>
    <xf numFmtId="0" fontId="3" fillId="6435" borderId="5711" xfId="0" applyFont="1" applyFill="1" applyBorder="1" applyAlignment="1">
      <alignment vertical="center"/>
    </xf>
    <xf numFmtId="0" fontId="3" fillId="6436" borderId="5712" xfId="0" applyFont="1" applyFill="1" applyBorder="1" applyAlignment="1">
      <alignment vertical="center"/>
    </xf>
    <xf numFmtId="0" fontId="3" fillId="6438" borderId="5713" xfId="0" applyFont="1" applyFill="1" applyBorder="1" applyAlignment="1">
      <alignment vertical="center"/>
    </xf>
    <xf numFmtId="0" fontId="3" fillId="6439" borderId="5714" xfId="0" applyFont="1" applyFill="1" applyBorder="1" applyAlignment="1">
      <alignment vertical="center"/>
    </xf>
    <xf numFmtId="0" fontId="3" fillId="6440" borderId="5715" xfId="0" applyFont="1" applyFill="1" applyBorder="1" applyAlignment="1">
      <alignment vertical="center"/>
    </xf>
    <xf numFmtId="4" fontId="3" fillId="6441" borderId="5716" xfId="0" applyNumberFormat="1" applyFont="1" applyFill="1" applyBorder="1" applyAlignment="1">
      <alignment vertical="center"/>
    </xf>
    <xf numFmtId="4" fontId="3" fillId="6442" borderId="5717" xfId="0" applyNumberFormat="1" applyFont="1" applyFill="1" applyBorder="1" applyAlignment="1">
      <alignment vertical="center"/>
    </xf>
    <xf numFmtId="4" fontId="3" fillId="6443" borderId="5718" xfId="0" applyNumberFormat="1" applyFont="1" applyFill="1" applyBorder="1" applyAlignment="1">
      <alignment vertical="center"/>
    </xf>
    <xf numFmtId="0" fontId="3" fillId="6444" borderId="5719" xfId="0" applyFont="1" applyFill="1" applyBorder="1" applyAlignment="1">
      <alignment vertical="center"/>
    </xf>
    <xf numFmtId="0" fontId="3" fillId="6445" borderId="5720" xfId="0" applyFont="1" applyFill="1" applyBorder="1" applyAlignment="1">
      <alignment vertical="center"/>
    </xf>
    <xf numFmtId="0" fontId="3" fillId="6447" borderId="5721" xfId="0" applyFont="1" applyFill="1" applyBorder="1" applyAlignment="1">
      <alignment vertical="center"/>
    </xf>
    <xf numFmtId="0" fontId="3" fillId="6448" borderId="5722" xfId="0" applyFont="1" applyFill="1" applyBorder="1" applyAlignment="1">
      <alignment vertical="center"/>
    </xf>
    <xf numFmtId="0" fontId="3" fillId="6449" borderId="5723" xfId="0" applyFont="1" applyFill="1" applyBorder="1" applyAlignment="1">
      <alignment vertical="center"/>
    </xf>
    <xf numFmtId="4" fontId="3" fillId="6450" borderId="5724" xfId="0" applyNumberFormat="1" applyFont="1" applyFill="1" applyBorder="1" applyAlignment="1">
      <alignment vertical="center"/>
    </xf>
    <xf numFmtId="4" fontId="3" fillId="6451" borderId="5725" xfId="0" applyNumberFormat="1" applyFont="1" applyFill="1" applyBorder="1" applyAlignment="1">
      <alignment vertical="center"/>
    </xf>
    <xf numFmtId="4" fontId="3" fillId="6452" borderId="5726" xfId="0" applyNumberFormat="1" applyFont="1" applyFill="1" applyBorder="1" applyAlignment="1">
      <alignment vertical="center"/>
    </xf>
    <xf numFmtId="0" fontId="3" fillId="6453" borderId="5727" xfId="0" applyFont="1" applyFill="1" applyBorder="1" applyAlignment="1">
      <alignment vertical="center"/>
    </xf>
    <xf numFmtId="0" fontId="3" fillId="6454" borderId="5728" xfId="0" applyFont="1" applyFill="1" applyBorder="1" applyAlignment="1">
      <alignment vertical="center"/>
    </xf>
    <xf numFmtId="0" fontId="3" fillId="6456" borderId="5729" xfId="0" applyFont="1" applyFill="1" applyBorder="1" applyAlignment="1">
      <alignment vertical="center"/>
    </xf>
    <xf numFmtId="0" fontId="3" fillId="6457" borderId="5730" xfId="0" applyFont="1" applyFill="1" applyBorder="1" applyAlignment="1">
      <alignment vertical="center"/>
    </xf>
    <xf numFmtId="0" fontId="3" fillId="6458" borderId="5731" xfId="0" applyFont="1" applyFill="1" applyBorder="1" applyAlignment="1">
      <alignment vertical="center"/>
    </xf>
    <xf numFmtId="4" fontId="3" fillId="6459" borderId="5732" xfId="0" applyNumberFormat="1" applyFont="1" applyFill="1" applyBorder="1" applyAlignment="1">
      <alignment vertical="center"/>
    </xf>
    <xf numFmtId="4" fontId="3" fillId="6460" borderId="5733" xfId="0" applyNumberFormat="1" applyFont="1" applyFill="1" applyBorder="1" applyAlignment="1">
      <alignment vertical="center"/>
    </xf>
    <xf numFmtId="4" fontId="3" fillId="6461" borderId="5734" xfId="0" applyNumberFormat="1" applyFont="1" applyFill="1" applyBorder="1" applyAlignment="1">
      <alignment vertical="center"/>
    </xf>
    <xf numFmtId="0" fontId="3" fillId="6462" borderId="5735" xfId="0" applyFont="1" applyFill="1" applyBorder="1" applyAlignment="1">
      <alignment vertical="center"/>
    </xf>
    <xf numFmtId="0" fontId="3" fillId="6463" borderId="5736" xfId="0" applyFont="1" applyFill="1" applyBorder="1" applyAlignment="1">
      <alignment vertical="center"/>
    </xf>
    <xf numFmtId="0" fontId="3" fillId="6465" borderId="5737" xfId="0" applyFont="1" applyFill="1" applyBorder="1" applyAlignment="1">
      <alignment vertical="center"/>
    </xf>
    <xf numFmtId="0" fontId="3" fillId="6466" borderId="5738" xfId="0" applyFont="1" applyFill="1" applyBorder="1" applyAlignment="1">
      <alignment vertical="center"/>
    </xf>
    <xf numFmtId="0" fontId="3" fillId="6467" borderId="5739" xfId="0" applyFont="1" applyFill="1" applyBorder="1" applyAlignment="1">
      <alignment vertical="center"/>
    </xf>
    <xf numFmtId="4" fontId="3" fillId="6468" borderId="5740" xfId="0" applyNumberFormat="1" applyFont="1" applyFill="1" applyBorder="1" applyAlignment="1">
      <alignment vertical="center"/>
    </xf>
    <xf numFmtId="4" fontId="3" fillId="6469" borderId="5741" xfId="0" applyNumberFormat="1" applyFont="1" applyFill="1" applyBorder="1" applyAlignment="1">
      <alignment vertical="center"/>
    </xf>
    <xf numFmtId="4" fontId="3" fillId="6470" borderId="5742" xfId="0" applyNumberFormat="1" applyFont="1" applyFill="1" applyBorder="1" applyAlignment="1">
      <alignment vertical="center"/>
    </xf>
    <xf numFmtId="0" fontId="3" fillId="6471" borderId="5743" xfId="0" applyFont="1" applyFill="1" applyBorder="1" applyAlignment="1">
      <alignment vertical="center"/>
    </xf>
    <xf numFmtId="0" fontId="3" fillId="6472" borderId="5744" xfId="0" applyFont="1" applyFill="1" applyBorder="1" applyAlignment="1">
      <alignment vertical="center"/>
    </xf>
    <xf numFmtId="0" fontId="3" fillId="6474" borderId="5745" xfId="0" applyFont="1" applyFill="1" applyBorder="1" applyAlignment="1">
      <alignment vertical="center"/>
    </xf>
    <xf numFmtId="0" fontId="3" fillId="6475" borderId="5746" xfId="0" applyFont="1" applyFill="1" applyBorder="1" applyAlignment="1">
      <alignment vertical="center"/>
    </xf>
    <xf numFmtId="0" fontId="3" fillId="6476" borderId="5747" xfId="0" applyFont="1" applyFill="1" applyBorder="1" applyAlignment="1">
      <alignment vertical="center"/>
    </xf>
    <xf numFmtId="4" fontId="3" fillId="6477" borderId="5748" xfId="0" applyNumberFormat="1" applyFont="1" applyFill="1" applyBorder="1" applyAlignment="1">
      <alignment vertical="center"/>
    </xf>
    <xf numFmtId="4" fontId="3" fillId="6478" borderId="5749" xfId="0" applyNumberFormat="1" applyFont="1" applyFill="1" applyBorder="1" applyAlignment="1">
      <alignment vertical="center"/>
    </xf>
    <xf numFmtId="4" fontId="3" fillId="6479" borderId="5750" xfId="0" applyNumberFormat="1" applyFont="1" applyFill="1" applyBorder="1" applyAlignment="1">
      <alignment vertical="center"/>
    </xf>
    <xf numFmtId="0" fontId="3" fillId="6480" borderId="5751" xfId="0" applyFont="1" applyFill="1" applyBorder="1" applyAlignment="1">
      <alignment vertical="center"/>
    </xf>
    <xf numFmtId="0" fontId="3" fillId="6481" borderId="5752" xfId="0" applyFont="1" applyFill="1" applyBorder="1" applyAlignment="1">
      <alignment vertical="center"/>
    </xf>
    <xf numFmtId="0" fontId="3" fillId="6483" borderId="5753" xfId="0" applyFont="1" applyFill="1" applyBorder="1" applyAlignment="1">
      <alignment vertical="center"/>
    </xf>
    <xf numFmtId="0" fontId="3" fillId="6484" borderId="5754" xfId="0" applyFont="1" applyFill="1" applyBorder="1" applyAlignment="1">
      <alignment vertical="center"/>
    </xf>
    <xf numFmtId="0" fontId="3" fillId="6485" borderId="5755" xfId="0" applyFont="1" applyFill="1" applyBorder="1" applyAlignment="1">
      <alignment vertical="center"/>
    </xf>
    <xf numFmtId="4" fontId="3" fillId="6486" borderId="5756" xfId="0" applyNumberFormat="1" applyFont="1" applyFill="1" applyBorder="1" applyAlignment="1">
      <alignment vertical="center"/>
    </xf>
    <xf numFmtId="4" fontId="3" fillId="6487" borderId="5757" xfId="0" applyNumberFormat="1" applyFont="1" applyFill="1" applyBorder="1" applyAlignment="1">
      <alignment vertical="center"/>
    </xf>
    <xf numFmtId="4" fontId="3" fillId="6488" borderId="5758" xfId="0" applyNumberFormat="1" applyFont="1" applyFill="1" applyBorder="1" applyAlignment="1">
      <alignment vertical="center"/>
    </xf>
    <xf numFmtId="0" fontId="3" fillId="6489" borderId="5759" xfId="0" applyFont="1" applyFill="1" applyBorder="1" applyAlignment="1">
      <alignment vertical="center"/>
    </xf>
    <xf numFmtId="0" fontId="3" fillId="6490" borderId="5760" xfId="0" applyFont="1" applyFill="1" applyBorder="1" applyAlignment="1">
      <alignment vertical="center"/>
    </xf>
    <xf numFmtId="0" fontId="3" fillId="6492" borderId="5761" xfId="0" applyFont="1" applyFill="1" applyBorder="1" applyAlignment="1">
      <alignment vertical="center"/>
    </xf>
    <xf numFmtId="0" fontId="3" fillId="6493" borderId="5762" xfId="0" applyFont="1" applyFill="1" applyBorder="1" applyAlignment="1">
      <alignment vertical="center"/>
    </xf>
    <xf numFmtId="0" fontId="3" fillId="6494" borderId="5763" xfId="0" applyFont="1" applyFill="1" applyBorder="1" applyAlignment="1">
      <alignment vertical="center"/>
    </xf>
    <xf numFmtId="4" fontId="3" fillId="6495" borderId="5764" xfId="0" applyNumberFormat="1" applyFont="1" applyFill="1" applyBorder="1" applyAlignment="1">
      <alignment vertical="center"/>
    </xf>
    <xf numFmtId="4" fontId="3" fillId="6496" borderId="5765" xfId="0" applyNumberFormat="1" applyFont="1" applyFill="1" applyBorder="1" applyAlignment="1">
      <alignment vertical="center"/>
    </xf>
    <xf numFmtId="4" fontId="3" fillId="6497" borderId="5766" xfId="0" applyNumberFormat="1" applyFont="1" applyFill="1" applyBorder="1" applyAlignment="1">
      <alignment vertical="center"/>
    </xf>
    <xf numFmtId="0" fontId="3" fillId="6498" borderId="5767" xfId="0" applyFont="1" applyFill="1" applyBorder="1" applyAlignment="1">
      <alignment vertical="center"/>
    </xf>
    <xf numFmtId="0" fontId="3" fillId="6499" borderId="5768" xfId="0" applyFont="1" applyFill="1" applyBorder="1" applyAlignment="1">
      <alignment vertical="center"/>
    </xf>
    <xf numFmtId="0" fontId="3" fillId="6501" borderId="5769" xfId="0" applyFont="1" applyFill="1" applyBorder="1" applyAlignment="1">
      <alignment vertical="center"/>
    </xf>
    <xf numFmtId="0" fontId="3" fillId="6502" borderId="5770" xfId="0" applyFont="1" applyFill="1" applyBorder="1" applyAlignment="1">
      <alignment vertical="center"/>
    </xf>
    <xf numFmtId="0" fontId="3" fillId="6503" borderId="5771" xfId="0" applyFont="1" applyFill="1" applyBorder="1" applyAlignment="1">
      <alignment vertical="center"/>
    </xf>
    <xf numFmtId="4" fontId="3" fillId="6504" borderId="5772" xfId="0" applyNumberFormat="1" applyFont="1" applyFill="1" applyBorder="1" applyAlignment="1">
      <alignment vertical="center"/>
    </xf>
    <xf numFmtId="4" fontId="3" fillId="6505" borderId="5773" xfId="0" applyNumberFormat="1" applyFont="1" applyFill="1" applyBorder="1" applyAlignment="1">
      <alignment vertical="center"/>
    </xf>
    <xf numFmtId="4" fontId="3" fillId="6506" borderId="5774" xfId="0" applyNumberFormat="1" applyFont="1" applyFill="1" applyBorder="1" applyAlignment="1">
      <alignment vertical="center"/>
    </xf>
    <xf numFmtId="0" fontId="3" fillId="6507" borderId="5775" xfId="0" applyFont="1" applyFill="1" applyBorder="1" applyAlignment="1">
      <alignment vertical="center"/>
    </xf>
    <xf numFmtId="0" fontId="3" fillId="6508" borderId="5776" xfId="0" applyFont="1" applyFill="1" applyBorder="1" applyAlignment="1">
      <alignment vertical="center"/>
    </xf>
    <xf numFmtId="0" fontId="3" fillId="6510" borderId="5777" xfId="0" applyFont="1" applyFill="1" applyBorder="1" applyAlignment="1">
      <alignment vertical="center"/>
    </xf>
    <xf numFmtId="0" fontId="3" fillId="6511" borderId="5778" xfId="0" applyFont="1" applyFill="1" applyBorder="1" applyAlignment="1">
      <alignment vertical="center"/>
    </xf>
    <xf numFmtId="0" fontId="3" fillId="6512" borderId="5779" xfId="0" applyFont="1" applyFill="1" applyBorder="1" applyAlignment="1">
      <alignment vertical="center"/>
    </xf>
    <xf numFmtId="4" fontId="3" fillId="6513" borderId="5780" xfId="0" applyNumberFormat="1" applyFont="1" applyFill="1" applyBorder="1" applyAlignment="1">
      <alignment vertical="center"/>
    </xf>
    <xf numFmtId="4" fontId="3" fillId="6514" borderId="5781" xfId="0" applyNumberFormat="1" applyFont="1" applyFill="1" applyBorder="1" applyAlignment="1">
      <alignment vertical="center"/>
    </xf>
    <xf numFmtId="4" fontId="3" fillId="6515" borderId="5782" xfId="0" applyNumberFormat="1" applyFont="1" applyFill="1" applyBorder="1" applyAlignment="1">
      <alignment vertical="center"/>
    </xf>
    <xf numFmtId="0" fontId="3" fillId="6516" borderId="5783" xfId="0" applyFont="1" applyFill="1" applyBorder="1" applyAlignment="1">
      <alignment vertical="center"/>
    </xf>
    <xf numFmtId="0" fontId="3" fillId="6517" borderId="5784" xfId="0" applyFont="1" applyFill="1" applyBorder="1" applyAlignment="1">
      <alignment vertical="center"/>
    </xf>
    <xf numFmtId="0" fontId="3" fillId="6519" borderId="5785" xfId="0" applyFont="1" applyFill="1" applyBorder="1" applyAlignment="1">
      <alignment vertical="center"/>
    </xf>
    <xf numFmtId="0" fontId="3" fillId="6520" borderId="5786" xfId="0" applyFont="1" applyFill="1" applyBorder="1" applyAlignment="1">
      <alignment vertical="center"/>
    </xf>
    <xf numFmtId="0" fontId="3" fillId="6521" borderId="5787" xfId="0" applyFont="1" applyFill="1" applyBorder="1" applyAlignment="1">
      <alignment vertical="center"/>
    </xf>
    <xf numFmtId="4" fontId="3" fillId="6522" borderId="5788" xfId="0" applyNumberFormat="1" applyFont="1" applyFill="1" applyBorder="1" applyAlignment="1">
      <alignment vertical="center"/>
    </xf>
    <xf numFmtId="4" fontId="3" fillId="6523" borderId="5789" xfId="0" applyNumberFormat="1" applyFont="1" applyFill="1" applyBorder="1" applyAlignment="1">
      <alignment vertical="center"/>
    </xf>
    <xf numFmtId="4" fontId="3" fillId="6524" borderId="5790" xfId="0" applyNumberFormat="1" applyFont="1" applyFill="1" applyBorder="1" applyAlignment="1">
      <alignment vertical="center"/>
    </xf>
    <xf numFmtId="0" fontId="3" fillId="6525" borderId="5791" xfId="0" applyFont="1" applyFill="1" applyBorder="1" applyAlignment="1">
      <alignment vertical="center"/>
    </xf>
    <xf numFmtId="0" fontId="3" fillId="6526" borderId="5792" xfId="0" applyFont="1" applyFill="1" applyBorder="1" applyAlignment="1">
      <alignment vertical="center"/>
    </xf>
    <xf numFmtId="0" fontId="3" fillId="6528" borderId="5793" xfId="0" applyFont="1" applyFill="1" applyBorder="1" applyAlignment="1">
      <alignment vertical="center"/>
    </xf>
    <xf numFmtId="0" fontId="3" fillId="6529" borderId="5794" xfId="0" applyFont="1" applyFill="1" applyBorder="1" applyAlignment="1">
      <alignment vertical="center"/>
    </xf>
    <xf numFmtId="0" fontId="3" fillId="6530" borderId="5795" xfId="0" applyFont="1" applyFill="1" applyBorder="1" applyAlignment="1">
      <alignment vertical="center"/>
    </xf>
    <xf numFmtId="4" fontId="3" fillId="6531" borderId="5796" xfId="0" applyNumberFormat="1" applyFont="1" applyFill="1" applyBorder="1" applyAlignment="1">
      <alignment vertical="center"/>
    </xf>
    <xf numFmtId="4" fontId="3" fillId="6532" borderId="5797" xfId="0" applyNumberFormat="1" applyFont="1" applyFill="1" applyBorder="1" applyAlignment="1">
      <alignment vertical="center"/>
    </xf>
    <xf numFmtId="4" fontId="3" fillId="6533" borderId="5798" xfId="0" applyNumberFormat="1" applyFont="1" applyFill="1" applyBorder="1" applyAlignment="1">
      <alignment vertical="center"/>
    </xf>
    <xf numFmtId="0" fontId="3" fillId="6534" borderId="5799" xfId="0" applyFont="1" applyFill="1" applyBorder="1" applyAlignment="1">
      <alignment vertical="center"/>
    </xf>
    <xf numFmtId="0" fontId="3" fillId="6535" borderId="5800" xfId="0" applyFont="1" applyFill="1" applyBorder="1" applyAlignment="1">
      <alignment vertical="center"/>
    </xf>
    <xf numFmtId="0" fontId="3" fillId="6537" borderId="5801" xfId="0" applyFont="1" applyFill="1" applyBorder="1" applyAlignment="1">
      <alignment vertical="center"/>
    </xf>
    <xf numFmtId="0" fontId="3" fillId="6538" borderId="5802" xfId="0" applyFont="1" applyFill="1" applyBorder="1" applyAlignment="1">
      <alignment vertical="center"/>
    </xf>
    <xf numFmtId="0" fontId="3" fillId="6539" borderId="5803" xfId="0" applyFont="1" applyFill="1" applyBorder="1" applyAlignment="1">
      <alignment vertical="center"/>
    </xf>
    <xf numFmtId="4" fontId="3" fillId="6540" borderId="5804" xfId="0" applyNumberFormat="1" applyFont="1" applyFill="1" applyBorder="1" applyAlignment="1">
      <alignment vertical="center"/>
    </xf>
    <xf numFmtId="4" fontId="3" fillId="6541" borderId="5805" xfId="0" applyNumberFormat="1" applyFont="1" applyFill="1" applyBorder="1" applyAlignment="1">
      <alignment vertical="center"/>
    </xf>
    <xf numFmtId="4" fontId="3" fillId="6542" borderId="5806" xfId="0" applyNumberFormat="1" applyFont="1" applyFill="1" applyBorder="1" applyAlignment="1">
      <alignment vertical="center"/>
    </xf>
    <xf numFmtId="0" fontId="3" fillId="6543" borderId="5807" xfId="0" applyFont="1" applyFill="1" applyBorder="1" applyAlignment="1">
      <alignment vertical="center"/>
    </xf>
    <xf numFmtId="0" fontId="3" fillId="6544" borderId="5808" xfId="0" applyFont="1" applyFill="1" applyBorder="1" applyAlignment="1">
      <alignment vertical="center"/>
    </xf>
    <xf numFmtId="0" fontId="3" fillId="6546" borderId="5809" xfId="0" applyFont="1" applyFill="1" applyBorder="1" applyAlignment="1">
      <alignment vertical="center"/>
    </xf>
    <xf numFmtId="0" fontId="3" fillId="6547" borderId="5810" xfId="0" applyFont="1" applyFill="1" applyBorder="1" applyAlignment="1">
      <alignment vertical="center"/>
    </xf>
    <xf numFmtId="0" fontId="3" fillId="6548" borderId="5811" xfId="0" applyFont="1" applyFill="1" applyBorder="1" applyAlignment="1">
      <alignment vertical="center"/>
    </xf>
    <xf numFmtId="4" fontId="3" fillId="6549" borderId="5812" xfId="0" applyNumberFormat="1" applyFont="1" applyFill="1" applyBorder="1" applyAlignment="1">
      <alignment vertical="center"/>
    </xf>
    <xf numFmtId="4" fontId="3" fillId="6550" borderId="5813" xfId="0" applyNumberFormat="1" applyFont="1" applyFill="1" applyBorder="1" applyAlignment="1">
      <alignment vertical="center"/>
    </xf>
    <xf numFmtId="4" fontId="3" fillId="6551" borderId="5814" xfId="0" applyNumberFormat="1" applyFont="1" applyFill="1" applyBorder="1" applyAlignment="1">
      <alignment vertical="center"/>
    </xf>
    <xf numFmtId="0" fontId="3" fillId="6552" borderId="5815" xfId="0" applyFont="1" applyFill="1" applyBorder="1" applyAlignment="1">
      <alignment vertical="center"/>
    </xf>
    <xf numFmtId="0" fontId="3" fillId="6553" borderId="5816" xfId="0" applyFont="1" applyFill="1" applyBorder="1" applyAlignment="1">
      <alignment vertical="center"/>
    </xf>
    <xf numFmtId="0" fontId="3" fillId="6555" borderId="5817" xfId="0" applyFont="1" applyFill="1" applyBorder="1" applyAlignment="1">
      <alignment vertical="center"/>
    </xf>
    <xf numFmtId="0" fontId="3" fillId="6556" borderId="5818" xfId="0" applyFont="1" applyFill="1" applyBorder="1" applyAlignment="1">
      <alignment vertical="center"/>
    </xf>
    <xf numFmtId="0" fontId="3" fillId="6557" borderId="5819" xfId="0" applyFont="1" applyFill="1" applyBorder="1" applyAlignment="1">
      <alignment vertical="center"/>
    </xf>
    <xf numFmtId="4" fontId="3" fillId="6558" borderId="5820" xfId="0" applyNumberFormat="1" applyFont="1" applyFill="1" applyBorder="1" applyAlignment="1">
      <alignment vertical="center"/>
    </xf>
    <xf numFmtId="4" fontId="3" fillId="6559" borderId="5821" xfId="0" applyNumberFormat="1" applyFont="1" applyFill="1" applyBorder="1" applyAlignment="1">
      <alignment vertical="center"/>
    </xf>
    <xf numFmtId="4" fontId="3" fillId="6560" borderId="5822" xfId="0" applyNumberFormat="1" applyFont="1" applyFill="1" applyBorder="1" applyAlignment="1">
      <alignment vertical="center"/>
    </xf>
    <xf numFmtId="0" fontId="3" fillId="6561" borderId="5823" xfId="0" applyFont="1" applyFill="1" applyBorder="1" applyAlignment="1">
      <alignment vertical="center"/>
    </xf>
    <xf numFmtId="0" fontId="3" fillId="6562" borderId="5824" xfId="0" applyFont="1" applyFill="1" applyBorder="1" applyAlignment="1">
      <alignment vertical="center"/>
    </xf>
    <xf numFmtId="0" fontId="3" fillId="6564" borderId="5825" xfId="0" applyFont="1" applyFill="1" applyBorder="1" applyAlignment="1">
      <alignment vertical="center"/>
    </xf>
    <xf numFmtId="0" fontId="3" fillId="6565" borderId="5826" xfId="0" applyFont="1" applyFill="1" applyBorder="1" applyAlignment="1">
      <alignment vertical="center"/>
    </xf>
    <xf numFmtId="0" fontId="3" fillId="6566" borderId="5827" xfId="0" applyFont="1" applyFill="1" applyBorder="1" applyAlignment="1">
      <alignment vertical="center"/>
    </xf>
    <xf numFmtId="4" fontId="3" fillId="6567" borderId="5828" xfId="0" applyNumberFormat="1" applyFont="1" applyFill="1" applyBorder="1" applyAlignment="1">
      <alignment vertical="center"/>
    </xf>
    <xf numFmtId="4" fontId="3" fillId="6568" borderId="5829" xfId="0" applyNumberFormat="1" applyFont="1" applyFill="1" applyBorder="1" applyAlignment="1">
      <alignment vertical="center"/>
    </xf>
    <xf numFmtId="4" fontId="3" fillId="6569" borderId="5830" xfId="0" applyNumberFormat="1" applyFont="1" applyFill="1" applyBorder="1" applyAlignment="1">
      <alignment vertical="center"/>
    </xf>
    <xf numFmtId="0" fontId="3" fillId="6570" borderId="5831" xfId="0" applyFont="1" applyFill="1" applyBorder="1" applyAlignment="1">
      <alignment vertical="center"/>
    </xf>
    <xf numFmtId="0" fontId="3" fillId="6571" borderId="5832" xfId="0" applyFont="1" applyFill="1" applyBorder="1" applyAlignment="1">
      <alignment vertical="center"/>
    </xf>
    <xf numFmtId="0" fontId="3" fillId="6573" borderId="5833" xfId="0" applyFont="1" applyFill="1" applyBorder="1" applyAlignment="1">
      <alignment vertical="center"/>
    </xf>
    <xf numFmtId="0" fontId="3" fillId="6574" borderId="5834" xfId="0" applyFont="1" applyFill="1" applyBorder="1" applyAlignment="1">
      <alignment vertical="center"/>
    </xf>
    <xf numFmtId="0" fontId="3" fillId="6575" borderId="5835" xfId="0" applyFont="1" applyFill="1" applyBorder="1" applyAlignment="1">
      <alignment vertical="center"/>
    </xf>
    <xf numFmtId="4" fontId="3" fillId="6576" borderId="5836" xfId="0" applyNumberFormat="1" applyFont="1" applyFill="1" applyBorder="1" applyAlignment="1">
      <alignment vertical="center"/>
    </xf>
    <xf numFmtId="4" fontId="3" fillId="6577" borderId="5837" xfId="0" applyNumberFormat="1" applyFont="1" applyFill="1" applyBorder="1" applyAlignment="1">
      <alignment vertical="center"/>
    </xf>
    <xf numFmtId="4" fontId="3" fillId="6578" borderId="5838" xfId="0" applyNumberFormat="1" applyFont="1" applyFill="1" applyBorder="1" applyAlignment="1">
      <alignment vertical="center"/>
    </xf>
    <xf numFmtId="0" fontId="3" fillId="6579" borderId="5839" xfId="0" applyFont="1" applyFill="1" applyBorder="1" applyAlignment="1">
      <alignment vertical="center"/>
    </xf>
    <xf numFmtId="0" fontId="3" fillId="6580" borderId="5840" xfId="0" applyFont="1" applyFill="1" applyBorder="1" applyAlignment="1">
      <alignment vertical="center"/>
    </xf>
    <xf numFmtId="0" fontId="3" fillId="6582" borderId="5841" xfId="0" applyFont="1" applyFill="1" applyBorder="1" applyAlignment="1">
      <alignment vertical="center"/>
    </xf>
    <xf numFmtId="0" fontId="3" fillId="6583" borderId="5842" xfId="0" applyFont="1" applyFill="1" applyBorder="1" applyAlignment="1">
      <alignment vertical="center"/>
    </xf>
    <xf numFmtId="0" fontId="3" fillId="6584" borderId="5843" xfId="0" applyFont="1" applyFill="1" applyBorder="1" applyAlignment="1">
      <alignment vertical="center"/>
    </xf>
    <xf numFmtId="4" fontId="3" fillId="6585" borderId="5844" xfId="0" applyNumberFormat="1" applyFont="1" applyFill="1" applyBorder="1" applyAlignment="1">
      <alignment vertical="center"/>
    </xf>
    <xf numFmtId="4" fontId="3" fillId="6586" borderId="5845" xfId="0" applyNumberFormat="1" applyFont="1" applyFill="1" applyBorder="1" applyAlignment="1">
      <alignment vertical="center"/>
    </xf>
    <xf numFmtId="4" fontId="3" fillId="6587" borderId="5846" xfId="0" applyNumberFormat="1" applyFont="1" applyFill="1" applyBorder="1" applyAlignment="1">
      <alignment vertical="center"/>
    </xf>
    <xf numFmtId="0" fontId="3" fillId="6588" borderId="5847" xfId="0" applyFont="1" applyFill="1" applyBorder="1" applyAlignment="1">
      <alignment vertical="center"/>
    </xf>
    <xf numFmtId="0" fontId="3" fillId="6589" borderId="5848" xfId="0" applyFont="1" applyFill="1" applyBorder="1" applyAlignment="1">
      <alignment vertical="center"/>
    </xf>
    <xf numFmtId="0" fontId="3" fillId="6591" borderId="5849" xfId="0" applyFont="1" applyFill="1" applyBorder="1" applyAlignment="1">
      <alignment vertical="center"/>
    </xf>
    <xf numFmtId="0" fontId="3" fillId="6592" borderId="5850" xfId="0" applyFont="1" applyFill="1" applyBorder="1" applyAlignment="1">
      <alignment vertical="center"/>
    </xf>
    <xf numFmtId="0" fontId="3" fillId="6593" borderId="5851" xfId="0" applyFont="1" applyFill="1" applyBorder="1" applyAlignment="1">
      <alignment vertical="center"/>
    </xf>
    <xf numFmtId="4" fontId="3" fillId="6594" borderId="5852" xfId="0" applyNumberFormat="1" applyFont="1" applyFill="1" applyBorder="1" applyAlignment="1">
      <alignment vertical="center"/>
    </xf>
    <xf numFmtId="4" fontId="3" fillId="6595" borderId="5853" xfId="0" applyNumberFormat="1" applyFont="1" applyFill="1" applyBorder="1" applyAlignment="1">
      <alignment vertical="center"/>
    </xf>
    <xf numFmtId="4" fontId="3" fillId="6596" borderId="5854" xfId="0" applyNumberFormat="1" applyFont="1" applyFill="1" applyBorder="1" applyAlignment="1">
      <alignment vertical="center"/>
    </xf>
    <xf numFmtId="0" fontId="3" fillId="6597" borderId="5855" xfId="0" applyFont="1" applyFill="1" applyBorder="1" applyAlignment="1">
      <alignment vertical="center"/>
    </xf>
    <xf numFmtId="0" fontId="3" fillId="6598" borderId="5856" xfId="0" applyFont="1" applyFill="1" applyBorder="1" applyAlignment="1">
      <alignment vertical="center"/>
    </xf>
    <xf numFmtId="0" fontId="3" fillId="6600" borderId="5857" xfId="0" applyFont="1" applyFill="1" applyBorder="1" applyAlignment="1">
      <alignment vertical="center"/>
    </xf>
    <xf numFmtId="0" fontId="3" fillId="6601" borderId="5858" xfId="0" applyFont="1" applyFill="1" applyBorder="1" applyAlignment="1">
      <alignment vertical="center"/>
    </xf>
    <xf numFmtId="0" fontId="3" fillId="6602" borderId="5859" xfId="0" applyFont="1" applyFill="1" applyBorder="1" applyAlignment="1">
      <alignment vertical="center"/>
    </xf>
    <xf numFmtId="4" fontId="3" fillId="6603" borderId="5860" xfId="0" applyNumberFormat="1" applyFont="1" applyFill="1" applyBorder="1" applyAlignment="1">
      <alignment vertical="center"/>
    </xf>
    <xf numFmtId="4" fontId="3" fillId="6604" borderId="5861" xfId="0" applyNumberFormat="1" applyFont="1" applyFill="1" applyBorder="1" applyAlignment="1">
      <alignment vertical="center"/>
    </xf>
    <xf numFmtId="4" fontId="3" fillId="6605" borderId="5862" xfId="0" applyNumberFormat="1" applyFont="1" applyFill="1" applyBorder="1" applyAlignment="1">
      <alignment vertical="center"/>
    </xf>
    <xf numFmtId="0" fontId="3" fillId="6606" borderId="5863" xfId="0" applyFont="1" applyFill="1" applyBorder="1" applyAlignment="1">
      <alignment vertical="center"/>
    </xf>
    <xf numFmtId="0" fontId="3" fillId="6607" borderId="5864" xfId="0" applyFont="1" applyFill="1" applyBorder="1" applyAlignment="1">
      <alignment vertical="center"/>
    </xf>
    <xf numFmtId="0" fontId="3" fillId="6609" borderId="5865" xfId="0" applyFont="1" applyFill="1" applyBorder="1" applyAlignment="1">
      <alignment vertical="center"/>
    </xf>
    <xf numFmtId="0" fontId="3" fillId="6610" borderId="5866" xfId="0" applyFont="1" applyFill="1" applyBorder="1" applyAlignment="1">
      <alignment vertical="center"/>
    </xf>
    <xf numFmtId="0" fontId="3" fillId="6611" borderId="5867" xfId="0" applyFont="1" applyFill="1" applyBorder="1" applyAlignment="1">
      <alignment vertical="center"/>
    </xf>
    <xf numFmtId="4" fontId="3" fillId="6612" borderId="5868" xfId="0" applyNumberFormat="1" applyFont="1" applyFill="1" applyBorder="1" applyAlignment="1">
      <alignment vertical="center"/>
    </xf>
    <xf numFmtId="4" fontId="3" fillId="6613" borderId="5869" xfId="0" applyNumberFormat="1" applyFont="1" applyFill="1" applyBorder="1" applyAlignment="1">
      <alignment vertical="center"/>
    </xf>
    <xf numFmtId="4" fontId="3" fillId="6614" borderId="5870" xfId="0" applyNumberFormat="1" applyFont="1" applyFill="1" applyBorder="1" applyAlignment="1">
      <alignment vertical="center"/>
    </xf>
    <xf numFmtId="0" fontId="3" fillId="6615" borderId="5871" xfId="0" applyFont="1" applyFill="1" applyBorder="1" applyAlignment="1">
      <alignment vertical="center"/>
    </xf>
    <xf numFmtId="0" fontId="3" fillId="6616" borderId="5872" xfId="0" applyFont="1" applyFill="1" applyBorder="1" applyAlignment="1">
      <alignment vertical="center"/>
    </xf>
    <xf numFmtId="0" fontId="3" fillId="6618" borderId="5873" xfId="0" applyFont="1" applyFill="1" applyBorder="1" applyAlignment="1">
      <alignment vertical="center"/>
    </xf>
    <xf numFmtId="0" fontId="3" fillId="6619" borderId="5874" xfId="0" applyFont="1" applyFill="1" applyBorder="1" applyAlignment="1">
      <alignment vertical="center"/>
    </xf>
    <xf numFmtId="0" fontId="3" fillId="6620" borderId="5875" xfId="0" applyFont="1" applyFill="1" applyBorder="1" applyAlignment="1">
      <alignment vertical="center"/>
    </xf>
    <xf numFmtId="4" fontId="3" fillId="6621" borderId="5876" xfId="0" applyNumberFormat="1" applyFont="1" applyFill="1" applyBorder="1" applyAlignment="1">
      <alignment vertical="center"/>
    </xf>
    <xf numFmtId="4" fontId="3" fillId="6622" borderId="5877" xfId="0" applyNumberFormat="1" applyFont="1" applyFill="1" applyBorder="1" applyAlignment="1">
      <alignment vertical="center"/>
    </xf>
    <xf numFmtId="4" fontId="3" fillId="6623" borderId="5878" xfId="0" applyNumberFormat="1" applyFont="1" applyFill="1" applyBorder="1" applyAlignment="1">
      <alignment vertical="center"/>
    </xf>
    <xf numFmtId="0" fontId="3" fillId="6624" borderId="5879" xfId="0" applyFont="1" applyFill="1" applyBorder="1" applyAlignment="1">
      <alignment vertical="center"/>
    </xf>
    <xf numFmtId="0" fontId="3" fillId="6625" borderId="5880" xfId="0" applyFont="1" applyFill="1" applyBorder="1" applyAlignment="1">
      <alignment vertical="center"/>
    </xf>
    <xf numFmtId="0" fontId="3" fillId="6627" borderId="5881" xfId="0" applyFont="1" applyFill="1" applyBorder="1" applyAlignment="1">
      <alignment vertical="center"/>
    </xf>
    <xf numFmtId="0" fontId="3" fillId="6628" borderId="5882" xfId="0" applyFont="1" applyFill="1" applyBorder="1" applyAlignment="1">
      <alignment vertical="center"/>
    </xf>
    <xf numFmtId="0" fontId="3" fillId="6629" borderId="5883" xfId="0" applyFont="1" applyFill="1" applyBorder="1" applyAlignment="1">
      <alignment vertical="center"/>
    </xf>
    <xf numFmtId="4" fontId="3" fillId="6630" borderId="5884" xfId="0" applyNumberFormat="1" applyFont="1" applyFill="1" applyBorder="1" applyAlignment="1">
      <alignment vertical="center"/>
    </xf>
    <xf numFmtId="4" fontId="3" fillId="6631" borderId="5885" xfId="0" applyNumberFormat="1" applyFont="1" applyFill="1" applyBorder="1" applyAlignment="1">
      <alignment vertical="center"/>
    </xf>
    <xf numFmtId="4" fontId="3" fillId="6632" borderId="5886" xfId="0" applyNumberFormat="1" applyFont="1" applyFill="1" applyBorder="1" applyAlignment="1">
      <alignment vertical="center"/>
    </xf>
    <xf numFmtId="0" fontId="3" fillId="6633" borderId="5887" xfId="0" applyFont="1" applyFill="1" applyBorder="1" applyAlignment="1">
      <alignment vertical="center"/>
    </xf>
    <xf numFmtId="0" fontId="3" fillId="6634" borderId="5888" xfId="0" applyFont="1" applyFill="1" applyBorder="1" applyAlignment="1">
      <alignment vertical="center"/>
    </xf>
    <xf numFmtId="0" fontId="3" fillId="6636" borderId="5889" xfId="0" applyFont="1" applyFill="1" applyBorder="1" applyAlignment="1">
      <alignment vertical="center"/>
    </xf>
    <xf numFmtId="0" fontId="3" fillId="6637" borderId="5890" xfId="0" applyFont="1" applyFill="1" applyBorder="1" applyAlignment="1">
      <alignment vertical="center"/>
    </xf>
    <xf numFmtId="0" fontId="3" fillId="6638" borderId="5891" xfId="0" applyFont="1" applyFill="1" applyBorder="1" applyAlignment="1">
      <alignment vertical="center"/>
    </xf>
    <xf numFmtId="4" fontId="3" fillId="6639" borderId="5892" xfId="0" applyNumberFormat="1" applyFont="1" applyFill="1" applyBorder="1" applyAlignment="1">
      <alignment vertical="center"/>
    </xf>
    <xf numFmtId="4" fontId="3" fillId="6640" borderId="5893" xfId="0" applyNumberFormat="1" applyFont="1" applyFill="1" applyBorder="1" applyAlignment="1">
      <alignment vertical="center"/>
    </xf>
    <xf numFmtId="4" fontId="3" fillId="6641" borderId="5894" xfId="0" applyNumberFormat="1" applyFont="1" applyFill="1" applyBorder="1" applyAlignment="1">
      <alignment vertical="center"/>
    </xf>
    <xf numFmtId="0" fontId="3" fillId="6642" borderId="5895" xfId="0" applyFont="1" applyFill="1" applyBorder="1" applyAlignment="1">
      <alignment vertical="center"/>
    </xf>
    <xf numFmtId="0" fontId="3" fillId="6643" borderId="5896" xfId="0" applyFont="1" applyFill="1" applyBorder="1" applyAlignment="1">
      <alignment vertical="center"/>
    </xf>
    <xf numFmtId="0" fontId="3" fillId="6645" borderId="5897" xfId="0" applyFont="1" applyFill="1" applyBorder="1" applyAlignment="1">
      <alignment vertical="center"/>
    </xf>
    <xf numFmtId="0" fontId="3" fillId="6646" borderId="5898" xfId="0" applyFont="1" applyFill="1" applyBorder="1" applyAlignment="1">
      <alignment vertical="center"/>
    </xf>
    <xf numFmtId="0" fontId="3" fillId="6647" borderId="5899" xfId="0" applyFont="1" applyFill="1" applyBorder="1" applyAlignment="1">
      <alignment vertical="center"/>
    </xf>
    <xf numFmtId="4" fontId="3" fillId="6648" borderId="5900" xfId="0" applyNumberFormat="1" applyFont="1" applyFill="1" applyBorder="1" applyAlignment="1">
      <alignment vertical="center"/>
    </xf>
    <xf numFmtId="4" fontId="3" fillId="6649" borderId="5901" xfId="0" applyNumberFormat="1" applyFont="1" applyFill="1" applyBorder="1" applyAlignment="1">
      <alignment vertical="center"/>
    </xf>
    <xf numFmtId="4" fontId="3" fillId="6650" borderId="5902" xfId="0" applyNumberFormat="1" applyFont="1" applyFill="1" applyBorder="1" applyAlignment="1">
      <alignment vertical="center"/>
    </xf>
    <xf numFmtId="0" fontId="3" fillId="6651" borderId="5903" xfId="0" applyFont="1" applyFill="1" applyBorder="1" applyAlignment="1">
      <alignment vertical="center"/>
    </xf>
    <xf numFmtId="0" fontId="3" fillId="6652" borderId="5904" xfId="0" applyFont="1" applyFill="1" applyBorder="1" applyAlignment="1">
      <alignment vertical="center"/>
    </xf>
    <xf numFmtId="0" fontId="3" fillId="6654" borderId="5905" xfId="0" applyFont="1" applyFill="1" applyBorder="1" applyAlignment="1">
      <alignment vertical="center"/>
    </xf>
    <xf numFmtId="0" fontId="3" fillId="6655" borderId="5906" xfId="0" applyFont="1" applyFill="1" applyBorder="1" applyAlignment="1">
      <alignment vertical="center"/>
    </xf>
    <xf numFmtId="0" fontId="3" fillId="6656" borderId="5907" xfId="0" applyFont="1" applyFill="1" applyBorder="1" applyAlignment="1">
      <alignment vertical="center"/>
    </xf>
    <xf numFmtId="4" fontId="3" fillId="6657" borderId="5908" xfId="0" applyNumberFormat="1" applyFont="1" applyFill="1" applyBorder="1" applyAlignment="1">
      <alignment vertical="center"/>
    </xf>
    <xf numFmtId="4" fontId="3" fillId="6658" borderId="5909" xfId="0" applyNumberFormat="1" applyFont="1" applyFill="1" applyBorder="1" applyAlignment="1">
      <alignment vertical="center"/>
    </xf>
    <xf numFmtId="4" fontId="3" fillId="6659" borderId="5910" xfId="0" applyNumberFormat="1" applyFont="1" applyFill="1" applyBorder="1" applyAlignment="1">
      <alignment vertical="center"/>
    </xf>
    <xf numFmtId="0" fontId="3" fillId="6660" borderId="5911" xfId="0" applyFont="1" applyFill="1" applyBorder="1" applyAlignment="1">
      <alignment vertical="center"/>
    </xf>
    <xf numFmtId="0" fontId="3" fillId="6661" borderId="5912" xfId="0" applyFont="1" applyFill="1" applyBorder="1" applyAlignment="1">
      <alignment vertical="center"/>
    </xf>
    <xf numFmtId="0" fontId="3" fillId="6663" borderId="5913" xfId="0" applyFont="1" applyFill="1" applyBorder="1" applyAlignment="1">
      <alignment vertical="center"/>
    </xf>
    <xf numFmtId="0" fontId="3" fillId="6664" borderId="5914" xfId="0" applyFont="1" applyFill="1" applyBorder="1" applyAlignment="1">
      <alignment vertical="center"/>
    </xf>
    <xf numFmtId="0" fontId="3" fillId="6665" borderId="5915" xfId="0" applyFont="1" applyFill="1" applyBorder="1" applyAlignment="1">
      <alignment vertical="center"/>
    </xf>
    <xf numFmtId="4" fontId="3" fillId="6666" borderId="5916" xfId="0" applyNumberFormat="1" applyFont="1" applyFill="1" applyBorder="1" applyAlignment="1">
      <alignment vertical="center"/>
    </xf>
    <xf numFmtId="4" fontId="3" fillId="6667" borderId="5917" xfId="0" applyNumberFormat="1" applyFont="1" applyFill="1" applyBorder="1" applyAlignment="1">
      <alignment vertical="center"/>
    </xf>
    <xf numFmtId="4" fontId="3" fillId="6668" borderId="5918" xfId="0" applyNumberFormat="1" applyFont="1" applyFill="1" applyBorder="1" applyAlignment="1">
      <alignment vertical="center"/>
    </xf>
    <xf numFmtId="0" fontId="3" fillId="6669" borderId="5919" xfId="0" applyFont="1" applyFill="1" applyBorder="1" applyAlignment="1">
      <alignment vertical="center"/>
    </xf>
    <xf numFmtId="0" fontId="3" fillId="6670" borderId="5920" xfId="0" applyFont="1" applyFill="1" applyBorder="1" applyAlignment="1">
      <alignment vertical="center"/>
    </xf>
    <xf numFmtId="0" fontId="3" fillId="6672" borderId="5921" xfId="0" applyFont="1" applyFill="1" applyBorder="1" applyAlignment="1">
      <alignment vertical="center"/>
    </xf>
    <xf numFmtId="0" fontId="3" fillId="6673" borderId="5922" xfId="0" applyFont="1" applyFill="1" applyBorder="1" applyAlignment="1">
      <alignment vertical="center"/>
    </xf>
    <xf numFmtId="0" fontId="3" fillId="6674" borderId="5923" xfId="0" applyFont="1" applyFill="1" applyBorder="1" applyAlignment="1">
      <alignment vertical="center"/>
    </xf>
    <xf numFmtId="4" fontId="3" fillId="6675" borderId="5924" xfId="0" applyNumberFormat="1" applyFont="1" applyFill="1" applyBorder="1" applyAlignment="1">
      <alignment vertical="center"/>
    </xf>
    <xf numFmtId="4" fontId="3" fillId="6676" borderId="5925" xfId="0" applyNumberFormat="1" applyFont="1" applyFill="1" applyBorder="1" applyAlignment="1">
      <alignment vertical="center"/>
    </xf>
    <xf numFmtId="4" fontId="3" fillId="6677" borderId="5926" xfId="0" applyNumberFormat="1" applyFont="1" applyFill="1" applyBorder="1" applyAlignment="1">
      <alignment vertical="center"/>
    </xf>
    <xf numFmtId="0" fontId="3" fillId="6678" borderId="5927" xfId="0" applyFont="1" applyFill="1" applyBorder="1" applyAlignment="1">
      <alignment vertical="center"/>
    </xf>
    <xf numFmtId="0" fontId="3" fillId="6679" borderId="5928" xfId="0" applyFont="1" applyFill="1" applyBorder="1" applyAlignment="1">
      <alignment vertical="center"/>
    </xf>
    <xf numFmtId="0" fontId="3" fillId="6681" borderId="5929" xfId="0" applyFont="1" applyFill="1" applyBorder="1" applyAlignment="1">
      <alignment vertical="center"/>
    </xf>
    <xf numFmtId="0" fontId="3" fillId="6682" borderId="5930" xfId="0" applyFont="1" applyFill="1" applyBorder="1" applyAlignment="1">
      <alignment vertical="center"/>
    </xf>
    <xf numFmtId="0" fontId="3" fillId="6683" borderId="5931" xfId="0" applyFont="1" applyFill="1" applyBorder="1" applyAlignment="1">
      <alignment vertical="center"/>
    </xf>
    <xf numFmtId="4" fontId="3" fillId="6684" borderId="5932" xfId="0" applyNumberFormat="1" applyFont="1" applyFill="1" applyBorder="1" applyAlignment="1">
      <alignment vertical="center"/>
    </xf>
    <xf numFmtId="4" fontId="3" fillId="6685" borderId="5933" xfId="0" applyNumberFormat="1" applyFont="1" applyFill="1" applyBorder="1" applyAlignment="1">
      <alignment vertical="center"/>
    </xf>
    <xf numFmtId="4" fontId="3" fillId="6686" borderId="5934" xfId="0" applyNumberFormat="1" applyFont="1" applyFill="1" applyBorder="1" applyAlignment="1">
      <alignment vertical="center"/>
    </xf>
    <xf numFmtId="0" fontId="3" fillId="6687" borderId="5935" xfId="0" applyFont="1" applyFill="1" applyBorder="1" applyAlignment="1">
      <alignment vertical="center"/>
    </xf>
    <xf numFmtId="0" fontId="3" fillId="6688" borderId="5936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/>
    </xf>
    <xf numFmtId="0" fontId="2" fillId="1804" borderId="1594" xfId="0" applyFont="1" applyFill="1" applyBorder="1" applyAlignment="1">
      <alignment vertical="center"/>
    </xf>
    <xf numFmtId="0" fontId="2" fillId="1813" borderId="1602" xfId="0" applyFont="1" applyFill="1" applyBorder="1" applyAlignment="1">
      <alignment vertical="center"/>
    </xf>
    <xf numFmtId="0" fontId="2" fillId="3793" borderId="3362" xfId="0" applyFont="1" applyFill="1" applyBorder="1" applyAlignment="1">
      <alignment vertical="center"/>
    </xf>
    <xf numFmtId="0" fontId="2" fillId="0" borderId="5937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1962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2" fillId="0" borderId="48" xfId="0" applyFont="1" applyFill="1" applyBorder="1" applyAlignment="1">
      <alignment vertical="center"/>
    </xf>
    <xf numFmtId="0" fontId="3" fillId="0" borderId="64" xfId="0" applyFont="1" applyFill="1" applyBorder="1" applyAlignment="1">
      <alignment vertical="center"/>
    </xf>
    <xf numFmtId="0" fontId="2" fillId="0" borderId="72" xfId="0" applyFont="1" applyFill="1" applyBorder="1" applyAlignment="1">
      <alignment vertical="center"/>
    </xf>
    <xf numFmtId="0" fontId="2" fillId="0" borderId="2936" xfId="0" applyFont="1" applyFill="1" applyBorder="1" applyAlignment="1">
      <alignment vertical="center"/>
    </xf>
    <xf numFmtId="0" fontId="2" fillId="0" borderId="88" xfId="0" applyFont="1" applyFill="1" applyBorder="1" applyAlignment="1">
      <alignment vertical="center"/>
    </xf>
    <xf numFmtId="0" fontId="2" fillId="0" borderId="96" xfId="0" applyFont="1" applyFill="1" applyBorder="1" applyAlignment="1">
      <alignment vertical="center"/>
    </xf>
    <xf numFmtId="0" fontId="2" fillId="0" borderId="104" xfId="0" applyFont="1" applyFill="1" applyBorder="1" applyAlignment="1">
      <alignment vertical="center"/>
    </xf>
    <xf numFmtId="0" fontId="2" fillId="0" borderId="112" xfId="0" applyFont="1" applyFill="1" applyBorder="1" applyAlignment="1">
      <alignment vertical="center"/>
    </xf>
    <xf numFmtId="0" fontId="2" fillId="0" borderId="120" xfId="0" applyFont="1" applyFill="1" applyBorder="1" applyAlignment="1">
      <alignment vertical="center"/>
    </xf>
    <xf numFmtId="0" fontId="2" fillId="0" borderId="128" xfId="0" applyFont="1" applyFill="1" applyBorder="1" applyAlignment="1">
      <alignment vertical="center"/>
    </xf>
    <xf numFmtId="0" fontId="2" fillId="0" borderId="136" xfId="0" applyFont="1" applyFill="1" applyBorder="1" applyAlignment="1">
      <alignment vertical="center"/>
    </xf>
    <xf numFmtId="0" fontId="2" fillId="0" borderId="144" xfId="0" applyFont="1" applyFill="1" applyBorder="1" applyAlignment="1">
      <alignment vertical="center"/>
    </xf>
    <xf numFmtId="0" fontId="2" fillId="0" borderId="152" xfId="0" applyFont="1" applyFill="1" applyBorder="1" applyAlignment="1">
      <alignment vertical="center"/>
    </xf>
    <xf numFmtId="0" fontId="2" fillId="0" borderId="160" xfId="0" applyFont="1" applyFill="1" applyBorder="1" applyAlignment="1">
      <alignment vertical="center"/>
    </xf>
    <xf numFmtId="0" fontId="2" fillId="0" borderId="176" xfId="0" applyFont="1" applyFill="1" applyBorder="1" applyAlignment="1">
      <alignment vertical="center"/>
    </xf>
    <xf numFmtId="0" fontId="2" fillId="0" borderId="184" xfId="0" applyFont="1" applyFill="1" applyBorder="1" applyAlignment="1">
      <alignment vertical="center"/>
    </xf>
    <xf numFmtId="0" fontId="2" fillId="0" borderId="192" xfId="0" applyFont="1" applyFill="1" applyBorder="1" applyAlignment="1">
      <alignment vertical="center"/>
    </xf>
    <xf numFmtId="0" fontId="2" fillId="0" borderId="200" xfId="0" applyFont="1" applyFill="1" applyBorder="1" applyAlignment="1">
      <alignment vertical="center"/>
    </xf>
    <xf numFmtId="0" fontId="2" fillId="0" borderId="208" xfId="0" applyFont="1" applyFill="1" applyBorder="1" applyAlignment="1">
      <alignment vertical="center"/>
    </xf>
    <xf numFmtId="0" fontId="2" fillId="0" borderId="216" xfId="0" applyFont="1" applyFill="1" applyBorder="1" applyAlignment="1">
      <alignment vertical="center"/>
    </xf>
    <xf numFmtId="0" fontId="2" fillId="0" borderId="224" xfId="0" applyFont="1" applyFill="1" applyBorder="1" applyAlignment="1">
      <alignment vertical="center"/>
    </xf>
    <xf numFmtId="0" fontId="2" fillId="0" borderId="232" xfId="0" applyFont="1" applyFill="1" applyBorder="1" applyAlignment="1">
      <alignment vertical="center"/>
    </xf>
    <xf numFmtId="0" fontId="2" fillId="0" borderId="240" xfId="0" applyFont="1" applyFill="1" applyBorder="1" applyAlignment="1">
      <alignment vertical="center"/>
    </xf>
    <xf numFmtId="0" fontId="2" fillId="0" borderId="248" xfId="0" applyFont="1" applyFill="1" applyBorder="1" applyAlignment="1">
      <alignment vertical="center"/>
    </xf>
    <xf numFmtId="0" fontId="2" fillId="0" borderId="256" xfId="0" applyFont="1" applyFill="1" applyBorder="1" applyAlignment="1">
      <alignment vertical="center"/>
    </xf>
    <xf numFmtId="0" fontId="2" fillId="0" borderId="264" xfId="0" applyFont="1" applyFill="1" applyBorder="1" applyAlignment="1">
      <alignment vertical="center"/>
    </xf>
    <xf numFmtId="0" fontId="2" fillId="0" borderId="280" xfId="0" applyFont="1" applyFill="1" applyBorder="1" applyAlignment="1">
      <alignment vertical="center"/>
    </xf>
    <xf numFmtId="0" fontId="2" fillId="0" borderId="288" xfId="0" applyFont="1" applyFill="1" applyBorder="1" applyAlignment="1">
      <alignment vertical="center"/>
    </xf>
    <xf numFmtId="0" fontId="2" fillId="0" borderId="5696" xfId="0" applyFont="1" applyFill="1" applyBorder="1" applyAlignment="1">
      <alignment vertical="center"/>
    </xf>
    <xf numFmtId="0" fontId="2" fillId="0" borderId="360" xfId="0" applyFont="1" applyFill="1" applyBorder="1" applyAlignment="1">
      <alignment vertical="center"/>
    </xf>
    <xf numFmtId="0" fontId="2" fillId="0" borderId="400" xfId="0" applyFont="1" applyFill="1" applyBorder="1" applyAlignment="1">
      <alignment vertical="center"/>
    </xf>
    <xf numFmtId="0" fontId="2" fillId="0" borderId="536" xfId="0" applyFont="1" applyFill="1" applyBorder="1" applyAlignment="1">
      <alignment vertical="center"/>
    </xf>
    <xf numFmtId="0" fontId="2" fillId="0" borderId="544" xfId="0" applyFont="1" applyFill="1" applyBorder="1" applyAlignment="1">
      <alignment vertical="center"/>
    </xf>
    <xf numFmtId="0" fontId="2" fillId="0" borderId="552" xfId="0" applyFont="1" applyFill="1" applyBorder="1" applyAlignment="1">
      <alignment vertical="center"/>
    </xf>
    <xf numFmtId="0" fontId="2" fillId="0" borderId="568" xfId="0" applyFont="1" applyFill="1" applyBorder="1" applyAlignment="1">
      <alignment vertical="center"/>
    </xf>
    <xf numFmtId="0" fontId="2" fillId="0" borderId="3928" xfId="0" applyFont="1" applyFill="1" applyBorder="1" applyAlignment="1">
      <alignment vertical="center"/>
    </xf>
    <xf numFmtId="0" fontId="3" fillId="0" borderId="1962" xfId="0" applyFont="1" applyFill="1" applyBorder="1" applyAlignment="1">
      <alignment vertical="center"/>
    </xf>
    <xf numFmtId="0" fontId="3" fillId="0" borderId="736" xfId="0" applyFont="1" applyFill="1" applyBorder="1" applyAlignment="1">
      <alignment vertical="center"/>
    </xf>
    <xf numFmtId="0" fontId="2" fillId="0" borderId="920" xfId="0" applyFont="1" applyFill="1" applyBorder="1" applyAlignment="1">
      <alignment vertical="center"/>
    </xf>
    <xf numFmtId="0" fontId="2" fillId="0" borderId="1232" xfId="0" applyFont="1" applyFill="1" applyBorder="1" applyAlignment="1">
      <alignment vertical="center"/>
    </xf>
    <xf numFmtId="0" fontId="2" fillId="0" borderId="2680" xfId="0" applyFont="1" applyFill="1" applyBorder="1" applyAlignment="1">
      <alignment vertical="center"/>
    </xf>
    <xf numFmtId="0" fontId="2" fillId="0" borderId="1290" xfId="0" applyFont="1" applyFill="1" applyBorder="1" applyAlignment="1">
      <alignment vertical="center"/>
    </xf>
    <xf numFmtId="0" fontId="2" fillId="0" borderId="1320" xfId="0" applyFont="1" applyFill="1" applyBorder="1" applyAlignment="1">
      <alignment vertical="center"/>
    </xf>
    <xf numFmtId="0" fontId="3" fillId="0" borderId="1592" xfId="0" applyFont="1" applyFill="1" applyBorder="1" applyAlignment="1">
      <alignment vertical="center"/>
    </xf>
    <xf numFmtId="0" fontId="2" fillId="0" borderId="1952" xfId="0" applyFont="1" applyFill="1" applyBorder="1" applyAlignment="1">
      <alignment vertical="center"/>
    </xf>
    <xf numFmtId="0" fontId="3" fillId="0" borderId="2208" xfId="0" applyFont="1" applyFill="1" applyBorder="1" applyAlignment="1">
      <alignment vertical="center"/>
    </xf>
    <xf numFmtId="0" fontId="2" fillId="0" borderId="2296" xfId="0" applyFont="1" applyFill="1" applyBorder="1" applyAlignment="1">
      <alignment vertical="center"/>
    </xf>
    <xf numFmtId="0" fontId="2" fillId="0" borderId="2320" xfId="0" applyFont="1" applyFill="1" applyBorder="1" applyAlignment="1">
      <alignment vertical="center"/>
    </xf>
    <xf numFmtId="0" fontId="2" fillId="0" borderId="2336" xfId="0" applyFont="1" applyFill="1" applyBorder="1" applyAlignment="1">
      <alignment vertical="center"/>
    </xf>
    <xf numFmtId="0" fontId="2" fillId="0" borderId="2416" xfId="0" applyFont="1" applyFill="1" applyBorder="1" applyAlignment="1">
      <alignment vertical="center"/>
    </xf>
    <xf numFmtId="0" fontId="2" fillId="0" borderId="2584" xfId="0" applyFont="1" applyFill="1" applyBorder="1" applyAlignment="1">
      <alignment vertical="center"/>
    </xf>
    <xf numFmtId="0" fontId="2" fillId="0" borderId="2808" xfId="0" applyFont="1" applyFill="1" applyBorder="1" applyAlignment="1">
      <alignment vertical="center"/>
    </xf>
    <xf numFmtId="0" fontId="3" fillId="0" borderId="2864" xfId="0" applyFont="1" applyFill="1" applyBorder="1" applyAlignment="1">
      <alignment vertical="center"/>
    </xf>
    <xf numFmtId="0" fontId="2" fillId="0" borderId="2888" xfId="0" applyFont="1" applyFill="1" applyBorder="1" applyAlignment="1">
      <alignment vertical="center"/>
    </xf>
    <xf numFmtId="0" fontId="2" fillId="0" borderId="2920" xfId="0" applyFont="1" applyFill="1" applyBorder="1" applyAlignment="1">
      <alignment vertical="center"/>
    </xf>
    <xf numFmtId="0" fontId="2" fillId="0" borderId="3160" xfId="0" applyFont="1" applyFill="1" applyBorder="1" applyAlignment="1">
      <alignment vertical="center"/>
    </xf>
    <xf numFmtId="0" fontId="3" fillId="0" borderId="3592" xfId="0" applyFont="1" applyFill="1" applyBorder="1" applyAlignment="1">
      <alignment vertical="center"/>
    </xf>
    <xf numFmtId="0" fontId="3" fillId="0" borderId="4104" xfId="0" applyFont="1" applyFill="1" applyBorder="1" applyAlignment="1">
      <alignment vertical="center"/>
    </xf>
    <xf numFmtId="0" fontId="2" fillId="0" borderId="4152" xfId="0" applyFont="1" applyFill="1" applyBorder="1" applyAlignment="1">
      <alignment vertical="center"/>
    </xf>
    <xf numFmtId="0" fontId="2" fillId="0" borderId="4224" xfId="0" applyFont="1" applyFill="1" applyBorder="1" applyAlignment="1">
      <alignment vertical="center"/>
    </xf>
    <xf numFmtId="0" fontId="2" fillId="0" borderId="4528" xfId="0" applyFont="1" applyFill="1" applyBorder="1" applyAlignment="1">
      <alignment vertical="center"/>
    </xf>
    <xf numFmtId="0" fontId="3" fillId="0" borderId="4680" xfId="0" applyFont="1" applyFill="1" applyBorder="1" applyAlignment="1">
      <alignment vertical="center"/>
    </xf>
    <xf numFmtId="0" fontId="3" fillId="0" borderId="5120" xfId="0" applyFont="1" applyFill="1" applyBorder="1" applyAlignment="1">
      <alignment vertical="center"/>
    </xf>
    <xf numFmtId="0" fontId="3" fillId="0" borderId="5568" xfId="0" applyFont="1" applyFill="1" applyBorder="1" applyAlignment="1">
      <alignment vertical="center"/>
    </xf>
    <xf numFmtId="0" fontId="3" fillId="0" borderId="5858" xfId="0" applyFont="1" applyFill="1" applyBorder="1" applyAlignment="1">
      <alignment vertical="center"/>
    </xf>
    <xf numFmtId="0" fontId="2" fillId="0" borderId="0" xfId="0" applyFont="1" applyFill="1"/>
    <xf numFmtId="0" fontId="2" fillId="0" borderId="16" xfId="0" applyFont="1" applyFill="1" applyBorder="1" applyAlignment="1">
      <alignment vertical="center"/>
    </xf>
    <xf numFmtId="0" fontId="2" fillId="0" borderId="0" xfId="0" applyFont="1" applyFill="1" applyBorder="1"/>
    <xf numFmtId="0" fontId="2" fillId="0" borderId="0" xfId="0" pivotButton="1" applyFont="1"/>
    <xf numFmtId="0" fontId="3" fillId="12" borderId="5937" xfId="0" applyFont="1" applyFill="1" applyBorder="1" applyAlignment="1">
      <alignment vertical="center"/>
    </xf>
    <xf numFmtId="0" fontId="2" fillId="0" borderId="5938" xfId="0" applyFont="1" applyBorder="1"/>
    <xf numFmtId="0" fontId="2" fillId="0" borderId="5938" xfId="0" applyFont="1" applyFill="1" applyBorder="1" applyAlignment="1">
      <alignment vertical="center"/>
    </xf>
    <xf numFmtId="0" fontId="3" fillId="0" borderId="5938" xfId="0" applyFont="1" applyFill="1" applyBorder="1" applyAlignment="1">
      <alignment vertical="center"/>
    </xf>
    <xf numFmtId="0" fontId="4" fillId="6698" borderId="5938" xfId="0" applyFont="1" applyFill="1" applyBorder="1"/>
    <xf numFmtId="0" fontId="3" fillId="11" borderId="5939" xfId="0" applyFont="1" applyFill="1" applyBorder="1" applyAlignment="1">
      <alignment vertical="center"/>
    </xf>
    <xf numFmtId="0" fontId="3" fillId="20" borderId="5939" xfId="0" applyFont="1" applyFill="1" applyBorder="1" applyAlignment="1">
      <alignment vertical="center"/>
    </xf>
    <xf numFmtId="0" fontId="3" fillId="29" borderId="5939" xfId="0" applyFont="1" applyFill="1" applyBorder="1" applyAlignment="1">
      <alignment vertical="center"/>
    </xf>
    <xf numFmtId="0" fontId="3" fillId="38" borderId="5939" xfId="0" applyFont="1" applyFill="1" applyBorder="1" applyAlignment="1">
      <alignment vertical="center"/>
    </xf>
    <xf numFmtId="0" fontId="3" fillId="47" borderId="5939" xfId="0" applyFont="1" applyFill="1" applyBorder="1" applyAlignment="1">
      <alignment vertical="center"/>
    </xf>
    <xf numFmtId="0" fontId="3" fillId="56" borderId="5939" xfId="0" applyFont="1" applyFill="1" applyBorder="1" applyAlignment="1">
      <alignment vertical="center"/>
    </xf>
    <xf numFmtId="0" fontId="3" fillId="65" borderId="5939" xfId="0" applyFont="1" applyFill="1" applyBorder="1" applyAlignment="1">
      <alignment vertical="center"/>
    </xf>
    <xf numFmtId="0" fontId="3" fillId="74" borderId="5939" xfId="0" applyFont="1" applyFill="1" applyBorder="1" applyAlignment="1">
      <alignment vertical="center"/>
    </xf>
    <xf numFmtId="0" fontId="3" fillId="83" borderId="5939" xfId="0" applyFont="1" applyFill="1" applyBorder="1" applyAlignment="1">
      <alignment vertical="center"/>
    </xf>
    <xf numFmtId="0" fontId="3" fillId="92" borderId="5939" xfId="0" applyFont="1" applyFill="1" applyBorder="1" applyAlignment="1">
      <alignment vertical="center"/>
    </xf>
    <xf numFmtId="0" fontId="3" fillId="101" borderId="5939" xfId="0" applyFont="1" applyFill="1" applyBorder="1" applyAlignment="1">
      <alignment vertical="center"/>
    </xf>
    <xf numFmtId="0" fontId="3" fillId="110" borderId="5939" xfId="0" applyFont="1" applyFill="1" applyBorder="1" applyAlignment="1">
      <alignment vertical="center"/>
    </xf>
    <xf numFmtId="0" fontId="3" fillId="119" borderId="5939" xfId="0" applyFont="1" applyFill="1" applyBorder="1" applyAlignment="1">
      <alignment vertical="center"/>
    </xf>
    <xf numFmtId="0" fontId="3" fillId="128" borderId="5939" xfId="0" applyFont="1" applyFill="1" applyBorder="1" applyAlignment="1">
      <alignment vertical="center"/>
    </xf>
    <xf numFmtId="0" fontId="3" fillId="137" borderId="5939" xfId="0" applyFont="1" applyFill="1" applyBorder="1" applyAlignment="1">
      <alignment vertical="center"/>
    </xf>
    <xf numFmtId="0" fontId="3" fillId="146" borderId="5939" xfId="0" applyFont="1" applyFill="1" applyBorder="1" applyAlignment="1">
      <alignment vertical="center"/>
    </xf>
    <xf numFmtId="0" fontId="3" fillId="155" borderId="5939" xfId="0" applyFont="1" applyFill="1" applyBorder="1" applyAlignment="1">
      <alignment vertical="center"/>
    </xf>
    <xf numFmtId="0" fontId="3" fillId="164" borderId="5939" xfId="0" applyFont="1" applyFill="1" applyBorder="1" applyAlignment="1">
      <alignment vertical="center"/>
    </xf>
    <xf numFmtId="0" fontId="3" fillId="173" borderId="5939" xfId="0" applyFont="1" applyFill="1" applyBorder="1" applyAlignment="1">
      <alignment vertical="center"/>
    </xf>
    <xf numFmtId="0" fontId="3" fillId="182" borderId="5939" xfId="0" applyFont="1" applyFill="1" applyBorder="1" applyAlignment="1">
      <alignment vertical="center"/>
    </xf>
    <xf numFmtId="0" fontId="3" fillId="191" borderId="5939" xfId="0" applyFont="1" applyFill="1" applyBorder="1" applyAlignment="1">
      <alignment vertical="center"/>
    </xf>
    <xf numFmtId="0" fontId="3" fillId="200" borderId="5939" xfId="0" applyFont="1" applyFill="1" applyBorder="1" applyAlignment="1">
      <alignment vertical="center"/>
    </xf>
    <xf numFmtId="0" fontId="3" fillId="209" borderId="5939" xfId="0" applyFont="1" applyFill="1" applyBorder="1" applyAlignment="1">
      <alignment vertical="center"/>
    </xf>
    <xf numFmtId="0" fontId="3" fillId="218" borderId="5939" xfId="0" applyFont="1" applyFill="1" applyBorder="1" applyAlignment="1">
      <alignment vertical="center"/>
    </xf>
    <xf numFmtId="0" fontId="3" fillId="227" borderId="5939" xfId="0" applyFont="1" applyFill="1" applyBorder="1" applyAlignment="1">
      <alignment vertical="center"/>
    </xf>
    <xf numFmtId="0" fontId="3" fillId="236" borderId="5939" xfId="0" applyFont="1" applyFill="1" applyBorder="1" applyAlignment="1">
      <alignment vertical="center"/>
    </xf>
    <xf numFmtId="0" fontId="3" fillId="245" borderId="5939" xfId="0" applyFont="1" applyFill="1" applyBorder="1" applyAlignment="1">
      <alignment vertical="center"/>
    </xf>
    <xf numFmtId="0" fontId="3" fillId="254" borderId="5939" xfId="0" applyFont="1" applyFill="1" applyBorder="1" applyAlignment="1">
      <alignment vertical="center"/>
    </xf>
    <xf numFmtId="0" fontId="3" fillId="263" borderId="5939" xfId="0" applyFont="1" applyFill="1" applyBorder="1" applyAlignment="1">
      <alignment vertical="center"/>
    </xf>
    <xf numFmtId="0" fontId="3" fillId="272" borderId="5939" xfId="0" applyFont="1" applyFill="1" applyBorder="1" applyAlignment="1">
      <alignment vertical="center"/>
    </xf>
    <xf numFmtId="0" fontId="3" fillId="281" borderId="5939" xfId="0" applyFont="1" applyFill="1" applyBorder="1" applyAlignment="1">
      <alignment vertical="center"/>
    </xf>
    <xf numFmtId="0" fontId="3" fillId="290" borderId="5939" xfId="0" applyFont="1" applyFill="1" applyBorder="1" applyAlignment="1">
      <alignment vertical="center"/>
    </xf>
    <xf numFmtId="0" fontId="3" fillId="299" borderId="5939" xfId="0" applyFont="1" applyFill="1" applyBorder="1" applyAlignment="1">
      <alignment vertical="center"/>
    </xf>
    <xf numFmtId="0" fontId="3" fillId="308" borderId="5939" xfId="0" applyFont="1" applyFill="1" applyBorder="1" applyAlignment="1">
      <alignment vertical="center"/>
    </xf>
    <xf numFmtId="0" fontId="3" fillId="317" borderId="5939" xfId="0" applyFont="1" applyFill="1" applyBorder="1" applyAlignment="1">
      <alignment vertical="center"/>
    </xf>
    <xf numFmtId="0" fontId="3" fillId="326" borderId="5939" xfId="0" applyFont="1" applyFill="1" applyBorder="1" applyAlignment="1">
      <alignment vertical="center"/>
    </xf>
    <xf numFmtId="0" fontId="3" fillId="335" borderId="5939" xfId="0" applyFont="1" applyFill="1" applyBorder="1" applyAlignment="1">
      <alignment vertical="center"/>
    </xf>
    <xf numFmtId="0" fontId="3" fillId="344" borderId="5939" xfId="0" applyFont="1" applyFill="1" applyBorder="1" applyAlignment="1">
      <alignment vertical="center"/>
    </xf>
    <xf numFmtId="0" fontId="3" fillId="353" borderId="5939" xfId="0" applyFont="1" applyFill="1" applyBorder="1" applyAlignment="1">
      <alignment vertical="center"/>
    </xf>
    <xf numFmtId="0" fontId="3" fillId="362" borderId="5939" xfId="0" applyFont="1" applyFill="1" applyBorder="1" applyAlignment="1">
      <alignment vertical="center"/>
    </xf>
    <xf numFmtId="0" fontId="3" fillId="371" borderId="5939" xfId="0" applyFont="1" applyFill="1" applyBorder="1" applyAlignment="1">
      <alignment vertical="center"/>
    </xf>
    <xf numFmtId="0" fontId="3" fillId="380" borderId="5939" xfId="0" applyFont="1" applyFill="1" applyBorder="1" applyAlignment="1">
      <alignment vertical="center"/>
    </xf>
    <xf numFmtId="0" fontId="3" fillId="389" borderId="5939" xfId="0" applyFont="1" applyFill="1" applyBorder="1" applyAlignment="1">
      <alignment vertical="center"/>
    </xf>
    <xf numFmtId="0" fontId="3" fillId="398" borderId="5939" xfId="0" applyFont="1" applyFill="1" applyBorder="1" applyAlignment="1">
      <alignment vertical="center"/>
    </xf>
    <xf numFmtId="0" fontId="3" fillId="407" borderId="5939" xfId="0" applyFont="1" applyFill="1" applyBorder="1" applyAlignment="1">
      <alignment vertical="center"/>
    </xf>
    <xf numFmtId="0" fontId="3" fillId="416" borderId="5939" xfId="0" applyFont="1" applyFill="1" applyBorder="1" applyAlignment="1">
      <alignment vertical="center"/>
    </xf>
    <xf numFmtId="0" fontId="3" fillId="425" borderId="5939" xfId="0" applyFont="1" applyFill="1" applyBorder="1" applyAlignment="1">
      <alignment vertical="center"/>
    </xf>
    <xf numFmtId="0" fontId="3" fillId="434" borderId="5939" xfId="0" applyFont="1" applyFill="1" applyBorder="1" applyAlignment="1">
      <alignment vertical="center"/>
    </xf>
    <xf numFmtId="0" fontId="3" fillId="443" borderId="5939" xfId="0" applyFont="1" applyFill="1" applyBorder="1" applyAlignment="1">
      <alignment vertical="center"/>
    </xf>
    <xf numFmtId="0" fontId="3" fillId="452" borderId="5939" xfId="0" applyFont="1" applyFill="1" applyBorder="1" applyAlignment="1">
      <alignment vertical="center"/>
    </xf>
    <xf numFmtId="0" fontId="3" fillId="461" borderId="5939" xfId="0" applyFont="1" applyFill="1" applyBorder="1" applyAlignment="1">
      <alignment vertical="center"/>
    </xf>
    <xf numFmtId="0" fontId="3" fillId="470" borderId="5939" xfId="0" applyFont="1" applyFill="1" applyBorder="1" applyAlignment="1">
      <alignment vertical="center"/>
    </xf>
    <xf numFmtId="0" fontId="3" fillId="479" borderId="5939" xfId="0" applyFont="1" applyFill="1" applyBorder="1" applyAlignment="1">
      <alignment vertical="center"/>
    </xf>
    <xf numFmtId="0" fontId="3" fillId="488" borderId="5939" xfId="0" applyFont="1" applyFill="1" applyBorder="1" applyAlignment="1">
      <alignment vertical="center"/>
    </xf>
    <xf numFmtId="0" fontId="3" fillId="497" borderId="5939" xfId="0" applyFont="1" applyFill="1" applyBorder="1" applyAlignment="1">
      <alignment vertical="center"/>
    </xf>
    <xf numFmtId="0" fontId="3" fillId="506" borderId="5939" xfId="0" applyFont="1" applyFill="1" applyBorder="1" applyAlignment="1">
      <alignment vertical="center"/>
    </xf>
    <xf numFmtId="0" fontId="3" fillId="515" borderId="5939" xfId="0" applyFont="1" applyFill="1" applyBorder="1" applyAlignment="1">
      <alignment vertical="center"/>
    </xf>
    <xf numFmtId="0" fontId="3" fillId="524" borderId="5939" xfId="0" applyFont="1" applyFill="1" applyBorder="1" applyAlignment="1">
      <alignment vertical="center"/>
    </xf>
    <xf numFmtId="0" fontId="3" fillId="533" borderId="5939" xfId="0" applyFont="1" applyFill="1" applyBorder="1" applyAlignment="1">
      <alignment vertical="center"/>
    </xf>
    <xf numFmtId="0" fontId="3" fillId="542" borderId="5939" xfId="0" applyFont="1" applyFill="1" applyBorder="1" applyAlignment="1">
      <alignment vertical="center"/>
    </xf>
    <xf numFmtId="0" fontId="3" fillId="551" borderId="5939" xfId="0" applyFont="1" applyFill="1" applyBorder="1" applyAlignment="1">
      <alignment vertical="center"/>
    </xf>
    <xf numFmtId="0" fontId="3" fillId="560" borderId="5939" xfId="0" applyFont="1" applyFill="1" applyBorder="1" applyAlignment="1">
      <alignment vertical="center"/>
    </xf>
    <xf numFmtId="0" fontId="3" fillId="569" borderId="5939" xfId="0" applyFont="1" applyFill="1" applyBorder="1" applyAlignment="1">
      <alignment vertical="center"/>
    </xf>
    <xf numFmtId="0" fontId="3" fillId="578" borderId="5939" xfId="0" applyFont="1" applyFill="1" applyBorder="1" applyAlignment="1">
      <alignment vertical="center"/>
    </xf>
    <xf numFmtId="0" fontId="3" fillId="587" borderId="5939" xfId="0" applyFont="1" applyFill="1" applyBorder="1" applyAlignment="1">
      <alignment vertical="center"/>
    </xf>
    <xf numFmtId="0" fontId="3" fillId="596" borderId="5939" xfId="0" applyFont="1" applyFill="1" applyBorder="1" applyAlignment="1">
      <alignment vertical="center"/>
    </xf>
    <xf numFmtId="0" fontId="3" fillId="605" borderId="5939" xfId="0" applyFont="1" applyFill="1" applyBorder="1" applyAlignment="1">
      <alignment vertical="center"/>
    </xf>
    <xf numFmtId="0" fontId="3" fillId="614" borderId="5939" xfId="0" applyFont="1" applyFill="1" applyBorder="1" applyAlignment="1">
      <alignment vertical="center"/>
    </xf>
    <xf numFmtId="0" fontId="3" fillId="623" borderId="5939" xfId="0" applyFont="1" applyFill="1" applyBorder="1" applyAlignment="1">
      <alignment vertical="center"/>
    </xf>
    <xf numFmtId="0" fontId="3" fillId="632" borderId="5939" xfId="0" applyFont="1" applyFill="1" applyBorder="1" applyAlignment="1">
      <alignment vertical="center"/>
    </xf>
    <xf numFmtId="0" fontId="3" fillId="641" borderId="5939" xfId="0" applyFont="1" applyFill="1" applyBorder="1" applyAlignment="1">
      <alignment vertical="center"/>
    </xf>
    <xf numFmtId="0" fontId="3" fillId="650" borderId="5939" xfId="0" applyFont="1" applyFill="1" applyBorder="1" applyAlignment="1">
      <alignment vertical="center"/>
    </xf>
    <xf numFmtId="0" fontId="3" fillId="659" borderId="5939" xfId="0" applyFont="1" applyFill="1" applyBorder="1" applyAlignment="1">
      <alignment vertical="center"/>
    </xf>
    <xf numFmtId="0" fontId="3" fillId="668" borderId="5939" xfId="0" applyFont="1" applyFill="1" applyBorder="1" applyAlignment="1">
      <alignment vertical="center"/>
    </xf>
    <xf numFmtId="0" fontId="3" fillId="677" borderId="5939" xfId="0" applyFont="1" applyFill="1" applyBorder="1" applyAlignment="1">
      <alignment vertical="center"/>
    </xf>
    <xf numFmtId="0" fontId="3" fillId="686" borderId="5939" xfId="0" applyFont="1" applyFill="1" applyBorder="1" applyAlignment="1">
      <alignment vertical="center"/>
    </xf>
    <xf numFmtId="0" fontId="3" fillId="695" borderId="5939" xfId="0" applyFont="1" applyFill="1" applyBorder="1" applyAlignment="1">
      <alignment vertical="center"/>
    </xf>
    <xf numFmtId="0" fontId="3" fillId="704" borderId="5939" xfId="0" applyFont="1" applyFill="1" applyBorder="1" applyAlignment="1">
      <alignment vertical="center"/>
    </xf>
    <xf numFmtId="0" fontId="3" fillId="713" borderId="5939" xfId="0" applyFont="1" applyFill="1" applyBorder="1" applyAlignment="1">
      <alignment vertical="center"/>
    </xf>
    <xf numFmtId="0" fontId="3" fillId="722" borderId="5939" xfId="0" applyFont="1" applyFill="1" applyBorder="1" applyAlignment="1">
      <alignment vertical="center"/>
    </xf>
    <xf numFmtId="0" fontId="3" fillId="731" borderId="5939" xfId="0" applyFont="1" applyFill="1" applyBorder="1" applyAlignment="1">
      <alignment vertical="center"/>
    </xf>
    <xf numFmtId="0" fontId="3" fillId="740" borderId="5939" xfId="0" applyFont="1" applyFill="1" applyBorder="1" applyAlignment="1">
      <alignment vertical="center"/>
    </xf>
    <xf numFmtId="0" fontId="3" fillId="749" borderId="5939" xfId="0" applyFont="1" applyFill="1" applyBorder="1" applyAlignment="1">
      <alignment vertical="center"/>
    </xf>
    <xf numFmtId="0" fontId="3" fillId="758" borderId="5939" xfId="0" applyFont="1" applyFill="1" applyBorder="1" applyAlignment="1">
      <alignment vertical="center"/>
    </xf>
    <xf numFmtId="0" fontId="3" fillId="767" borderId="5939" xfId="0" applyFont="1" applyFill="1" applyBorder="1" applyAlignment="1">
      <alignment vertical="center"/>
    </xf>
    <xf numFmtId="0" fontId="3" fillId="776" borderId="5939" xfId="0" applyFont="1" applyFill="1" applyBorder="1" applyAlignment="1">
      <alignment vertical="center"/>
    </xf>
    <xf numFmtId="0" fontId="3" fillId="785" borderId="5939" xfId="0" applyFont="1" applyFill="1" applyBorder="1" applyAlignment="1">
      <alignment vertical="center"/>
    </xf>
    <xf numFmtId="0" fontId="3" fillId="794" borderId="5939" xfId="0" applyFont="1" applyFill="1" applyBorder="1" applyAlignment="1">
      <alignment vertical="center"/>
    </xf>
    <xf numFmtId="0" fontId="3" fillId="803" borderId="5939" xfId="0" applyFont="1" applyFill="1" applyBorder="1" applyAlignment="1">
      <alignment vertical="center"/>
    </xf>
    <xf numFmtId="0" fontId="3" fillId="812" borderId="5939" xfId="0" applyFont="1" applyFill="1" applyBorder="1" applyAlignment="1">
      <alignment vertical="center"/>
    </xf>
    <xf numFmtId="0" fontId="3" fillId="821" borderId="5939" xfId="0" applyFont="1" applyFill="1" applyBorder="1" applyAlignment="1">
      <alignment vertical="center"/>
    </xf>
    <xf numFmtId="0" fontId="3" fillId="830" borderId="5939" xfId="0" applyFont="1" applyFill="1" applyBorder="1" applyAlignment="1">
      <alignment vertical="center"/>
    </xf>
    <xf numFmtId="0" fontId="3" fillId="839" borderId="5939" xfId="0" applyFont="1" applyFill="1" applyBorder="1" applyAlignment="1">
      <alignment vertical="center"/>
    </xf>
    <xf numFmtId="0" fontId="3" fillId="848" borderId="5939" xfId="0" applyFont="1" applyFill="1" applyBorder="1" applyAlignment="1">
      <alignment vertical="center"/>
    </xf>
    <xf numFmtId="0" fontId="3" fillId="857" borderId="5939" xfId="0" applyFont="1" applyFill="1" applyBorder="1" applyAlignment="1">
      <alignment vertical="center"/>
    </xf>
    <xf numFmtId="0" fontId="3" fillId="866" borderId="5939" xfId="0" applyFont="1" applyFill="1" applyBorder="1" applyAlignment="1">
      <alignment vertical="center"/>
    </xf>
    <xf numFmtId="0" fontId="3" fillId="875" borderId="5939" xfId="0" applyFont="1" applyFill="1" applyBorder="1" applyAlignment="1">
      <alignment vertical="center"/>
    </xf>
    <xf numFmtId="0" fontId="3" fillId="884" borderId="5939" xfId="0" applyFont="1" applyFill="1" applyBorder="1" applyAlignment="1">
      <alignment vertical="center"/>
    </xf>
    <xf numFmtId="0" fontId="3" fillId="893" borderId="5939" xfId="0" applyFont="1" applyFill="1" applyBorder="1" applyAlignment="1">
      <alignment vertical="center"/>
    </xf>
    <xf numFmtId="0" fontId="3" fillId="902" borderId="5939" xfId="0" applyFont="1" applyFill="1" applyBorder="1" applyAlignment="1">
      <alignment vertical="center"/>
    </xf>
    <xf numFmtId="0" fontId="3" fillId="911" borderId="5939" xfId="0" applyFont="1" applyFill="1" applyBorder="1" applyAlignment="1">
      <alignment vertical="center"/>
    </xf>
    <xf numFmtId="0" fontId="3" fillId="920" borderId="5939" xfId="0" applyFont="1" applyFill="1" applyBorder="1" applyAlignment="1">
      <alignment vertical="center"/>
    </xf>
    <xf numFmtId="0" fontId="3" fillId="929" borderId="5939" xfId="0" applyFont="1" applyFill="1" applyBorder="1" applyAlignment="1">
      <alignment vertical="center"/>
    </xf>
    <xf numFmtId="0" fontId="3" fillId="938" borderId="5939" xfId="0" applyFont="1" applyFill="1" applyBorder="1" applyAlignment="1">
      <alignment vertical="center"/>
    </xf>
    <xf numFmtId="0" fontId="3" fillId="947" borderId="5939" xfId="0" applyFont="1" applyFill="1" applyBorder="1" applyAlignment="1">
      <alignment vertical="center"/>
    </xf>
    <xf numFmtId="0" fontId="3" fillId="956" borderId="5939" xfId="0" applyFont="1" applyFill="1" applyBorder="1" applyAlignment="1">
      <alignment vertical="center"/>
    </xf>
    <xf numFmtId="0" fontId="3" fillId="965" borderId="5939" xfId="0" applyFont="1" applyFill="1" applyBorder="1" applyAlignment="1">
      <alignment vertical="center"/>
    </xf>
    <xf numFmtId="0" fontId="3" fillId="974" borderId="5939" xfId="0" applyFont="1" applyFill="1" applyBorder="1" applyAlignment="1">
      <alignment vertical="center"/>
    </xf>
    <xf numFmtId="0" fontId="3" fillId="983" borderId="5939" xfId="0" applyFont="1" applyFill="1" applyBorder="1" applyAlignment="1">
      <alignment vertical="center"/>
    </xf>
    <xf numFmtId="0" fontId="3" fillId="992" borderId="5939" xfId="0" applyFont="1" applyFill="1" applyBorder="1" applyAlignment="1">
      <alignment vertical="center"/>
    </xf>
    <xf numFmtId="0" fontId="3" fillId="1001" borderId="5939" xfId="0" applyFont="1" applyFill="1" applyBorder="1" applyAlignment="1">
      <alignment vertical="center"/>
    </xf>
    <xf numFmtId="0" fontId="3" fillId="1010" borderId="5939" xfId="0" applyFont="1" applyFill="1" applyBorder="1" applyAlignment="1">
      <alignment vertical="center"/>
    </xf>
    <xf numFmtId="0" fontId="3" fillId="1019" borderId="5939" xfId="0" applyFont="1" applyFill="1" applyBorder="1" applyAlignment="1">
      <alignment vertical="center"/>
    </xf>
    <xf numFmtId="0" fontId="3" fillId="1028" borderId="5939" xfId="0" applyFont="1" applyFill="1" applyBorder="1" applyAlignment="1">
      <alignment vertical="center"/>
    </xf>
    <xf numFmtId="0" fontId="3" fillId="1037" borderId="5939" xfId="0" applyFont="1" applyFill="1" applyBorder="1" applyAlignment="1">
      <alignment vertical="center"/>
    </xf>
    <xf numFmtId="0" fontId="3" fillId="1046" borderId="5939" xfId="0" applyFont="1" applyFill="1" applyBorder="1" applyAlignment="1">
      <alignment vertical="center"/>
    </xf>
    <xf numFmtId="0" fontId="3" fillId="1055" borderId="5939" xfId="0" applyFont="1" applyFill="1" applyBorder="1" applyAlignment="1">
      <alignment vertical="center"/>
    </xf>
    <xf numFmtId="0" fontId="3" fillId="1064" borderId="5939" xfId="0" applyFont="1" applyFill="1" applyBorder="1" applyAlignment="1">
      <alignment vertical="center"/>
    </xf>
    <xf numFmtId="0" fontId="3" fillId="1073" borderId="5939" xfId="0" applyFont="1" applyFill="1" applyBorder="1" applyAlignment="1">
      <alignment vertical="center"/>
    </xf>
    <xf numFmtId="0" fontId="3" fillId="1082" borderId="5939" xfId="0" applyFont="1" applyFill="1" applyBorder="1" applyAlignment="1">
      <alignment vertical="center"/>
    </xf>
    <xf numFmtId="0" fontId="3" fillId="1091" borderId="5939" xfId="0" applyFont="1" applyFill="1" applyBorder="1" applyAlignment="1">
      <alignment vertical="center"/>
    </xf>
    <xf numFmtId="0" fontId="3" fillId="1100" borderId="5939" xfId="0" applyFont="1" applyFill="1" applyBorder="1" applyAlignment="1">
      <alignment vertical="center"/>
    </xf>
    <xf numFmtId="0" fontId="3" fillId="1109" borderId="5939" xfId="0" applyFont="1" applyFill="1" applyBorder="1" applyAlignment="1">
      <alignment vertical="center"/>
    </xf>
    <xf numFmtId="0" fontId="3" fillId="1118" borderId="5939" xfId="0" applyFont="1" applyFill="1" applyBorder="1" applyAlignment="1">
      <alignment vertical="center"/>
    </xf>
    <xf numFmtId="0" fontId="3" fillId="1127" borderId="5939" xfId="0" applyFont="1" applyFill="1" applyBorder="1" applyAlignment="1">
      <alignment vertical="center"/>
    </xf>
    <xf numFmtId="0" fontId="3" fillId="1136" borderId="5939" xfId="0" applyFont="1" applyFill="1" applyBorder="1" applyAlignment="1">
      <alignment vertical="center"/>
    </xf>
    <xf numFmtId="0" fontId="3" fillId="1145" borderId="5939" xfId="0" applyFont="1" applyFill="1" applyBorder="1" applyAlignment="1">
      <alignment vertical="center"/>
    </xf>
    <xf numFmtId="0" fontId="3" fillId="1154" borderId="5939" xfId="0" applyFont="1" applyFill="1" applyBorder="1" applyAlignment="1">
      <alignment vertical="center"/>
    </xf>
    <xf numFmtId="0" fontId="3" fillId="1163" borderId="5939" xfId="0" applyFont="1" applyFill="1" applyBorder="1" applyAlignment="1">
      <alignment vertical="center"/>
    </xf>
    <xf numFmtId="0" fontId="3" fillId="1172" borderId="5939" xfId="0" applyFont="1" applyFill="1" applyBorder="1" applyAlignment="1">
      <alignment vertical="center"/>
    </xf>
    <xf numFmtId="0" fontId="3" fillId="1181" borderId="5939" xfId="0" applyFont="1" applyFill="1" applyBorder="1" applyAlignment="1">
      <alignment vertical="center"/>
    </xf>
    <xf numFmtId="0" fontId="3" fillId="1190" borderId="5939" xfId="0" applyFont="1" applyFill="1" applyBorder="1" applyAlignment="1">
      <alignment vertical="center"/>
    </xf>
    <xf numFmtId="0" fontId="3" fillId="1199" borderId="5939" xfId="0" applyFont="1" applyFill="1" applyBorder="1" applyAlignment="1">
      <alignment vertical="center"/>
    </xf>
    <xf numFmtId="0" fontId="3" fillId="1208" borderId="5939" xfId="0" applyFont="1" applyFill="1" applyBorder="1" applyAlignment="1">
      <alignment vertical="center"/>
    </xf>
    <xf numFmtId="0" fontId="3" fillId="1217" borderId="5939" xfId="0" applyFont="1" applyFill="1" applyBorder="1" applyAlignment="1">
      <alignment vertical="center"/>
    </xf>
    <xf numFmtId="0" fontId="3" fillId="1226" borderId="5939" xfId="0" applyFont="1" applyFill="1" applyBorder="1" applyAlignment="1">
      <alignment vertical="center"/>
    </xf>
    <xf numFmtId="0" fontId="3" fillId="1235" borderId="5939" xfId="0" applyFont="1" applyFill="1" applyBorder="1" applyAlignment="1">
      <alignment vertical="center"/>
    </xf>
    <xf numFmtId="0" fontId="3" fillId="1244" borderId="5939" xfId="0" applyFont="1" applyFill="1" applyBorder="1" applyAlignment="1">
      <alignment vertical="center"/>
    </xf>
    <xf numFmtId="0" fontId="3" fillId="1253" borderId="5939" xfId="0" applyFont="1" applyFill="1" applyBorder="1" applyAlignment="1">
      <alignment vertical="center"/>
    </xf>
    <xf numFmtId="0" fontId="3" fillId="1262" borderId="5939" xfId="0" applyFont="1" applyFill="1" applyBorder="1" applyAlignment="1">
      <alignment vertical="center"/>
    </xf>
    <xf numFmtId="0" fontId="3" fillId="1271" borderId="5939" xfId="0" applyFont="1" applyFill="1" applyBorder="1" applyAlignment="1">
      <alignment vertical="center"/>
    </xf>
    <xf numFmtId="0" fontId="3" fillId="1280" borderId="5939" xfId="0" applyFont="1" applyFill="1" applyBorder="1" applyAlignment="1">
      <alignment vertical="center"/>
    </xf>
    <xf numFmtId="0" fontId="3" fillId="1289" borderId="5939" xfId="0" applyFont="1" applyFill="1" applyBorder="1" applyAlignment="1">
      <alignment vertical="center"/>
    </xf>
    <xf numFmtId="0" fontId="3" fillId="1298" borderId="5939" xfId="0" applyFont="1" applyFill="1" applyBorder="1" applyAlignment="1">
      <alignment vertical="center"/>
    </xf>
    <xf numFmtId="0" fontId="3" fillId="1307" borderId="5939" xfId="0" applyFont="1" applyFill="1" applyBorder="1" applyAlignment="1">
      <alignment vertical="center"/>
    </xf>
    <xf numFmtId="0" fontId="3" fillId="1316" borderId="5939" xfId="0" applyFont="1" applyFill="1" applyBorder="1" applyAlignment="1">
      <alignment vertical="center"/>
    </xf>
    <xf numFmtId="0" fontId="3" fillId="1325" borderId="5939" xfId="0" applyFont="1" applyFill="1" applyBorder="1" applyAlignment="1">
      <alignment vertical="center"/>
    </xf>
    <xf numFmtId="0" fontId="3" fillId="1334" borderId="5939" xfId="0" applyFont="1" applyFill="1" applyBorder="1" applyAlignment="1">
      <alignment vertical="center"/>
    </xf>
    <xf numFmtId="0" fontId="3" fillId="1343" borderId="5939" xfId="0" applyFont="1" applyFill="1" applyBorder="1" applyAlignment="1">
      <alignment vertical="center"/>
    </xf>
    <xf numFmtId="0" fontId="3" fillId="1352" borderId="5939" xfId="0" applyFont="1" applyFill="1" applyBorder="1" applyAlignment="1">
      <alignment vertical="center"/>
    </xf>
    <xf numFmtId="0" fontId="3" fillId="1361" borderId="5939" xfId="0" applyFont="1" applyFill="1" applyBorder="1" applyAlignment="1">
      <alignment vertical="center"/>
    </xf>
    <xf numFmtId="0" fontId="3" fillId="1370" borderId="5939" xfId="0" applyFont="1" applyFill="1" applyBorder="1" applyAlignment="1">
      <alignment vertical="center"/>
    </xf>
    <xf numFmtId="0" fontId="3" fillId="1379" borderId="5939" xfId="0" applyFont="1" applyFill="1" applyBorder="1" applyAlignment="1">
      <alignment vertical="center"/>
    </xf>
    <xf numFmtId="0" fontId="3" fillId="1388" borderId="5939" xfId="0" applyFont="1" applyFill="1" applyBorder="1" applyAlignment="1">
      <alignment vertical="center"/>
    </xf>
    <xf numFmtId="0" fontId="3" fillId="1397" borderId="5939" xfId="0" applyFont="1" applyFill="1" applyBorder="1" applyAlignment="1">
      <alignment vertical="center"/>
    </xf>
    <xf numFmtId="0" fontId="3" fillId="1406" borderId="5939" xfId="0" applyFont="1" applyFill="1" applyBorder="1" applyAlignment="1">
      <alignment vertical="center"/>
    </xf>
    <xf numFmtId="0" fontId="3" fillId="1415" borderId="5939" xfId="0" applyFont="1" applyFill="1" applyBorder="1" applyAlignment="1">
      <alignment vertical="center"/>
    </xf>
    <xf numFmtId="0" fontId="3" fillId="1424" borderId="5939" xfId="0" applyFont="1" applyFill="1" applyBorder="1" applyAlignment="1">
      <alignment vertical="center"/>
    </xf>
    <xf numFmtId="0" fontId="3" fillId="1433" borderId="5939" xfId="0" applyFont="1" applyFill="1" applyBorder="1" applyAlignment="1">
      <alignment vertical="center"/>
    </xf>
    <xf numFmtId="0" fontId="3" fillId="1442" borderId="5939" xfId="0" applyFont="1" applyFill="1" applyBorder="1" applyAlignment="1">
      <alignment vertical="center"/>
    </xf>
    <xf numFmtId="0" fontId="3" fillId="1451" borderId="5939" xfId="0" applyFont="1" applyFill="1" applyBorder="1" applyAlignment="1">
      <alignment vertical="center"/>
    </xf>
    <xf numFmtId="0" fontId="3" fillId="1460" borderId="5939" xfId="0" applyFont="1" applyFill="1" applyBorder="1" applyAlignment="1">
      <alignment vertical="center"/>
    </xf>
    <xf numFmtId="0" fontId="3" fillId="1469" borderId="5939" xfId="0" applyFont="1" applyFill="1" applyBorder="1" applyAlignment="1">
      <alignment vertical="center"/>
    </xf>
    <xf numFmtId="0" fontId="3" fillId="1478" borderId="5939" xfId="0" applyFont="1" applyFill="1" applyBorder="1" applyAlignment="1">
      <alignment vertical="center"/>
    </xf>
    <xf numFmtId="0" fontId="3" fillId="1487" borderId="5939" xfId="0" applyFont="1" applyFill="1" applyBorder="1" applyAlignment="1">
      <alignment vertical="center"/>
    </xf>
    <xf numFmtId="0" fontId="3" fillId="1496" borderId="5939" xfId="0" applyFont="1" applyFill="1" applyBorder="1" applyAlignment="1">
      <alignment vertical="center"/>
    </xf>
    <xf numFmtId="0" fontId="3" fillId="1505" borderId="5939" xfId="0" applyFont="1" applyFill="1" applyBorder="1" applyAlignment="1">
      <alignment vertical="center"/>
    </xf>
    <xf numFmtId="0" fontId="3" fillId="1514" borderId="5939" xfId="0" applyFont="1" applyFill="1" applyBorder="1" applyAlignment="1">
      <alignment vertical="center"/>
    </xf>
    <xf numFmtId="0" fontId="3" fillId="1523" borderId="5939" xfId="0" applyFont="1" applyFill="1" applyBorder="1" applyAlignment="1">
      <alignment vertical="center"/>
    </xf>
    <xf numFmtId="0" fontId="3" fillId="1532" borderId="5939" xfId="0" applyFont="1" applyFill="1" applyBorder="1" applyAlignment="1">
      <alignment vertical="center"/>
    </xf>
    <xf numFmtId="0" fontId="3" fillId="1541" borderId="5939" xfId="0" applyFont="1" applyFill="1" applyBorder="1" applyAlignment="1">
      <alignment vertical="center"/>
    </xf>
    <xf numFmtId="0" fontId="3" fillId="1550" borderId="5939" xfId="0" applyFont="1" applyFill="1" applyBorder="1" applyAlignment="1">
      <alignment vertical="center"/>
    </xf>
    <xf numFmtId="0" fontId="3" fillId="1559" borderId="5939" xfId="0" applyFont="1" applyFill="1" applyBorder="1" applyAlignment="1">
      <alignment vertical="center"/>
    </xf>
    <xf numFmtId="0" fontId="3" fillId="1568" borderId="5939" xfId="0" applyFont="1" applyFill="1" applyBorder="1" applyAlignment="1">
      <alignment vertical="center"/>
    </xf>
    <xf numFmtId="0" fontId="3" fillId="1577" borderId="5939" xfId="0" applyFont="1" applyFill="1" applyBorder="1" applyAlignment="1">
      <alignment vertical="center"/>
    </xf>
    <xf numFmtId="0" fontId="3" fillId="1586" borderId="5939" xfId="0" applyFont="1" applyFill="1" applyBorder="1" applyAlignment="1">
      <alignment vertical="center"/>
    </xf>
    <xf numFmtId="0" fontId="3" fillId="1595" borderId="5939" xfId="0" applyFont="1" applyFill="1" applyBorder="1" applyAlignment="1">
      <alignment vertical="center"/>
    </xf>
    <xf numFmtId="0" fontId="3" fillId="1604" borderId="5939" xfId="0" applyFont="1" applyFill="1" applyBorder="1" applyAlignment="1">
      <alignment vertical="center"/>
    </xf>
    <xf numFmtId="0" fontId="3" fillId="1613" borderId="5939" xfId="0" applyFont="1" applyFill="1" applyBorder="1" applyAlignment="1">
      <alignment vertical="center"/>
    </xf>
    <xf numFmtId="0" fontId="3" fillId="1622" borderId="5939" xfId="0" applyFont="1" applyFill="1" applyBorder="1" applyAlignment="1">
      <alignment vertical="center"/>
    </xf>
    <xf numFmtId="0" fontId="3" fillId="1631" borderId="5939" xfId="0" applyFont="1" applyFill="1" applyBorder="1" applyAlignment="1">
      <alignment vertical="center"/>
    </xf>
    <xf numFmtId="0" fontId="3" fillId="1640" borderId="5939" xfId="0" applyFont="1" applyFill="1" applyBorder="1" applyAlignment="1">
      <alignment vertical="center"/>
    </xf>
    <xf numFmtId="0" fontId="3" fillId="1649" borderId="5939" xfId="0" applyFont="1" applyFill="1" applyBorder="1" applyAlignment="1">
      <alignment vertical="center"/>
    </xf>
    <xf numFmtId="0" fontId="3" fillId="1658" borderId="5939" xfId="0" applyFont="1" applyFill="1" applyBorder="1" applyAlignment="1">
      <alignment vertical="center"/>
    </xf>
    <xf numFmtId="0" fontId="3" fillId="1667" borderId="5939" xfId="0" applyFont="1" applyFill="1" applyBorder="1" applyAlignment="1">
      <alignment vertical="center"/>
    </xf>
    <xf numFmtId="0" fontId="3" fillId="1676" borderId="5939" xfId="0" applyFont="1" applyFill="1" applyBorder="1" applyAlignment="1">
      <alignment vertical="center"/>
    </xf>
    <xf numFmtId="0" fontId="3" fillId="1685" borderId="5939" xfId="0" applyFont="1" applyFill="1" applyBorder="1" applyAlignment="1">
      <alignment vertical="center"/>
    </xf>
    <xf numFmtId="0" fontId="3" fillId="1694" borderId="5939" xfId="0" applyFont="1" applyFill="1" applyBorder="1" applyAlignment="1">
      <alignment vertical="center"/>
    </xf>
    <xf numFmtId="0" fontId="3" fillId="1703" borderId="5939" xfId="0" applyFont="1" applyFill="1" applyBorder="1" applyAlignment="1">
      <alignment vertical="center"/>
    </xf>
    <xf numFmtId="0" fontId="3" fillId="1712" borderId="5939" xfId="0" applyFont="1" applyFill="1" applyBorder="1" applyAlignment="1">
      <alignment vertical="center"/>
    </xf>
    <xf numFmtId="0" fontId="3" fillId="1721" borderId="5939" xfId="0" applyFont="1" applyFill="1" applyBorder="1" applyAlignment="1">
      <alignment vertical="center"/>
    </xf>
    <xf numFmtId="0" fontId="3" fillId="1730" borderId="5939" xfId="0" applyFont="1" applyFill="1" applyBorder="1" applyAlignment="1">
      <alignment vertical="center"/>
    </xf>
    <xf numFmtId="0" fontId="3" fillId="1739" borderId="5939" xfId="0" applyFont="1" applyFill="1" applyBorder="1" applyAlignment="1">
      <alignment vertical="center"/>
    </xf>
    <xf numFmtId="0" fontId="3" fillId="1748" borderId="5939" xfId="0" applyFont="1" applyFill="1" applyBorder="1" applyAlignment="1">
      <alignment vertical="center"/>
    </xf>
    <xf numFmtId="0" fontId="3" fillId="1757" borderId="5939" xfId="0" applyFont="1" applyFill="1" applyBorder="1" applyAlignment="1">
      <alignment vertical="center"/>
    </xf>
    <xf numFmtId="0" fontId="3" fillId="1766" borderId="5939" xfId="0" applyFont="1" applyFill="1" applyBorder="1" applyAlignment="1">
      <alignment vertical="center"/>
    </xf>
    <xf numFmtId="0" fontId="3" fillId="1775" borderId="5939" xfId="0" applyFont="1" applyFill="1" applyBorder="1" applyAlignment="1">
      <alignment vertical="center"/>
    </xf>
    <xf numFmtId="0" fontId="3" fillId="1784" borderId="5939" xfId="0" applyFont="1" applyFill="1" applyBorder="1" applyAlignment="1">
      <alignment vertical="center"/>
    </xf>
    <xf numFmtId="0" fontId="3" fillId="1793" borderId="5939" xfId="0" applyFont="1" applyFill="1" applyBorder="1" applyAlignment="1">
      <alignment vertical="center"/>
    </xf>
    <xf numFmtId="0" fontId="3" fillId="1802" borderId="5939" xfId="0" applyFont="1" applyFill="1" applyBorder="1" applyAlignment="1">
      <alignment vertical="center"/>
    </xf>
    <xf numFmtId="0" fontId="3" fillId="1811" borderId="5939" xfId="0" applyFont="1" applyFill="1" applyBorder="1" applyAlignment="1">
      <alignment vertical="center"/>
    </xf>
    <xf numFmtId="0" fontId="3" fillId="1820" borderId="5939" xfId="0" applyFont="1" applyFill="1" applyBorder="1" applyAlignment="1">
      <alignment vertical="center"/>
    </xf>
    <xf numFmtId="0" fontId="3" fillId="1829" borderId="5939" xfId="0" applyFont="1" applyFill="1" applyBorder="1" applyAlignment="1">
      <alignment vertical="center"/>
    </xf>
    <xf numFmtId="0" fontId="3" fillId="1838" borderId="5939" xfId="0" applyFont="1" applyFill="1" applyBorder="1" applyAlignment="1">
      <alignment vertical="center"/>
    </xf>
    <xf numFmtId="0" fontId="3" fillId="1847" borderId="5939" xfId="0" applyFont="1" applyFill="1" applyBorder="1" applyAlignment="1">
      <alignment vertical="center"/>
    </xf>
    <xf numFmtId="0" fontId="3" fillId="1856" borderId="5939" xfId="0" applyFont="1" applyFill="1" applyBorder="1" applyAlignment="1">
      <alignment vertical="center"/>
    </xf>
    <xf numFmtId="0" fontId="3" fillId="1865" borderId="5939" xfId="0" applyFont="1" applyFill="1" applyBorder="1" applyAlignment="1">
      <alignment vertical="center"/>
    </xf>
    <xf numFmtId="0" fontId="3" fillId="1874" borderId="5939" xfId="0" applyFont="1" applyFill="1" applyBorder="1" applyAlignment="1">
      <alignment vertical="center"/>
    </xf>
    <xf numFmtId="0" fontId="3" fillId="1883" borderId="5939" xfId="0" applyFont="1" applyFill="1" applyBorder="1" applyAlignment="1">
      <alignment vertical="center"/>
    </xf>
    <xf numFmtId="0" fontId="3" fillId="1892" borderId="5939" xfId="0" applyFont="1" applyFill="1" applyBorder="1" applyAlignment="1">
      <alignment vertical="center"/>
    </xf>
    <xf numFmtId="0" fontId="3" fillId="1901" borderId="5939" xfId="0" applyFont="1" applyFill="1" applyBorder="1" applyAlignment="1">
      <alignment vertical="center"/>
    </xf>
    <xf numFmtId="0" fontId="3" fillId="1910" borderId="5939" xfId="0" applyFont="1" applyFill="1" applyBorder="1" applyAlignment="1">
      <alignment vertical="center"/>
    </xf>
    <xf numFmtId="0" fontId="3" fillId="1919" borderId="5939" xfId="0" applyFont="1" applyFill="1" applyBorder="1" applyAlignment="1">
      <alignment vertical="center"/>
    </xf>
    <xf numFmtId="0" fontId="3" fillId="1928" borderId="5939" xfId="0" applyFont="1" applyFill="1" applyBorder="1" applyAlignment="1">
      <alignment vertical="center"/>
    </xf>
    <xf numFmtId="0" fontId="3" fillId="1937" borderId="5939" xfId="0" applyFont="1" applyFill="1" applyBorder="1" applyAlignment="1">
      <alignment vertical="center"/>
    </xf>
    <xf numFmtId="0" fontId="3" fillId="1946" borderId="5939" xfId="0" applyFont="1" applyFill="1" applyBorder="1" applyAlignment="1">
      <alignment vertical="center"/>
    </xf>
    <xf numFmtId="0" fontId="3" fillId="1955" borderId="5939" xfId="0" applyFont="1" applyFill="1" applyBorder="1" applyAlignment="1">
      <alignment vertical="center"/>
    </xf>
    <xf numFmtId="0" fontId="3" fillId="1964" borderId="5939" xfId="0" applyFont="1" applyFill="1" applyBorder="1" applyAlignment="1">
      <alignment vertical="center"/>
    </xf>
    <xf numFmtId="0" fontId="3" fillId="1973" borderId="5939" xfId="0" applyFont="1" applyFill="1" applyBorder="1" applyAlignment="1">
      <alignment vertical="center"/>
    </xf>
    <xf numFmtId="0" fontId="3" fillId="1982" borderId="5939" xfId="0" applyFont="1" applyFill="1" applyBorder="1" applyAlignment="1">
      <alignment vertical="center"/>
    </xf>
    <xf numFmtId="0" fontId="3" fillId="1991" borderId="5939" xfId="0" applyFont="1" applyFill="1" applyBorder="1" applyAlignment="1">
      <alignment vertical="center"/>
    </xf>
    <xf numFmtId="0" fontId="3" fillId="2000" borderId="5939" xfId="0" applyFont="1" applyFill="1" applyBorder="1" applyAlignment="1">
      <alignment vertical="center"/>
    </xf>
    <xf numFmtId="0" fontId="3" fillId="2009" borderId="5939" xfId="0" applyFont="1" applyFill="1" applyBorder="1" applyAlignment="1">
      <alignment vertical="center"/>
    </xf>
    <xf numFmtId="0" fontId="3" fillId="2018" borderId="5939" xfId="0" applyFont="1" applyFill="1" applyBorder="1" applyAlignment="1">
      <alignment vertical="center"/>
    </xf>
    <xf numFmtId="0" fontId="3" fillId="2027" borderId="5939" xfId="0" applyFont="1" applyFill="1" applyBorder="1" applyAlignment="1">
      <alignment vertical="center"/>
    </xf>
    <xf numFmtId="0" fontId="3" fillId="2036" borderId="5939" xfId="0" applyFont="1" applyFill="1" applyBorder="1" applyAlignment="1">
      <alignment vertical="center"/>
    </xf>
    <xf numFmtId="0" fontId="3" fillId="2045" borderId="5939" xfId="0" applyFont="1" applyFill="1" applyBorder="1" applyAlignment="1">
      <alignment vertical="center"/>
    </xf>
    <xf numFmtId="0" fontId="3" fillId="2054" borderId="5939" xfId="0" applyFont="1" applyFill="1" applyBorder="1" applyAlignment="1">
      <alignment vertical="center"/>
    </xf>
    <xf numFmtId="0" fontId="3" fillId="2063" borderId="5939" xfId="0" applyFont="1" applyFill="1" applyBorder="1" applyAlignment="1">
      <alignment vertical="center"/>
    </xf>
    <xf numFmtId="0" fontId="3" fillId="2072" borderId="5939" xfId="0" applyFont="1" applyFill="1" applyBorder="1" applyAlignment="1">
      <alignment vertical="center"/>
    </xf>
    <xf numFmtId="0" fontId="3" fillId="2081" borderId="5939" xfId="0" applyFont="1" applyFill="1" applyBorder="1" applyAlignment="1">
      <alignment vertical="center"/>
    </xf>
    <xf numFmtId="0" fontId="3" fillId="2090" borderId="5939" xfId="0" applyFont="1" applyFill="1" applyBorder="1" applyAlignment="1">
      <alignment vertical="center"/>
    </xf>
    <xf numFmtId="0" fontId="3" fillId="2099" borderId="5939" xfId="0" applyFont="1" applyFill="1" applyBorder="1" applyAlignment="1">
      <alignment vertical="center"/>
    </xf>
    <xf numFmtId="0" fontId="3" fillId="2108" borderId="5939" xfId="0" applyFont="1" applyFill="1" applyBorder="1" applyAlignment="1">
      <alignment vertical="center"/>
    </xf>
    <xf numFmtId="0" fontId="3" fillId="2117" borderId="5939" xfId="0" applyFont="1" applyFill="1" applyBorder="1" applyAlignment="1">
      <alignment vertical="center"/>
    </xf>
    <xf numFmtId="0" fontId="3" fillId="2126" borderId="5939" xfId="0" applyFont="1" applyFill="1" applyBorder="1" applyAlignment="1">
      <alignment vertical="center"/>
    </xf>
    <xf numFmtId="0" fontId="3" fillId="2135" borderId="5939" xfId="0" applyFont="1" applyFill="1" applyBorder="1" applyAlignment="1">
      <alignment vertical="center"/>
    </xf>
    <xf numFmtId="0" fontId="3" fillId="2144" borderId="5939" xfId="0" applyFont="1" applyFill="1" applyBorder="1" applyAlignment="1">
      <alignment vertical="center"/>
    </xf>
    <xf numFmtId="0" fontId="3" fillId="2153" borderId="5939" xfId="0" applyFont="1" applyFill="1" applyBorder="1" applyAlignment="1">
      <alignment vertical="center"/>
    </xf>
    <xf numFmtId="0" fontId="3" fillId="2162" borderId="5939" xfId="0" applyFont="1" applyFill="1" applyBorder="1" applyAlignment="1">
      <alignment vertical="center"/>
    </xf>
    <xf numFmtId="0" fontId="3" fillId="2171" borderId="5939" xfId="0" applyFont="1" applyFill="1" applyBorder="1" applyAlignment="1">
      <alignment vertical="center"/>
    </xf>
    <xf numFmtId="0" fontId="3" fillId="2180" borderId="5939" xfId="0" applyFont="1" applyFill="1" applyBorder="1" applyAlignment="1">
      <alignment vertical="center"/>
    </xf>
    <xf numFmtId="0" fontId="3" fillId="2189" borderId="5939" xfId="0" applyFont="1" applyFill="1" applyBorder="1" applyAlignment="1">
      <alignment vertical="center"/>
    </xf>
    <xf numFmtId="0" fontId="3" fillId="2198" borderId="5939" xfId="0" applyFont="1" applyFill="1" applyBorder="1" applyAlignment="1">
      <alignment vertical="center"/>
    </xf>
    <xf numFmtId="0" fontId="3" fillId="2207" borderId="5939" xfId="0" applyFont="1" applyFill="1" applyBorder="1" applyAlignment="1">
      <alignment vertical="center"/>
    </xf>
    <xf numFmtId="0" fontId="3" fillId="2216" borderId="5939" xfId="0" applyFont="1" applyFill="1" applyBorder="1" applyAlignment="1">
      <alignment vertical="center"/>
    </xf>
    <xf numFmtId="0" fontId="3" fillId="2225" borderId="5939" xfId="0" applyFont="1" applyFill="1" applyBorder="1" applyAlignment="1">
      <alignment vertical="center"/>
    </xf>
    <xf numFmtId="0" fontId="3" fillId="2234" borderId="5939" xfId="0" applyFont="1" applyFill="1" applyBorder="1" applyAlignment="1">
      <alignment vertical="center"/>
    </xf>
    <xf numFmtId="0" fontId="3" fillId="2243" borderId="5939" xfId="0" applyFont="1" applyFill="1" applyBorder="1" applyAlignment="1">
      <alignment vertical="center"/>
    </xf>
    <xf numFmtId="0" fontId="3" fillId="2252" borderId="5939" xfId="0" applyFont="1" applyFill="1" applyBorder="1" applyAlignment="1">
      <alignment vertical="center"/>
    </xf>
    <xf numFmtId="0" fontId="3" fillId="2261" borderId="5939" xfId="0" applyFont="1" applyFill="1" applyBorder="1" applyAlignment="1">
      <alignment vertical="center"/>
    </xf>
    <xf numFmtId="0" fontId="3" fillId="2270" borderId="5939" xfId="0" applyFont="1" applyFill="1" applyBorder="1" applyAlignment="1">
      <alignment vertical="center"/>
    </xf>
    <xf numFmtId="0" fontId="3" fillId="2279" borderId="5939" xfId="0" applyFont="1" applyFill="1" applyBorder="1" applyAlignment="1">
      <alignment vertical="center"/>
    </xf>
    <xf numFmtId="0" fontId="3" fillId="2288" borderId="5939" xfId="0" applyFont="1" applyFill="1" applyBorder="1" applyAlignment="1">
      <alignment vertical="center"/>
    </xf>
    <xf numFmtId="0" fontId="3" fillId="2297" borderId="5939" xfId="0" applyFont="1" applyFill="1" applyBorder="1" applyAlignment="1">
      <alignment vertical="center"/>
    </xf>
    <xf numFmtId="0" fontId="3" fillId="2306" borderId="5939" xfId="0" applyFont="1" applyFill="1" applyBorder="1" applyAlignment="1">
      <alignment vertical="center"/>
    </xf>
    <xf numFmtId="0" fontId="3" fillId="2315" borderId="5939" xfId="0" applyFont="1" applyFill="1" applyBorder="1" applyAlignment="1">
      <alignment vertical="center"/>
    </xf>
    <xf numFmtId="0" fontId="3" fillId="2324" borderId="5939" xfId="0" applyFont="1" applyFill="1" applyBorder="1" applyAlignment="1">
      <alignment vertical="center"/>
    </xf>
    <xf numFmtId="0" fontId="3" fillId="2333" borderId="5939" xfId="0" applyFont="1" applyFill="1" applyBorder="1" applyAlignment="1">
      <alignment vertical="center"/>
    </xf>
    <xf numFmtId="0" fontId="3" fillId="2342" borderId="5939" xfId="0" applyFont="1" applyFill="1" applyBorder="1" applyAlignment="1">
      <alignment vertical="center"/>
    </xf>
    <xf numFmtId="0" fontId="3" fillId="2351" borderId="5939" xfId="0" applyFont="1" applyFill="1" applyBorder="1" applyAlignment="1">
      <alignment vertical="center"/>
    </xf>
    <xf numFmtId="0" fontId="3" fillId="2360" borderId="5939" xfId="0" applyFont="1" applyFill="1" applyBorder="1" applyAlignment="1">
      <alignment vertical="center"/>
    </xf>
    <xf numFmtId="0" fontId="3" fillId="2369" borderId="5939" xfId="0" applyFont="1" applyFill="1" applyBorder="1" applyAlignment="1">
      <alignment vertical="center"/>
    </xf>
    <xf numFmtId="0" fontId="3" fillId="2378" borderId="5939" xfId="0" applyFont="1" applyFill="1" applyBorder="1" applyAlignment="1">
      <alignment vertical="center"/>
    </xf>
    <xf numFmtId="0" fontId="3" fillId="2387" borderId="5939" xfId="0" applyFont="1" applyFill="1" applyBorder="1" applyAlignment="1">
      <alignment vertical="center"/>
    </xf>
    <xf numFmtId="0" fontId="3" fillId="2396" borderId="5939" xfId="0" applyFont="1" applyFill="1" applyBorder="1" applyAlignment="1">
      <alignment vertical="center"/>
    </xf>
    <xf numFmtId="0" fontId="3" fillId="2405" borderId="5939" xfId="0" applyFont="1" applyFill="1" applyBorder="1" applyAlignment="1">
      <alignment vertical="center"/>
    </xf>
    <xf numFmtId="0" fontId="3" fillId="2414" borderId="5939" xfId="0" applyFont="1" applyFill="1" applyBorder="1" applyAlignment="1">
      <alignment vertical="center"/>
    </xf>
    <xf numFmtId="0" fontId="3" fillId="2423" borderId="5939" xfId="0" applyFont="1" applyFill="1" applyBorder="1" applyAlignment="1">
      <alignment vertical="center"/>
    </xf>
    <xf numFmtId="0" fontId="3" fillId="2432" borderId="5939" xfId="0" applyFont="1" applyFill="1" applyBorder="1" applyAlignment="1">
      <alignment vertical="center"/>
    </xf>
    <xf numFmtId="0" fontId="3" fillId="2441" borderId="5939" xfId="0" applyFont="1" applyFill="1" applyBorder="1" applyAlignment="1">
      <alignment vertical="center"/>
    </xf>
    <xf numFmtId="0" fontId="3" fillId="2450" borderId="5939" xfId="0" applyFont="1" applyFill="1" applyBorder="1" applyAlignment="1">
      <alignment vertical="center"/>
    </xf>
    <xf numFmtId="0" fontId="3" fillId="2459" borderId="5939" xfId="0" applyFont="1" applyFill="1" applyBorder="1" applyAlignment="1">
      <alignment vertical="center"/>
    </xf>
    <xf numFmtId="0" fontId="3" fillId="2468" borderId="5939" xfId="0" applyFont="1" applyFill="1" applyBorder="1" applyAlignment="1">
      <alignment vertical="center"/>
    </xf>
    <xf numFmtId="0" fontId="3" fillId="2477" borderId="5939" xfId="0" applyFont="1" applyFill="1" applyBorder="1" applyAlignment="1">
      <alignment vertical="center"/>
    </xf>
    <xf numFmtId="0" fontId="3" fillId="2486" borderId="5939" xfId="0" applyFont="1" applyFill="1" applyBorder="1" applyAlignment="1">
      <alignment vertical="center"/>
    </xf>
    <xf numFmtId="0" fontId="3" fillId="2495" borderId="5939" xfId="0" applyFont="1" applyFill="1" applyBorder="1" applyAlignment="1">
      <alignment vertical="center"/>
    </xf>
    <xf numFmtId="0" fontId="3" fillId="2504" borderId="5939" xfId="0" applyFont="1" applyFill="1" applyBorder="1" applyAlignment="1">
      <alignment vertical="center"/>
    </xf>
    <xf numFmtId="0" fontId="3" fillId="2513" borderId="5939" xfId="0" applyFont="1" applyFill="1" applyBorder="1" applyAlignment="1">
      <alignment vertical="center"/>
    </xf>
    <xf numFmtId="0" fontId="3" fillId="2522" borderId="5939" xfId="0" applyFont="1" applyFill="1" applyBorder="1" applyAlignment="1">
      <alignment vertical="center"/>
    </xf>
    <xf numFmtId="0" fontId="3" fillId="2531" borderId="5939" xfId="0" applyFont="1" applyFill="1" applyBorder="1" applyAlignment="1">
      <alignment vertical="center"/>
    </xf>
    <xf numFmtId="0" fontId="3" fillId="2540" borderId="5939" xfId="0" applyFont="1" applyFill="1" applyBorder="1" applyAlignment="1">
      <alignment vertical="center"/>
    </xf>
    <xf numFmtId="0" fontId="3" fillId="2549" borderId="5939" xfId="0" applyFont="1" applyFill="1" applyBorder="1" applyAlignment="1">
      <alignment vertical="center"/>
    </xf>
    <xf numFmtId="0" fontId="3" fillId="2558" borderId="5939" xfId="0" applyFont="1" applyFill="1" applyBorder="1" applyAlignment="1">
      <alignment vertical="center"/>
    </xf>
    <xf numFmtId="0" fontId="3" fillId="2567" borderId="5939" xfId="0" applyFont="1" applyFill="1" applyBorder="1" applyAlignment="1">
      <alignment vertical="center"/>
    </xf>
    <xf numFmtId="0" fontId="3" fillId="2576" borderId="5939" xfId="0" applyFont="1" applyFill="1" applyBorder="1" applyAlignment="1">
      <alignment vertical="center"/>
    </xf>
    <xf numFmtId="0" fontId="3" fillId="2585" borderId="5939" xfId="0" applyFont="1" applyFill="1" applyBorder="1" applyAlignment="1">
      <alignment vertical="center"/>
    </xf>
    <xf numFmtId="0" fontId="3" fillId="2594" borderId="5939" xfId="0" applyFont="1" applyFill="1" applyBorder="1" applyAlignment="1">
      <alignment vertical="center"/>
    </xf>
    <xf numFmtId="0" fontId="3" fillId="2603" borderId="5939" xfId="0" applyFont="1" applyFill="1" applyBorder="1" applyAlignment="1">
      <alignment vertical="center"/>
    </xf>
    <xf numFmtId="0" fontId="3" fillId="2612" borderId="5939" xfId="0" applyFont="1" applyFill="1" applyBorder="1" applyAlignment="1">
      <alignment vertical="center"/>
    </xf>
    <xf numFmtId="0" fontId="3" fillId="2621" borderId="5939" xfId="0" applyFont="1" applyFill="1" applyBorder="1" applyAlignment="1">
      <alignment vertical="center"/>
    </xf>
    <xf numFmtId="0" fontId="3" fillId="2630" borderId="5939" xfId="0" applyFont="1" applyFill="1" applyBorder="1" applyAlignment="1">
      <alignment vertical="center"/>
    </xf>
    <xf numFmtId="0" fontId="3" fillId="2639" borderId="5939" xfId="0" applyFont="1" applyFill="1" applyBorder="1" applyAlignment="1">
      <alignment vertical="center"/>
    </xf>
    <xf numFmtId="0" fontId="3" fillId="2648" borderId="5939" xfId="0" applyFont="1" applyFill="1" applyBorder="1" applyAlignment="1">
      <alignment vertical="center"/>
    </xf>
    <xf numFmtId="0" fontId="3" fillId="2657" borderId="5939" xfId="0" applyFont="1" applyFill="1" applyBorder="1" applyAlignment="1">
      <alignment vertical="center"/>
    </xf>
    <xf numFmtId="0" fontId="3" fillId="2666" borderId="5939" xfId="0" applyFont="1" applyFill="1" applyBorder="1" applyAlignment="1">
      <alignment vertical="center"/>
    </xf>
    <xf numFmtId="0" fontId="3" fillId="2675" borderId="5939" xfId="0" applyFont="1" applyFill="1" applyBorder="1" applyAlignment="1">
      <alignment vertical="center"/>
    </xf>
    <xf numFmtId="0" fontId="3" fillId="2684" borderId="5939" xfId="0" applyFont="1" applyFill="1" applyBorder="1" applyAlignment="1">
      <alignment vertical="center"/>
    </xf>
    <xf numFmtId="0" fontId="3" fillId="2693" borderId="5939" xfId="0" applyFont="1" applyFill="1" applyBorder="1" applyAlignment="1">
      <alignment vertical="center"/>
    </xf>
    <xf numFmtId="0" fontId="3" fillId="2702" borderId="5939" xfId="0" applyFont="1" applyFill="1" applyBorder="1" applyAlignment="1">
      <alignment vertical="center"/>
    </xf>
    <xf numFmtId="0" fontId="3" fillId="2711" borderId="5939" xfId="0" applyFont="1" applyFill="1" applyBorder="1" applyAlignment="1">
      <alignment vertical="center"/>
    </xf>
    <xf numFmtId="0" fontId="3" fillId="2720" borderId="5939" xfId="0" applyFont="1" applyFill="1" applyBorder="1" applyAlignment="1">
      <alignment vertical="center"/>
    </xf>
    <xf numFmtId="0" fontId="3" fillId="2729" borderId="5939" xfId="0" applyFont="1" applyFill="1" applyBorder="1" applyAlignment="1">
      <alignment vertical="center"/>
    </xf>
    <xf numFmtId="0" fontId="3" fillId="2738" borderId="5939" xfId="0" applyFont="1" applyFill="1" applyBorder="1" applyAlignment="1">
      <alignment vertical="center"/>
    </xf>
    <xf numFmtId="0" fontId="3" fillId="2747" borderId="5939" xfId="0" applyFont="1" applyFill="1" applyBorder="1" applyAlignment="1">
      <alignment vertical="center"/>
    </xf>
    <xf numFmtId="0" fontId="3" fillId="2756" borderId="5939" xfId="0" applyFont="1" applyFill="1" applyBorder="1" applyAlignment="1">
      <alignment vertical="center"/>
    </xf>
    <xf numFmtId="0" fontId="3" fillId="2765" borderId="5939" xfId="0" applyFont="1" applyFill="1" applyBorder="1" applyAlignment="1">
      <alignment vertical="center"/>
    </xf>
    <xf numFmtId="0" fontId="3" fillId="2774" borderId="5939" xfId="0" applyFont="1" applyFill="1" applyBorder="1" applyAlignment="1">
      <alignment vertical="center"/>
    </xf>
    <xf numFmtId="0" fontId="3" fillId="2783" borderId="5939" xfId="0" applyFont="1" applyFill="1" applyBorder="1" applyAlignment="1">
      <alignment vertical="center"/>
    </xf>
    <xf numFmtId="0" fontId="3" fillId="2792" borderId="5939" xfId="0" applyFont="1" applyFill="1" applyBorder="1" applyAlignment="1">
      <alignment vertical="center"/>
    </xf>
    <xf numFmtId="0" fontId="3" fillId="2801" borderId="5939" xfId="0" applyFont="1" applyFill="1" applyBorder="1" applyAlignment="1">
      <alignment vertical="center"/>
    </xf>
    <xf numFmtId="0" fontId="3" fillId="2810" borderId="5939" xfId="0" applyFont="1" applyFill="1" applyBorder="1" applyAlignment="1">
      <alignment vertical="center"/>
    </xf>
    <xf numFmtId="0" fontId="3" fillId="2819" borderId="5939" xfId="0" applyFont="1" applyFill="1" applyBorder="1" applyAlignment="1">
      <alignment vertical="center"/>
    </xf>
    <xf numFmtId="0" fontId="3" fillId="2828" borderId="5939" xfId="0" applyFont="1" applyFill="1" applyBorder="1" applyAlignment="1">
      <alignment vertical="center"/>
    </xf>
    <xf numFmtId="0" fontId="3" fillId="2837" borderId="5939" xfId="0" applyFont="1" applyFill="1" applyBorder="1" applyAlignment="1">
      <alignment vertical="center"/>
    </xf>
    <xf numFmtId="0" fontId="3" fillId="2846" borderId="5939" xfId="0" applyFont="1" applyFill="1" applyBorder="1" applyAlignment="1">
      <alignment vertical="center"/>
    </xf>
    <xf numFmtId="0" fontId="3" fillId="2855" borderId="5939" xfId="0" applyFont="1" applyFill="1" applyBorder="1" applyAlignment="1">
      <alignment vertical="center"/>
    </xf>
    <xf numFmtId="0" fontId="3" fillId="2864" borderId="5939" xfId="0" applyFont="1" applyFill="1" applyBorder="1" applyAlignment="1">
      <alignment vertical="center"/>
    </xf>
    <xf numFmtId="0" fontId="3" fillId="2873" borderId="5939" xfId="0" applyFont="1" applyFill="1" applyBorder="1" applyAlignment="1">
      <alignment vertical="center"/>
    </xf>
    <xf numFmtId="0" fontId="3" fillId="2882" borderId="5939" xfId="0" applyFont="1" applyFill="1" applyBorder="1" applyAlignment="1">
      <alignment vertical="center"/>
    </xf>
    <xf numFmtId="0" fontId="3" fillId="2891" borderId="5939" xfId="0" applyFont="1" applyFill="1" applyBorder="1" applyAlignment="1">
      <alignment vertical="center"/>
    </xf>
    <xf numFmtId="0" fontId="3" fillId="2900" borderId="5939" xfId="0" applyFont="1" applyFill="1" applyBorder="1" applyAlignment="1">
      <alignment vertical="center"/>
    </xf>
    <xf numFmtId="0" fontId="3" fillId="2909" borderId="5939" xfId="0" applyFont="1" applyFill="1" applyBorder="1" applyAlignment="1">
      <alignment vertical="center"/>
    </xf>
    <xf numFmtId="0" fontId="3" fillId="2918" borderId="5939" xfId="0" applyFont="1" applyFill="1" applyBorder="1" applyAlignment="1">
      <alignment vertical="center"/>
    </xf>
    <xf numFmtId="0" fontId="3" fillId="2927" borderId="5939" xfId="0" applyFont="1" applyFill="1" applyBorder="1" applyAlignment="1">
      <alignment vertical="center"/>
    </xf>
    <xf numFmtId="0" fontId="3" fillId="2936" borderId="5939" xfId="0" applyFont="1" applyFill="1" applyBorder="1" applyAlignment="1">
      <alignment vertical="center"/>
    </xf>
    <xf numFmtId="0" fontId="3" fillId="2945" borderId="5939" xfId="0" applyFont="1" applyFill="1" applyBorder="1" applyAlignment="1">
      <alignment vertical="center"/>
    </xf>
    <xf numFmtId="0" fontId="3" fillId="2954" borderId="5939" xfId="0" applyFont="1" applyFill="1" applyBorder="1" applyAlignment="1">
      <alignment vertical="center"/>
    </xf>
    <xf numFmtId="0" fontId="3" fillId="2963" borderId="5939" xfId="0" applyFont="1" applyFill="1" applyBorder="1" applyAlignment="1">
      <alignment vertical="center"/>
    </xf>
    <xf numFmtId="0" fontId="3" fillId="2972" borderId="5939" xfId="0" applyFont="1" applyFill="1" applyBorder="1" applyAlignment="1">
      <alignment vertical="center"/>
    </xf>
    <xf numFmtId="0" fontId="3" fillId="2981" borderId="5939" xfId="0" applyFont="1" applyFill="1" applyBorder="1" applyAlignment="1">
      <alignment vertical="center"/>
    </xf>
    <xf numFmtId="0" fontId="3" fillId="2990" borderId="5939" xfId="0" applyFont="1" applyFill="1" applyBorder="1" applyAlignment="1">
      <alignment vertical="center"/>
    </xf>
    <xf numFmtId="0" fontId="3" fillId="2999" borderId="5939" xfId="0" applyFont="1" applyFill="1" applyBorder="1" applyAlignment="1">
      <alignment vertical="center"/>
    </xf>
    <xf numFmtId="0" fontId="3" fillId="3008" borderId="5939" xfId="0" applyFont="1" applyFill="1" applyBorder="1" applyAlignment="1">
      <alignment vertical="center"/>
    </xf>
    <xf numFmtId="0" fontId="3" fillId="3017" borderId="5939" xfId="0" applyFont="1" applyFill="1" applyBorder="1" applyAlignment="1">
      <alignment vertical="center"/>
    </xf>
    <xf numFmtId="0" fontId="3" fillId="3026" borderId="5939" xfId="0" applyFont="1" applyFill="1" applyBorder="1" applyAlignment="1">
      <alignment vertical="center"/>
    </xf>
    <xf numFmtId="0" fontId="3" fillId="3035" borderId="5939" xfId="0" applyFont="1" applyFill="1" applyBorder="1" applyAlignment="1">
      <alignment vertical="center"/>
    </xf>
    <xf numFmtId="0" fontId="3" fillId="3044" borderId="5939" xfId="0" applyFont="1" applyFill="1" applyBorder="1" applyAlignment="1">
      <alignment vertical="center"/>
    </xf>
    <xf numFmtId="0" fontId="3" fillId="3053" borderId="5939" xfId="0" applyFont="1" applyFill="1" applyBorder="1" applyAlignment="1">
      <alignment vertical="center"/>
    </xf>
    <xf numFmtId="0" fontId="3" fillId="3062" borderId="5939" xfId="0" applyFont="1" applyFill="1" applyBorder="1" applyAlignment="1">
      <alignment vertical="center"/>
    </xf>
    <xf numFmtId="0" fontId="3" fillId="3071" borderId="5939" xfId="0" applyFont="1" applyFill="1" applyBorder="1" applyAlignment="1">
      <alignment vertical="center"/>
    </xf>
    <xf numFmtId="0" fontId="3" fillId="3080" borderId="5939" xfId="0" applyFont="1" applyFill="1" applyBorder="1" applyAlignment="1">
      <alignment vertical="center"/>
    </xf>
    <xf numFmtId="0" fontId="3" fillId="3089" borderId="5939" xfId="0" applyFont="1" applyFill="1" applyBorder="1" applyAlignment="1">
      <alignment vertical="center"/>
    </xf>
    <xf numFmtId="0" fontId="3" fillId="3098" borderId="5939" xfId="0" applyFont="1" applyFill="1" applyBorder="1" applyAlignment="1">
      <alignment vertical="center"/>
    </xf>
    <xf numFmtId="0" fontId="3" fillId="3107" borderId="5939" xfId="0" applyFont="1" applyFill="1" applyBorder="1" applyAlignment="1">
      <alignment vertical="center"/>
    </xf>
    <xf numFmtId="0" fontId="3" fillId="3116" borderId="5939" xfId="0" applyFont="1" applyFill="1" applyBorder="1" applyAlignment="1">
      <alignment vertical="center"/>
    </xf>
    <xf numFmtId="0" fontId="3" fillId="3125" borderId="5939" xfId="0" applyFont="1" applyFill="1" applyBorder="1" applyAlignment="1">
      <alignment vertical="center"/>
    </xf>
    <xf numFmtId="0" fontId="3" fillId="3134" borderId="5939" xfId="0" applyFont="1" applyFill="1" applyBorder="1" applyAlignment="1">
      <alignment vertical="center"/>
    </xf>
    <xf numFmtId="0" fontId="3" fillId="3143" borderId="5939" xfId="0" applyFont="1" applyFill="1" applyBorder="1" applyAlignment="1">
      <alignment vertical="center"/>
    </xf>
    <xf numFmtId="0" fontId="3" fillId="3152" borderId="5939" xfId="0" applyFont="1" applyFill="1" applyBorder="1" applyAlignment="1">
      <alignment vertical="center"/>
    </xf>
    <xf numFmtId="0" fontId="3" fillId="3161" borderId="5939" xfId="0" applyFont="1" applyFill="1" applyBorder="1" applyAlignment="1">
      <alignment vertical="center"/>
    </xf>
    <xf numFmtId="0" fontId="3" fillId="3170" borderId="5939" xfId="0" applyFont="1" applyFill="1" applyBorder="1" applyAlignment="1">
      <alignment vertical="center"/>
    </xf>
    <xf numFmtId="0" fontId="3" fillId="3179" borderId="5939" xfId="0" applyFont="1" applyFill="1" applyBorder="1" applyAlignment="1">
      <alignment vertical="center"/>
    </xf>
    <xf numFmtId="0" fontId="3" fillId="3188" borderId="5939" xfId="0" applyFont="1" applyFill="1" applyBorder="1" applyAlignment="1">
      <alignment vertical="center"/>
    </xf>
    <xf numFmtId="0" fontId="3" fillId="3197" borderId="5939" xfId="0" applyFont="1" applyFill="1" applyBorder="1" applyAlignment="1">
      <alignment vertical="center"/>
    </xf>
    <xf numFmtId="0" fontId="3" fillId="3206" borderId="5939" xfId="0" applyFont="1" applyFill="1" applyBorder="1" applyAlignment="1">
      <alignment vertical="center"/>
    </xf>
    <xf numFmtId="0" fontId="3" fillId="3215" borderId="5939" xfId="0" applyFont="1" applyFill="1" applyBorder="1" applyAlignment="1">
      <alignment vertical="center"/>
    </xf>
    <xf numFmtId="0" fontId="3" fillId="3224" borderId="5939" xfId="0" applyFont="1" applyFill="1" applyBorder="1" applyAlignment="1">
      <alignment vertical="center"/>
    </xf>
    <xf numFmtId="0" fontId="3" fillId="3233" borderId="5939" xfId="0" applyFont="1" applyFill="1" applyBorder="1" applyAlignment="1">
      <alignment vertical="center"/>
    </xf>
    <xf numFmtId="0" fontId="3" fillId="3242" borderId="5939" xfId="0" applyFont="1" applyFill="1" applyBorder="1" applyAlignment="1">
      <alignment vertical="center"/>
    </xf>
    <xf numFmtId="0" fontId="3" fillId="3251" borderId="5939" xfId="0" applyFont="1" applyFill="1" applyBorder="1" applyAlignment="1">
      <alignment vertical="center"/>
    </xf>
    <xf numFmtId="0" fontId="3" fillId="3260" borderId="5939" xfId="0" applyFont="1" applyFill="1" applyBorder="1" applyAlignment="1">
      <alignment vertical="center"/>
    </xf>
    <xf numFmtId="0" fontId="3" fillId="3269" borderId="5939" xfId="0" applyFont="1" applyFill="1" applyBorder="1" applyAlignment="1">
      <alignment vertical="center"/>
    </xf>
    <xf numFmtId="0" fontId="3" fillId="3278" borderId="5939" xfId="0" applyFont="1" applyFill="1" applyBorder="1" applyAlignment="1">
      <alignment vertical="center"/>
    </xf>
    <xf numFmtId="0" fontId="3" fillId="3287" borderId="5939" xfId="0" applyFont="1" applyFill="1" applyBorder="1" applyAlignment="1">
      <alignment vertical="center"/>
    </xf>
    <xf numFmtId="0" fontId="3" fillId="3296" borderId="5939" xfId="0" applyFont="1" applyFill="1" applyBorder="1" applyAlignment="1">
      <alignment vertical="center"/>
    </xf>
    <xf numFmtId="0" fontId="3" fillId="3305" borderId="5939" xfId="0" applyFont="1" applyFill="1" applyBorder="1" applyAlignment="1">
      <alignment vertical="center"/>
    </xf>
    <xf numFmtId="0" fontId="3" fillId="3314" borderId="5939" xfId="0" applyFont="1" applyFill="1" applyBorder="1" applyAlignment="1">
      <alignment vertical="center"/>
    </xf>
    <xf numFmtId="0" fontId="3" fillId="3323" borderId="5939" xfId="0" applyFont="1" applyFill="1" applyBorder="1" applyAlignment="1">
      <alignment vertical="center"/>
    </xf>
    <xf numFmtId="0" fontId="3" fillId="3332" borderId="5939" xfId="0" applyFont="1" applyFill="1" applyBorder="1" applyAlignment="1">
      <alignment vertical="center"/>
    </xf>
    <xf numFmtId="0" fontId="3" fillId="3341" borderId="5939" xfId="0" applyFont="1" applyFill="1" applyBorder="1" applyAlignment="1">
      <alignment vertical="center"/>
    </xf>
    <xf numFmtId="0" fontId="3" fillId="3350" borderId="5939" xfId="0" applyFont="1" applyFill="1" applyBorder="1" applyAlignment="1">
      <alignment vertical="center"/>
    </xf>
    <xf numFmtId="0" fontId="3" fillId="3359" borderId="5939" xfId="0" applyFont="1" applyFill="1" applyBorder="1" applyAlignment="1">
      <alignment vertical="center"/>
    </xf>
    <xf numFmtId="0" fontId="3" fillId="3368" borderId="5939" xfId="0" applyFont="1" applyFill="1" applyBorder="1" applyAlignment="1">
      <alignment vertical="center"/>
    </xf>
    <xf numFmtId="0" fontId="3" fillId="3377" borderId="5939" xfId="0" applyFont="1" applyFill="1" applyBorder="1" applyAlignment="1">
      <alignment vertical="center"/>
    </xf>
    <xf numFmtId="0" fontId="3" fillId="3386" borderId="5939" xfId="0" applyFont="1" applyFill="1" applyBorder="1" applyAlignment="1">
      <alignment vertical="center"/>
    </xf>
    <xf numFmtId="0" fontId="3" fillId="3395" borderId="5939" xfId="0" applyFont="1" applyFill="1" applyBorder="1" applyAlignment="1">
      <alignment vertical="center"/>
    </xf>
    <xf numFmtId="0" fontId="3" fillId="3404" borderId="5939" xfId="0" applyFont="1" applyFill="1" applyBorder="1" applyAlignment="1">
      <alignment vertical="center"/>
    </xf>
    <xf numFmtId="0" fontId="3" fillId="3413" borderId="5939" xfId="0" applyFont="1" applyFill="1" applyBorder="1" applyAlignment="1">
      <alignment vertical="center"/>
    </xf>
    <xf numFmtId="0" fontId="3" fillId="3422" borderId="5939" xfId="0" applyFont="1" applyFill="1" applyBorder="1" applyAlignment="1">
      <alignment vertical="center"/>
    </xf>
    <xf numFmtId="0" fontId="3" fillId="3431" borderId="5939" xfId="0" applyFont="1" applyFill="1" applyBorder="1" applyAlignment="1">
      <alignment vertical="center"/>
    </xf>
    <xf numFmtId="0" fontId="3" fillId="3440" borderId="5939" xfId="0" applyFont="1" applyFill="1" applyBorder="1" applyAlignment="1">
      <alignment vertical="center"/>
    </xf>
    <xf numFmtId="0" fontId="3" fillId="3449" borderId="5939" xfId="0" applyFont="1" applyFill="1" applyBorder="1" applyAlignment="1">
      <alignment vertical="center"/>
    </xf>
    <xf numFmtId="0" fontId="3" fillId="3458" borderId="5939" xfId="0" applyFont="1" applyFill="1" applyBorder="1" applyAlignment="1">
      <alignment vertical="center"/>
    </xf>
    <xf numFmtId="0" fontId="3" fillId="3467" borderId="5939" xfId="0" applyFont="1" applyFill="1" applyBorder="1" applyAlignment="1">
      <alignment vertical="center"/>
    </xf>
    <xf numFmtId="0" fontId="3" fillId="3476" borderId="5939" xfId="0" applyFont="1" applyFill="1" applyBorder="1" applyAlignment="1">
      <alignment vertical="center"/>
    </xf>
    <xf numFmtId="0" fontId="3" fillId="3485" borderId="5939" xfId="0" applyFont="1" applyFill="1" applyBorder="1" applyAlignment="1">
      <alignment vertical="center"/>
    </xf>
    <xf numFmtId="0" fontId="3" fillId="3494" borderId="5939" xfId="0" applyFont="1" applyFill="1" applyBorder="1" applyAlignment="1">
      <alignment vertical="center"/>
    </xf>
    <xf numFmtId="0" fontId="3" fillId="3503" borderId="5939" xfId="0" applyFont="1" applyFill="1" applyBorder="1" applyAlignment="1">
      <alignment vertical="center"/>
    </xf>
    <xf numFmtId="0" fontId="3" fillId="3512" borderId="5939" xfId="0" applyFont="1" applyFill="1" applyBorder="1" applyAlignment="1">
      <alignment vertical="center"/>
    </xf>
    <xf numFmtId="0" fontId="3" fillId="3521" borderId="5939" xfId="0" applyFont="1" applyFill="1" applyBorder="1" applyAlignment="1">
      <alignment vertical="center"/>
    </xf>
    <xf numFmtId="0" fontId="3" fillId="3530" borderId="5939" xfId="0" applyFont="1" applyFill="1" applyBorder="1" applyAlignment="1">
      <alignment vertical="center"/>
    </xf>
    <xf numFmtId="0" fontId="3" fillId="3539" borderId="5939" xfId="0" applyFont="1" applyFill="1" applyBorder="1" applyAlignment="1">
      <alignment vertical="center"/>
    </xf>
    <xf numFmtId="0" fontId="3" fillId="3548" borderId="5939" xfId="0" applyFont="1" applyFill="1" applyBorder="1" applyAlignment="1">
      <alignment vertical="center"/>
    </xf>
    <xf numFmtId="0" fontId="3" fillId="3557" borderId="5939" xfId="0" applyFont="1" applyFill="1" applyBorder="1" applyAlignment="1">
      <alignment vertical="center"/>
    </xf>
    <xf numFmtId="0" fontId="3" fillId="3566" borderId="5939" xfId="0" applyFont="1" applyFill="1" applyBorder="1" applyAlignment="1">
      <alignment vertical="center"/>
    </xf>
    <xf numFmtId="0" fontId="3" fillId="3575" borderId="5939" xfId="0" applyFont="1" applyFill="1" applyBorder="1" applyAlignment="1">
      <alignment vertical="center"/>
    </xf>
    <xf numFmtId="0" fontId="3" fillId="3584" borderId="5939" xfId="0" applyFont="1" applyFill="1" applyBorder="1" applyAlignment="1">
      <alignment vertical="center"/>
    </xf>
    <xf numFmtId="0" fontId="3" fillId="3593" borderId="5939" xfId="0" applyFont="1" applyFill="1" applyBorder="1" applyAlignment="1">
      <alignment vertical="center"/>
    </xf>
    <xf numFmtId="0" fontId="3" fillId="3602" borderId="5939" xfId="0" applyFont="1" applyFill="1" applyBorder="1" applyAlignment="1">
      <alignment vertical="center"/>
    </xf>
    <xf numFmtId="0" fontId="3" fillId="3611" borderId="5939" xfId="0" applyFont="1" applyFill="1" applyBorder="1" applyAlignment="1">
      <alignment vertical="center"/>
    </xf>
    <xf numFmtId="0" fontId="3" fillId="3620" borderId="5939" xfId="0" applyFont="1" applyFill="1" applyBorder="1" applyAlignment="1">
      <alignment vertical="center"/>
    </xf>
    <xf numFmtId="0" fontId="3" fillId="3629" borderId="5939" xfId="0" applyFont="1" applyFill="1" applyBorder="1" applyAlignment="1">
      <alignment vertical="center"/>
    </xf>
    <xf numFmtId="0" fontId="3" fillId="3638" borderId="5939" xfId="0" applyFont="1" applyFill="1" applyBorder="1" applyAlignment="1">
      <alignment vertical="center"/>
    </xf>
    <xf numFmtId="0" fontId="3" fillId="3647" borderId="5939" xfId="0" applyFont="1" applyFill="1" applyBorder="1" applyAlignment="1">
      <alignment vertical="center"/>
    </xf>
    <xf numFmtId="0" fontId="3" fillId="3656" borderId="5939" xfId="0" applyFont="1" applyFill="1" applyBorder="1" applyAlignment="1">
      <alignment vertical="center"/>
    </xf>
    <xf numFmtId="0" fontId="3" fillId="3665" borderId="5939" xfId="0" applyFont="1" applyFill="1" applyBorder="1" applyAlignment="1">
      <alignment vertical="center"/>
    </xf>
    <xf numFmtId="0" fontId="3" fillId="3674" borderId="5939" xfId="0" applyFont="1" applyFill="1" applyBorder="1" applyAlignment="1">
      <alignment vertical="center"/>
    </xf>
    <xf numFmtId="0" fontId="3" fillId="3683" borderId="5939" xfId="0" applyFont="1" applyFill="1" applyBorder="1" applyAlignment="1">
      <alignment vertical="center"/>
    </xf>
    <xf numFmtId="0" fontId="3" fillId="3692" borderId="5939" xfId="0" applyFont="1" applyFill="1" applyBorder="1" applyAlignment="1">
      <alignment vertical="center"/>
    </xf>
    <xf numFmtId="0" fontId="3" fillId="3701" borderId="5939" xfId="0" applyFont="1" applyFill="1" applyBorder="1" applyAlignment="1">
      <alignment vertical="center"/>
    </xf>
    <xf numFmtId="0" fontId="3" fillId="3710" borderId="5939" xfId="0" applyFont="1" applyFill="1" applyBorder="1" applyAlignment="1">
      <alignment vertical="center"/>
    </xf>
    <xf numFmtId="0" fontId="3" fillId="3719" borderId="5939" xfId="0" applyFont="1" applyFill="1" applyBorder="1" applyAlignment="1">
      <alignment vertical="center"/>
    </xf>
    <xf numFmtId="0" fontId="3" fillId="3728" borderId="5939" xfId="0" applyFont="1" applyFill="1" applyBorder="1" applyAlignment="1">
      <alignment vertical="center"/>
    </xf>
    <xf numFmtId="0" fontId="3" fillId="3737" borderId="5939" xfId="0" applyFont="1" applyFill="1" applyBorder="1" applyAlignment="1">
      <alignment vertical="center"/>
    </xf>
    <xf numFmtId="0" fontId="3" fillId="3746" borderId="5939" xfId="0" applyFont="1" applyFill="1" applyBorder="1" applyAlignment="1">
      <alignment vertical="center"/>
    </xf>
    <xf numFmtId="0" fontId="3" fillId="3755" borderId="5939" xfId="0" applyFont="1" applyFill="1" applyBorder="1" applyAlignment="1">
      <alignment vertical="center"/>
    </xf>
    <xf numFmtId="0" fontId="3" fillId="3764" borderId="5939" xfId="0" applyFont="1" applyFill="1" applyBorder="1" applyAlignment="1">
      <alignment vertical="center"/>
    </xf>
    <xf numFmtId="0" fontId="3" fillId="3773" borderId="5939" xfId="0" applyFont="1" applyFill="1" applyBorder="1" applyAlignment="1">
      <alignment vertical="center"/>
    </xf>
    <xf numFmtId="0" fontId="3" fillId="3782" borderId="5939" xfId="0" applyFont="1" applyFill="1" applyBorder="1" applyAlignment="1">
      <alignment vertical="center"/>
    </xf>
    <xf numFmtId="0" fontId="3" fillId="3791" borderId="5939" xfId="0" applyFont="1" applyFill="1" applyBorder="1" applyAlignment="1">
      <alignment vertical="center"/>
    </xf>
    <xf numFmtId="0" fontId="3" fillId="3800" borderId="5939" xfId="0" applyFont="1" applyFill="1" applyBorder="1" applyAlignment="1">
      <alignment vertical="center"/>
    </xf>
    <xf numFmtId="0" fontId="3" fillId="3809" borderId="5939" xfId="0" applyFont="1" applyFill="1" applyBorder="1" applyAlignment="1">
      <alignment vertical="center"/>
    </xf>
    <xf numFmtId="0" fontId="3" fillId="3818" borderId="5939" xfId="0" applyFont="1" applyFill="1" applyBorder="1" applyAlignment="1">
      <alignment vertical="center"/>
    </xf>
    <xf numFmtId="0" fontId="3" fillId="3827" borderId="5939" xfId="0" applyFont="1" applyFill="1" applyBorder="1" applyAlignment="1">
      <alignment vertical="center"/>
    </xf>
    <xf numFmtId="0" fontId="3" fillId="3836" borderId="5939" xfId="0" applyFont="1" applyFill="1" applyBorder="1" applyAlignment="1">
      <alignment vertical="center"/>
    </xf>
    <xf numFmtId="0" fontId="3" fillId="3845" borderId="5939" xfId="0" applyFont="1" applyFill="1" applyBorder="1" applyAlignment="1">
      <alignment vertical="center"/>
    </xf>
    <xf numFmtId="0" fontId="3" fillId="3854" borderId="5939" xfId="0" applyFont="1" applyFill="1" applyBorder="1" applyAlignment="1">
      <alignment vertical="center"/>
    </xf>
    <xf numFmtId="0" fontId="3" fillId="3863" borderId="5939" xfId="0" applyFont="1" applyFill="1" applyBorder="1" applyAlignment="1">
      <alignment vertical="center"/>
    </xf>
    <xf numFmtId="0" fontId="3" fillId="3872" borderId="5939" xfId="0" applyFont="1" applyFill="1" applyBorder="1" applyAlignment="1">
      <alignment vertical="center"/>
    </xf>
    <xf numFmtId="0" fontId="3" fillId="3881" borderId="5939" xfId="0" applyFont="1" applyFill="1" applyBorder="1" applyAlignment="1">
      <alignment vertical="center"/>
    </xf>
    <xf numFmtId="0" fontId="3" fillId="3890" borderId="5939" xfId="0" applyFont="1" applyFill="1" applyBorder="1" applyAlignment="1">
      <alignment vertical="center"/>
    </xf>
    <xf numFmtId="0" fontId="3" fillId="3899" borderId="5939" xfId="0" applyFont="1" applyFill="1" applyBorder="1" applyAlignment="1">
      <alignment vertical="center"/>
    </xf>
    <xf numFmtId="0" fontId="3" fillId="3908" borderId="5939" xfId="0" applyFont="1" applyFill="1" applyBorder="1" applyAlignment="1">
      <alignment vertical="center"/>
    </xf>
    <xf numFmtId="0" fontId="3" fillId="3917" borderId="5939" xfId="0" applyFont="1" applyFill="1" applyBorder="1" applyAlignment="1">
      <alignment vertical="center"/>
    </xf>
    <xf numFmtId="0" fontId="3" fillId="3926" borderId="5939" xfId="0" applyFont="1" applyFill="1" applyBorder="1" applyAlignment="1">
      <alignment vertical="center"/>
    </xf>
    <xf numFmtId="0" fontId="3" fillId="3935" borderId="5939" xfId="0" applyFont="1" applyFill="1" applyBorder="1" applyAlignment="1">
      <alignment vertical="center"/>
    </xf>
    <xf numFmtId="0" fontId="3" fillId="3944" borderId="5939" xfId="0" applyFont="1" applyFill="1" applyBorder="1" applyAlignment="1">
      <alignment vertical="center"/>
    </xf>
    <xf numFmtId="0" fontId="3" fillId="3953" borderId="5939" xfId="0" applyFont="1" applyFill="1" applyBorder="1" applyAlignment="1">
      <alignment vertical="center"/>
    </xf>
    <xf numFmtId="0" fontId="3" fillId="3962" borderId="5939" xfId="0" applyFont="1" applyFill="1" applyBorder="1" applyAlignment="1">
      <alignment vertical="center"/>
    </xf>
    <xf numFmtId="0" fontId="3" fillId="3971" borderId="5939" xfId="0" applyFont="1" applyFill="1" applyBorder="1" applyAlignment="1">
      <alignment vertical="center"/>
    </xf>
    <xf numFmtId="0" fontId="3" fillId="3980" borderId="5939" xfId="0" applyFont="1" applyFill="1" applyBorder="1" applyAlignment="1">
      <alignment vertical="center"/>
    </xf>
    <xf numFmtId="0" fontId="3" fillId="3989" borderId="5939" xfId="0" applyFont="1" applyFill="1" applyBorder="1" applyAlignment="1">
      <alignment vertical="center"/>
    </xf>
    <xf numFmtId="0" fontId="3" fillId="3998" borderId="5939" xfId="0" applyFont="1" applyFill="1" applyBorder="1" applyAlignment="1">
      <alignment vertical="center"/>
    </xf>
    <xf numFmtId="0" fontId="3" fillId="4007" borderId="5939" xfId="0" applyFont="1" applyFill="1" applyBorder="1" applyAlignment="1">
      <alignment vertical="center"/>
    </xf>
    <xf numFmtId="0" fontId="3" fillId="4016" borderId="5939" xfId="0" applyFont="1" applyFill="1" applyBorder="1" applyAlignment="1">
      <alignment vertical="center"/>
    </xf>
    <xf numFmtId="0" fontId="3" fillId="4025" borderId="5939" xfId="0" applyFont="1" applyFill="1" applyBorder="1" applyAlignment="1">
      <alignment vertical="center"/>
    </xf>
    <xf numFmtId="0" fontId="3" fillId="4034" borderId="5939" xfId="0" applyFont="1" applyFill="1" applyBorder="1" applyAlignment="1">
      <alignment vertical="center"/>
    </xf>
    <xf numFmtId="0" fontId="3" fillId="4043" borderId="5939" xfId="0" applyFont="1" applyFill="1" applyBorder="1" applyAlignment="1">
      <alignment vertical="center"/>
    </xf>
    <xf numFmtId="0" fontId="3" fillId="4052" borderId="5939" xfId="0" applyFont="1" applyFill="1" applyBorder="1" applyAlignment="1">
      <alignment vertical="center"/>
    </xf>
    <xf numFmtId="0" fontId="3" fillId="4061" borderId="5939" xfId="0" applyFont="1" applyFill="1" applyBorder="1" applyAlignment="1">
      <alignment vertical="center"/>
    </xf>
    <xf numFmtId="0" fontId="3" fillId="4070" borderId="5939" xfId="0" applyFont="1" applyFill="1" applyBorder="1" applyAlignment="1">
      <alignment vertical="center"/>
    </xf>
    <xf numFmtId="0" fontId="3" fillId="4079" borderId="5939" xfId="0" applyFont="1" applyFill="1" applyBorder="1" applyAlignment="1">
      <alignment vertical="center"/>
    </xf>
    <xf numFmtId="0" fontId="3" fillId="4088" borderId="5939" xfId="0" applyFont="1" applyFill="1" applyBorder="1" applyAlignment="1">
      <alignment vertical="center"/>
    </xf>
    <xf numFmtId="0" fontId="3" fillId="4097" borderId="5939" xfId="0" applyFont="1" applyFill="1" applyBorder="1" applyAlignment="1">
      <alignment vertical="center"/>
    </xf>
    <xf numFmtId="0" fontId="3" fillId="4106" borderId="5939" xfId="0" applyFont="1" applyFill="1" applyBorder="1" applyAlignment="1">
      <alignment vertical="center"/>
    </xf>
    <xf numFmtId="0" fontId="3" fillId="4115" borderId="5939" xfId="0" applyFont="1" applyFill="1" applyBorder="1" applyAlignment="1">
      <alignment vertical="center"/>
    </xf>
    <xf numFmtId="0" fontId="3" fillId="4124" borderId="5939" xfId="0" applyFont="1" applyFill="1" applyBorder="1" applyAlignment="1">
      <alignment vertical="center"/>
    </xf>
    <xf numFmtId="0" fontId="3" fillId="4133" borderId="5939" xfId="0" applyFont="1" applyFill="1" applyBorder="1" applyAlignment="1">
      <alignment vertical="center"/>
    </xf>
    <xf numFmtId="0" fontId="3" fillId="4142" borderId="5939" xfId="0" applyFont="1" applyFill="1" applyBorder="1" applyAlignment="1">
      <alignment vertical="center"/>
    </xf>
    <xf numFmtId="0" fontId="3" fillId="4151" borderId="5939" xfId="0" applyFont="1" applyFill="1" applyBorder="1" applyAlignment="1">
      <alignment vertical="center"/>
    </xf>
    <xf numFmtId="0" fontId="3" fillId="4160" borderId="5939" xfId="0" applyFont="1" applyFill="1" applyBorder="1" applyAlignment="1">
      <alignment vertical="center"/>
    </xf>
    <xf numFmtId="0" fontId="3" fillId="4169" borderId="5939" xfId="0" applyFont="1" applyFill="1" applyBorder="1" applyAlignment="1">
      <alignment vertical="center"/>
    </xf>
    <xf numFmtId="0" fontId="3" fillId="4178" borderId="5939" xfId="0" applyFont="1" applyFill="1" applyBorder="1" applyAlignment="1">
      <alignment vertical="center"/>
    </xf>
    <xf numFmtId="0" fontId="3" fillId="4187" borderId="5939" xfId="0" applyFont="1" applyFill="1" applyBorder="1" applyAlignment="1">
      <alignment vertical="center"/>
    </xf>
    <xf numFmtId="0" fontId="3" fillId="4196" borderId="5939" xfId="0" applyFont="1" applyFill="1" applyBorder="1" applyAlignment="1">
      <alignment vertical="center"/>
    </xf>
    <xf numFmtId="0" fontId="3" fillId="4205" borderId="5939" xfId="0" applyFont="1" applyFill="1" applyBorder="1" applyAlignment="1">
      <alignment vertical="center"/>
    </xf>
    <xf numFmtId="0" fontId="3" fillId="4214" borderId="5939" xfId="0" applyFont="1" applyFill="1" applyBorder="1" applyAlignment="1">
      <alignment vertical="center"/>
    </xf>
    <xf numFmtId="0" fontId="3" fillId="4223" borderId="5939" xfId="0" applyFont="1" applyFill="1" applyBorder="1" applyAlignment="1">
      <alignment vertical="center"/>
    </xf>
    <xf numFmtId="0" fontId="3" fillId="4232" borderId="5939" xfId="0" applyFont="1" applyFill="1" applyBorder="1" applyAlignment="1">
      <alignment vertical="center"/>
    </xf>
    <xf numFmtId="0" fontId="3" fillId="4241" borderId="5939" xfId="0" applyFont="1" applyFill="1" applyBorder="1" applyAlignment="1">
      <alignment vertical="center"/>
    </xf>
    <xf numFmtId="0" fontId="3" fillId="4250" borderId="5939" xfId="0" applyFont="1" applyFill="1" applyBorder="1" applyAlignment="1">
      <alignment vertical="center"/>
    </xf>
    <xf numFmtId="0" fontId="3" fillId="4259" borderId="5939" xfId="0" applyFont="1" applyFill="1" applyBorder="1" applyAlignment="1">
      <alignment vertical="center"/>
    </xf>
    <xf numFmtId="0" fontId="3" fillId="4268" borderId="5939" xfId="0" applyFont="1" applyFill="1" applyBorder="1" applyAlignment="1">
      <alignment vertical="center"/>
    </xf>
    <xf numFmtId="0" fontId="3" fillId="4277" borderId="5939" xfId="0" applyFont="1" applyFill="1" applyBorder="1" applyAlignment="1">
      <alignment vertical="center"/>
    </xf>
    <xf numFmtId="0" fontId="3" fillId="4286" borderId="5939" xfId="0" applyFont="1" applyFill="1" applyBorder="1" applyAlignment="1">
      <alignment vertical="center"/>
    </xf>
    <xf numFmtId="0" fontId="3" fillId="4295" borderId="5939" xfId="0" applyFont="1" applyFill="1" applyBorder="1" applyAlignment="1">
      <alignment vertical="center"/>
    </xf>
    <xf numFmtId="0" fontId="3" fillId="4304" borderId="5939" xfId="0" applyFont="1" applyFill="1" applyBorder="1" applyAlignment="1">
      <alignment vertical="center"/>
    </xf>
    <xf numFmtId="0" fontId="3" fillId="4313" borderId="5939" xfId="0" applyFont="1" applyFill="1" applyBorder="1" applyAlignment="1">
      <alignment vertical="center"/>
    </xf>
    <xf numFmtId="0" fontId="3" fillId="4322" borderId="5939" xfId="0" applyFont="1" applyFill="1" applyBorder="1" applyAlignment="1">
      <alignment vertical="center"/>
    </xf>
    <xf numFmtId="0" fontId="3" fillId="4331" borderId="5939" xfId="0" applyFont="1" applyFill="1" applyBorder="1" applyAlignment="1">
      <alignment vertical="center"/>
    </xf>
    <xf numFmtId="0" fontId="3" fillId="4340" borderId="5939" xfId="0" applyFont="1" applyFill="1" applyBorder="1" applyAlignment="1">
      <alignment vertical="center"/>
    </xf>
    <xf numFmtId="0" fontId="3" fillId="4349" borderId="5939" xfId="0" applyFont="1" applyFill="1" applyBorder="1" applyAlignment="1">
      <alignment vertical="center"/>
    </xf>
    <xf numFmtId="0" fontId="3" fillId="4358" borderId="5939" xfId="0" applyFont="1" applyFill="1" applyBorder="1" applyAlignment="1">
      <alignment vertical="center"/>
    </xf>
    <xf numFmtId="0" fontId="3" fillId="4367" borderId="5939" xfId="0" applyFont="1" applyFill="1" applyBorder="1" applyAlignment="1">
      <alignment vertical="center"/>
    </xf>
    <xf numFmtId="0" fontId="3" fillId="4376" borderId="5939" xfId="0" applyFont="1" applyFill="1" applyBorder="1" applyAlignment="1">
      <alignment vertical="center"/>
    </xf>
    <xf numFmtId="0" fontId="3" fillId="4385" borderId="5939" xfId="0" applyFont="1" applyFill="1" applyBorder="1" applyAlignment="1">
      <alignment vertical="center"/>
    </xf>
    <xf numFmtId="0" fontId="3" fillId="4394" borderId="5939" xfId="0" applyFont="1" applyFill="1" applyBorder="1" applyAlignment="1">
      <alignment vertical="center"/>
    </xf>
    <xf numFmtId="0" fontId="3" fillId="4403" borderId="5939" xfId="0" applyFont="1" applyFill="1" applyBorder="1" applyAlignment="1">
      <alignment vertical="center"/>
    </xf>
    <xf numFmtId="0" fontId="3" fillId="4412" borderId="5939" xfId="0" applyFont="1" applyFill="1" applyBorder="1" applyAlignment="1">
      <alignment vertical="center"/>
    </xf>
    <xf numFmtId="0" fontId="3" fillId="4421" borderId="5939" xfId="0" applyFont="1" applyFill="1" applyBorder="1" applyAlignment="1">
      <alignment vertical="center"/>
    </xf>
    <xf numFmtId="0" fontId="3" fillId="4430" borderId="5939" xfId="0" applyFont="1" applyFill="1" applyBorder="1" applyAlignment="1">
      <alignment vertical="center"/>
    </xf>
    <xf numFmtId="0" fontId="3" fillId="4439" borderId="5939" xfId="0" applyFont="1" applyFill="1" applyBorder="1" applyAlignment="1">
      <alignment vertical="center"/>
    </xf>
    <xf numFmtId="0" fontId="3" fillId="4448" borderId="5939" xfId="0" applyFont="1" applyFill="1" applyBorder="1" applyAlignment="1">
      <alignment vertical="center"/>
    </xf>
    <xf numFmtId="0" fontId="3" fillId="4457" borderId="5939" xfId="0" applyFont="1" applyFill="1" applyBorder="1" applyAlignment="1">
      <alignment vertical="center"/>
    </xf>
    <xf numFmtId="0" fontId="3" fillId="4466" borderId="5939" xfId="0" applyFont="1" applyFill="1" applyBorder="1" applyAlignment="1">
      <alignment vertical="center"/>
    </xf>
    <xf numFmtId="0" fontId="3" fillId="4475" borderId="5939" xfId="0" applyFont="1" applyFill="1" applyBorder="1" applyAlignment="1">
      <alignment vertical="center"/>
    </xf>
    <xf numFmtId="0" fontId="3" fillId="4484" borderId="5939" xfId="0" applyFont="1" applyFill="1" applyBorder="1" applyAlignment="1">
      <alignment vertical="center"/>
    </xf>
    <xf numFmtId="0" fontId="3" fillId="4493" borderId="5939" xfId="0" applyFont="1" applyFill="1" applyBorder="1" applyAlignment="1">
      <alignment vertical="center"/>
    </xf>
    <xf numFmtId="0" fontId="3" fillId="4502" borderId="5939" xfId="0" applyFont="1" applyFill="1" applyBorder="1" applyAlignment="1">
      <alignment vertical="center"/>
    </xf>
    <xf numFmtId="0" fontId="3" fillId="4511" borderId="5939" xfId="0" applyFont="1" applyFill="1" applyBorder="1" applyAlignment="1">
      <alignment vertical="center"/>
    </xf>
    <xf numFmtId="0" fontId="3" fillId="4520" borderId="5939" xfId="0" applyFont="1" applyFill="1" applyBorder="1" applyAlignment="1">
      <alignment vertical="center"/>
    </xf>
    <xf numFmtId="0" fontId="3" fillId="4529" borderId="5939" xfId="0" applyFont="1" applyFill="1" applyBorder="1" applyAlignment="1">
      <alignment vertical="center"/>
    </xf>
    <xf numFmtId="0" fontId="3" fillId="4538" borderId="5939" xfId="0" applyFont="1" applyFill="1" applyBorder="1" applyAlignment="1">
      <alignment vertical="center"/>
    </xf>
    <xf numFmtId="0" fontId="3" fillId="4547" borderId="5939" xfId="0" applyFont="1" applyFill="1" applyBorder="1" applyAlignment="1">
      <alignment vertical="center"/>
    </xf>
    <xf numFmtId="0" fontId="3" fillId="4556" borderId="5939" xfId="0" applyFont="1" applyFill="1" applyBorder="1" applyAlignment="1">
      <alignment vertical="center"/>
    </xf>
    <xf numFmtId="0" fontId="3" fillId="4565" borderId="5939" xfId="0" applyFont="1" applyFill="1" applyBorder="1" applyAlignment="1">
      <alignment vertical="center"/>
    </xf>
    <xf numFmtId="0" fontId="3" fillId="4574" borderId="5939" xfId="0" applyFont="1" applyFill="1" applyBorder="1" applyAlignment="1">
      <alignment vertical="center"/>
    </xf>
    <xf numFmtId="0" fontId="3" fillId="4583" borderId="5939" xfId="0" applyFont="1" applyFill="1" applyBorder="1" applyAlignment="1">
      <alignment vertical="center"/>
    </xf>
    <xf numFmtId="0" fontId="3" fillId="4592" borderId="5939" xfId="0" applyFont="1" applyFill="1" applyBorder="1" applyAlignment="1">
      <alignment vertical="center"/>
    </xf>
    <xf numFmtId="0" fontId="3" fillId="4601" borderId="5939" xfId="0" applyFont="1" applyFill="1" applyBorder="1" applyAlignment="1">
      <alignment vertical="center"/>
    </xf>
    <xf numFmtId="0" fontId="3" fillId="4610" borderId="5939" xfId="0" applyFont="1" applyFill="1" applyBorder="1" applyAlignment="1">
      <alignment vertical="center"/>
    </xf>
    <xf numFmtId="0" fontId="3" fillId="4619" borderId="5939" xfId="0" applyFont="1" applyFill="1" applyBorder="1" applyAlignment="1">
      <alignment vertical="center"/>
    </xf>
    <xf numFmtId="0" fontId="3" fillId="4628" borderId="5939" xfId="0" applyFont="1" applyFill="1" applyBorder="1" applyAlignment="1">
      <alignment vertical="center"/>
    </xf>
    <xf numFmtId="0" fontId="3" fillId="4637" borderId="5939" xfId="0" applyFont="1" applyFill="1" applyBorder="1" applyAlignment="1">
      <alignment vertical="center"/>
    </xf>
    <xf numFmtId="0" fontId="3" fillId="4646" borderId="5939" xfId="0" applyFont="1" applyFill="1" applyBorder="1" applyAlignment="1">
      <alignment vertical="center"/>
    </xf>
    <xf numFmtId="0" fontId="3" fillId="4655" borderId="5939" xfId="0" applyFont="1" applyFill="1" applyBorder="1" applyAlignment="1">
      <alignment vertical="center"/>
    </xf>
    <xf numFmtId="0" fontId="3" fillId="4664" borderId="5939" xfId="0" applyFont="1" applyFill="1" applyBorder="1" applyAlignment="1">
      <alignment vertical="center"/>
    </xf>
    <xf numFmtId="0" fontId="3" fillId="4673" borderId="5939" xfId="0" applyFont="1" applyFill="1" applyBorder="1" applyAlignment="1">
      <alignment vertical="center"/>
    </xf>
    <xf numFmtId="0" fontId="3" fillId="4682" borderId="5939" xfId="0" applyFont="1" applyFill="1" applyBorder="1" applyAlignment="1">
      <alignment vertical="center"/>
    </xf>
    <xf numFmtId="0" fontId="3" fillId="4691" borderId="5939" xfId="0" applyFont="1" applyFill="1" applyBorder="1" applyAlignment="1">
      <alignment vertical="center"/>
    </xf>
    <xf numFmtId="0" fontId="3" fillId="4700" borderId="5939" xfId="0" applyFont="1" applyFill="1" applyBorder="1" applyAlignment="1">
      <alignment vertical="center"/>
    </xf>
    <xf numFmtId="0" fontId="3" fillId="4709" borderId="5939" xfId="0" applyFont="1" applyFill="1" applyBorder="1" applyAlignment="1">
      <alignment vertical="center"/>
    </xf>
    <xf numFmtId="0" fontId="3" fillId="4718" borderId="5939" xfId="0" applyFont="1" applyFill="1" applyBorder="1" applyAlignment="1">
      <alignment vertical="center"/>
    </xf>
    <xf numFmtId="0" fontId="3" fillId="4727" borderId="5939" xfId="0" applyFont="1" applyFill="1" applyBorder="1" applyAlignment="1">
      <alignment vertical="center"/>
    </xf>
    <xf numFmtId="0" fontId="3" fillId="4736" borderId="5939" xfId="0" applyFont="1" applyFill="1" applyBorder="1" applyAlignment="1">
      <alignment vertical="center"/>
    </xf>
    <xf numFmtId="0" fontId="3" fillId="4745" borderId="5939" xfId="0" applyFont="1" applyFill="1" applyBorder="1" applyAlignment="1">
      <alignment vertical="center"/>
    </xf>
    <xf numFmtId="0" fontId="3" fillId="4754" borderId="5939" xfId="0" applyFont="1" applyFill="1" applyBorder="1" applyAlignment="1">
      <alignment vertical="center"/>
    </xf>
    <xf numFmtId="0" fontId="3" fillId="4763" borderId="5939" xfId="0" applyFont="1" applyFill="1" applyBorder="1" applyAlignment="1">
      <alignment vertical="center"/>
    </xf>
    <xf numFmtId="0" fontId="3" fillId="4772" borderId="5939" xfId="0" applyFont="1" applyFill="1" applyBorder="1" applyAlignment="1">
      <alignment vertical="center"/>
    </xf>
    <xf numFmtId="0" fontId="3" fillId="4781" borderId="5939" xfId="0" applyFont="1" applyFill="1" applyBorder="1" applyAlignment="1">
      <alignment vertical="center"/>
    </xf>
    <xf numFmtId="0" fontId="3" fillId="4790" borderId="5939" xfId="0" applyFont="1" applyFill="1" applyBorder="1" applyAlignment="1">
      <alignment vertical="center"/>
    </xf>
    <xf numFmtId="0" fontId="3" fillId="4799" borderId="5939" xfId="0" applyFont="1" applyFill="1" applyBorder="1" applyAlignment="1">
      <alignment vertical="center"/>
    </xf>
    <xf numFmtId="0" fontId="3" fillId="4808" borderId="5939" xfId="0" applyFont="1" applyFill="1" applyBorder="1" applyAlignment="1">
      <alignment vertical="center"/>
    </xf>
    <xf numFmtId="0" fontId="3" fillId="4817" borderId="5939" xfId="0" applyFont="1" applyFill="1" applyBorder="1" applyAlignment="1">
      <alignment vertical="center"/>
    </xf>
    <xf numFmtId="0" fontId="3" fillId="4826" borderId="5939" xfId="0" applyFont="1" applyFill="1" applyBorder="1" applyAlignment="1">
      <alignment vertical="center"/>
    </xf>
    <xf numFmtId="0" fontId="3" fillId="4835" borderId="5939" xfId="0" applyFont="1" applyFill="1" applyBorder="1" applyAlignment="1">
      <alignment vertical="center"/>
    </xf>
    <xf numFmtId="0" fontId="3" fillId="4844" borderId="5939" xfId="0" applyFont="1" applyFill="1" applyBorder="1" applyAlignment="1">
      <alignment vertical="center"/>
    </xf>
    <xf numFmtId="0" fontId="3" fillId="4853" borderId="5939" xfId="0" applyFont="1" applyFill="1" applyBorder="1" applyAlignment="1">
      <alignment vertical="center"/>
    </xf>
    <xf numFmtId="0" fontId="3" fillId="4862" borderId="5939" xfId="0" applyFont="1" applyFill="1" applyBorder="1" applyAlignment="1">
      <alignment vertical="center"/>
    </xf>
    <xf numFmtId="0" fontId="3" fillId="4871" borderId="5939" xfId="0" applyFont="1" applyFill="1" applyBorder="1" applyAlignment="1">
      <alignment vertical="center"/>
    </xf>
    <xf numFmtId="0" fontId="3" fillId="4880" borderId="5939" xfId="0" applyFont="1" applyFill="1" applyBorder="1" applyAlignment="1">
      <alignment vertical="center"/>
    </xf>
    <xf numFmtId="0" fontId="3" fillId="4889" borderId="5939" xfId="0" applyFont="1" applyFill="1" applyBorder="1" applyAlignment="1">
      <alignment vertical="center"/>
    </xf>
    <xf numFmtId="0" fontId="3" fillId="4898" borderId="5939" xfId="0" applyFont="1" applyFill="1" applyBorder="1" applyAlignment="1">
      <alignment vertical="center"/>
    </xf>
    <xf numFmtId="0" fontId="3" fillId="4907" borderId="5939" xfId="0" applyFont="1" applyFill="1" applyBorder="1" applyAlignment="1">
      <alignment vertical="center"/>
    </xf>
    <xf numFmtId="0" fontId="3" fillId="4916" borderId="5939" xfId="0" applyFont="1" applyFill="1" applyBorder="1" applyAlignment="1">
      <alignment vertical="center"/>
    </xf>
    <xf numFmtId="0" fontId="3" fillId="4925" borderId="5939" xfId="0" applyFont="1" applyFill="1" applyBorder="1" applyAlignment="1">
      <alignment vertical="center"/>
    </xf>
    <xf numFmtId="0" fontId="3" fillId="4934" borderId="5939" xfId="0" applyFont="1" applyFill="1" applyBorder="1" applyAlignment="1">
      <alignment vertical="center"/>
    </xf>
    <xf numFmtId="0" fontId="3" fillId="4943" borderId="5939" xfId="0" applyFont="1" applyFill="1" applyBorder="1" applyAlignment="1">
      <alignment vertical="center"/>
    </xf>
    <xf numFmtId="0" fontId="3" fillId="4952" borderId="5939" xfId="0" applyFont="1" applyFill="1" applyBorder="1" applyAlignment="1">
      <alignment vertical="center"/>
    </xf>
    <xf numFmtId="0" fontId="3" fillId="4961" borderId="5939" xfId="0" applyFont="1" applyFill="1" applyBorder="1" applyAlignment="1">
      <alignment vertical="center"/>
    </xf>
    <xf numFmtId="0" fontId="3" fillId="4970" borderId="5939" xfId="0" applyFont="1" applyFill="1" applyBorder="1" applyAlignment="1">
      <alignment vertical="center"/>
    </xf>
    <xf numFmtId="0" fontId="3" fillId="4979" borderId="5939" xfId="0" applyFont="1" applyFill="1" applyBorder="1" applyAlignment="1">
      <alignment vertical="center"/>
    </xf>
    <xf numFmtId="0" fontId="3" fillId="4988" borderId="5939" xfId="0" applyFont="1" applyFill="1" applyBorder="1" applyAlignment="1">
      <alignment vertical="center"/>
    </xf>
    <xf numFmtId="0" fontId="3" fillId="4997" borderId="5939" xfId="0" applyFont="1" applyFill="1" applyBorder="1" applyAlignment="1">
      <alignment vertical="center"/>
    </xf>
    <xf numFmtId="0" fontId="3" fillId="5006" borderId="5939" xfId="0" applyFont="1" applyFill="1" applyBorder="1" applyAlignment="1">
      <alignment vertical="center"/>
    </xf>
    <xf numFmtId="0" fontId="3" fillId="5015" borderId="5939" xfId="0" applyFont="1" applyFill="1" applyBorder="1" applyAlignment="1">
      <alignment vertical="center"/>
    </xf>
    <xf numFmtId="0" fontId="3" fillId="5024" borderId="5939" xfId="0" applyFont="1" applyFill="1" applyBorder="1" applyAlignment="1">
      <alignment vertical="center"/>
    </xf>
    <xf numFmtId="0" fontId="3" fillId="5033" borderId="5939" xfId="0" applyFont="1" applyFill="1" applyBorder="1" applyAlignment="1">
      <alignment vertical="center"/>
    </xf>
    <xf numFmtId="0" fontId="3" fillId="5042" borderId="5939" xfId="0" applyFont="1" applyFill="1" applyBorder="1" applyAlignment="1">
      <alignment vertical="center"/>
    </xf>
    <xf numFmtId="0" fontId="3" fillId="5051" borderId="5939" xfId="0" applyFont="1" applyFill="1" applyBorder="1" applyAlignment="1">
      <alignment vertical="center"/>
    </xf>
    <xf numFmtId="0" fontId="3" fillId="5060" borderId="5939" xfId="0" applyFont="1" applyFill="1" applyBorder="1" applyAlignment="1">
      <alignment vertical="center"/>
    </xf>
    <xf numFmtId="0" fontId="3" fillId="5069" borderId="5939" xfId="0" applyFont="1" applyFill="1" applyBorder="1" applyAlignment="1">
      <alignment vertical="center"/>
    </xf>
    <xf numFmtId="0" fontId="3" fillId="5078" borderId="5939" xfId="0" applyFont="1" applyFill="1" applyBorder="1" applyAlignment="1">
      <alignment vertical="center"/>
    </xf>
    <xf numFmtId="0" fontId="3" fillId="5087" borderId="5939" xfId="0" applyFont="1" applyFill="1" applyBorder="1" applyAlignment="1">
      <alignment vertical="center"/>
    </xf>
    <xf numFmtId="0" fontId="3" fillId="5096" borderId="5939" xfId="0" applyFont="1" applyFill="1" applyBorder="1" applyAlignment="1">
      <alignment vertical="center"/>
    </xf>
    <xf numFmtId="0" fontId="3" fillId="5105" borderId="5939" xfId="0" applyFont="1" applyFill="1" applyBorder="1" applyAlignment="1">
      <alignment vertical="center"/>
    </xf>
    <xf numFmtId="0" fontId="3" fillId="5114" borderId="5939" xfId="0" applyFont="1" applyFill="1" applyBorder="1" applyAlignment="1">
      <alignment vertical="center"/>
    </xf>
    <xf numFmtId="0" fontId="3" fillId="5123" borderId="5939" xfId="0" applyFont="1" applyFill="1" applyBorder="1" applyAlignment="1">
      <alignment vertical="center"/>
    </xf>
    <xf numFmtId="0" fontId="3" fillId="5132" borderId="5939" xfId="0" applyFont="1" applyFill="1" applyBorder="1" applyAlignment="1">
      <alignment vertical="center"/>
    </xf>
    <xf numFmtId="0" fontId="3" fillId="5141" borderId="5939" xfId="0" applyFont="1" applyFill="1" applyBorder="1" applyAlignment="1">
      <alignment vertical="center"/>
    </xf>
    <xf numFmtId="0" fontId="3" fillId="5150" borderId="5939" xfId="0" applyFont="1" applyFill="1" applyBorder="1" applyAlignment="1">
      <alignment vertical="center"/>
    </xf>
    <xf numFmtId="0" fontId="3" fillId="5159" borderId="5939" xfId="0" applyFont="1" applyFill="1" applyBorder="1" applyAlignment="1">
      <alignment vertical="center"/>
    </xf>
    <xf numFmtId="0" fontId="3" fillId="5168" borderId="5939" xfId="0" applyFont="1" applyFill="1" applyBorder="1" applyAlignment="1">
      <alignment vertical="center"/>
    </xf>
    <xf numFmtId="0" fontId="3" fillId="5177" borderId="5939" xfId="0" applyFont="1" applyFill="1" applyBorder="1" applyAlignment="1">
      <alignment vertical="center"/>
    </xf>
    <xf numFmtId="0" fontId="3" fillId="5186" borderId="5939" xfId="0" applyFont="1" applyFill="1" applyBorder="1" applyAlignment="1">
      <alignment vertical="center"/>
    </xf>
    <xf numFmtId="0" fontId="3" fillId="5195" borderId="5939" xfId="0" applyFont="1" applyFill="1" applyBorder="1" applyAlignment="1">
      <alignment vertical="center"/>
    </xf>
    <xf numFmtId="0" fontId="3" fillId="5204" borderId="5939" xfId="0" applyFont="1" applyFill="1" applyBorder="1" applyAlignment="1">
      <alignment vertical="center"/>
    </xf>
    <xf numFmtId="0" fontId="3" fillId="5213" borderId="5939" xfId="0" applyFont="1" applyFill="1" applyBorder="1" applyAlignment="1">
      <alignment vertical="center"/>
    </xf>
    <xf numFmtId="0" fontId="3" fillId="5222" borderId="5939" xfId="0" applyFont="1" applyFill="1" applyBorder="1" applyAlignment="1">
      <alignment vertical="center"/>
    </xf>
    <xf numFmtId="0" fontId="3" fillId="5231" borderId="5939" xfId="0" applyFont="1" applyFill="1" applyBorder="1" applyAlignment="1">
      <alignment vertical="center"/>
    </xf>
    <xf numFmtId="0" fontId="3" fillId="5240" borderId="5939" xfId="0" applyFont="1" applyFill="1" applyBorder="1" applyAlignment="1">
      <alignment vertical="center"/>
    </xf>
    <xf numFmtId="0" fontId="3" fillId="5249" borderId="5939" xfId="0" applyFont="1" applyFill="1" applyBorder="1" applyAlignment="1">
      <alignment vertical="center"/>
    </xf>
    <xf numFmtId="0" fontId="3" fillId="5258" borderId="5939" xfId="0" applyFont="1" applyFill="1" applyBorder="1" applyAlignment="1">
      <alignment vertical="center"/>
    </xf>
    <xf numFmtId="0" fontId="3" fillId="5267" borderId="5939" xfId="0" applyFont="1" applyFill="1" applyBorder="1" applyAlignment="1">
      <alignment vertical="center"/>
    </xf>
    <xf numFmtId="0" fontId="3" fillId="5276" borderId="5939" xfId="0" applyFont="1" applyFill="1" applyBorder="1" applyAlignment="1">
      <alignment vertical="center"/>
    </xf>
    <xf numFmtId="0" fontId="3" fillId="5285" borderId="5939" xfId="0" applyFont="1" applyFill="1" applyBorder="1" applyAlignment="1">
      <alignment vertical="center"/>
    </xf>
    <xf numFmtId="0" fontId="3" fillId="5294" borderId="5939" xfId="0" applyFont="1" applyFill="1" applyBorder="1" applyAlignment="1">
      <alignment vertical="center"/>
    </xf>
    <xf numFmtId="0" fontId="3" fillId="5303" borderId="5939" xfId="0" applyFont="1" applyFill="1" applyBorder="1" applyAlignment="1">
      <alignment vertical="center"/>
    </xf>
    <xf numFmtId="0" fontId="3" fillId="5312" borderId="5939" xfId="0" applyFont="1" applyFill="1" applyBorder="1" applyAlignment="1">
      <alignment vertical="center"/>
    </xf>
    <xf numFmtId="0" fontId="3" fillId="5321" borderId="5939" xfId="0" applyFont="1" applyFill="1" applyBorder="1" applyAlignment="1">
      <alignment vertical="center"/>
    </xf>
    <xf numFmtId="0" fontId="3" fillId="5330" borderId="5939" xfId="0" applyFont="1" applyFill="1" applyBorder="1" applyAlignment="1">
      <alignment vertical="center"/>
    </xf>
    <xf numFmtId="0" fontId="3" fillId="5339" borderId="5939" xfId="0" applyFont="1" applyFill="1" applyBorder="1" applyAlignment="1">
      <alignment vertical="center"/>
    </xf>
    <xf numFmtId="0" fontId="3" fillId="5348" borderId="5939" xfId="0" applyFont="1" applyFill="1" applyBorder="1" applyAlignment="1">
      <alignment vertical="center"/>
    </xf>
    <xf numFmtId="0" fontId="3" fillId="5357" borderId="5939" xfId="0" applyFont="1" applyFill="1" applyBorder="1" applyAlignment="1">
      <alignment vertical="center"/>
    </xf>
    <xf numFmtId="0" fontId="3" fillId="5366" borderId="5939" xfId="0" applyFont="1" applyFill="1" applyBorder="1" applyAlignment="1">
      <alignment vertical="center"/>
    </xf>
    <xf numFmtId="0" fontId="3" fillId="5375" borderId="5939" xfId="0" applyFont="1" applyFill="1" applyBorder="1" applyAlignment="1">
      <alignment vertical="center"/>
    </xf>
    <xf numFmtId="0" fontId="3" fillId="5384" borderId="5939" xfId="0" applyFont="1" applyFill="1" applyBorder="1" applyAlignment="1">
      <alignment vertical="center"/>
    </xf>
    <xf numFmtId="0" fontId="3" fillId="5393" borderId="5939" xfId="0" applyFont="1" applyFill="1" applyBorder="1" applyAlignment="1">
      <alignment vertical="center"/>
    </xf>
    <xf numFmtId="0" fontId="3" fillId="5402" borderId="5939" xfId="0" applyFont="1" applyFill="1" applyBorder="1" applyAlignment="1">
      <alignment vertical="center"/>
    </xf>
    <xf numFmtId="0" fontId="3" fillId="5411" borderId="5939" xfId="0" applyFont="1" applyFill="1" applyBorder="1" applyAlignment="1">
      <alignment vertical="center"/>
    </xf>
    <xf numFmtId="0" fontId="3" fillId="5420" borderId="5939" xfId="0" applyFont="1" applyFill="1" applyBorder="1" applyAlignment="1">
      <alignment vertical="center"/>
    </xf>
    <xf numFmtId="0" fontId="3" fillId="5429" borderId="5939" xfId="0" applyFont="1" applyFill="1" applyBorder="1" applyAlignment="1">
      <alignment vertical="center"/>
    </xf>
    <xf numFmtId="0" fontId="3" fillId="5438" borderId="5939" xfId="0" applyFont="1" applyFill="1" applyBorder="1" applyAlignment="1">
      <alignment vertical="center"/>
    </xf>
    <xf numFmtId="0" fontId="3" fillId="5447" borderId="5939" xfId="0" applyFont="1" applyFill="1" applyBorder="1" applyAlignment="1">
      <alignment vertical="center"/>
    </xf>
    <xf numFmtId="0" fontId="3" fillId="5456" borderId="5939" xfId="0" applyFont="1" applyFill="1" applyBorder="1" applyAlignment="1">
      <alignment vertical="center"/>
    </xf>
    <xf numFmtId="0" fontId="3" fillId="5465" borderId="5939" xfId="0" applyFont="1" applyFill="1" applyBorder="1" applyAlignment="1">
      <alignment vertical="center"/>
    </xf>
    <xf numFmtId="0" fontId="3" fillId="5474" borderId="5939" xfId="0" applyFont="1" applyFill="1" applyBorder="1" applyAlignment="1">
      <alignment vertical="center"/>
    </xf>
    <xf numFmtId="0" fontId="3" fillId="5483" borderId="5939" xfId="0" applyFont="1" applyFill="1" applyBorder="1" applyAlignment="1">
      <alignment vertical="center"/>
    </xf>
    <xf numFmtId="0" fontId="3" fillId="5492" borderId="5939" xfId="0" applyFont="1" applyFill="1" applyBorder="1" applyAlignment="1">
      <alignment vertical="center"/>
    </xf>
    <xf numFmtId="0" fontId="3" fillId="5501" borderId="5939" xfId="0" applyFont="1" applyFill="1" applyBorder="1" applyAlignment="1">
      <alignment vertical="center"/>
    </xf>
    <xf numFmtId="0" fontId="3" fillId="5510" borderId="5939" xfId="0" applyFont="1" applyFill="1" applyBorder="1" applyAlignment="1">
      <alignment vertical="center"/>
    </xf>
    <xf numFmtId="0" fontId="3" fillId="5519" borderId="5939" xfId="0" applyFont="1" applyFill="1" applyBorder="1" applyAlignment="1">
      <alignment vertical="center"/>
    </xf>
    <xf numFmtId="0" fontId="3" fillId="5528" borderId="5939" xfId="0" applyFont="1" applyFill="1" applyBorder="1" applyAlignment="1">
      <alignment vertical="center"/>
    </xf>
    <xf numFmtId="0" fontId="3" fillId="5537" borderId="5939" xfId="0" applyFont="1" applyFill="1" applyBorder="1" applyAlignment="1">
      <alignment vertical="center"/>
    </xf>
    <xf numFmtId="0" fontId="3" fillId="5546" borderId="5939" xfId="0" applyFont="1" applyFill="1" applyBorder="1" applyAlignment="1">
      <alignment vertical="center"/>
    </xf>
    <xf numFmtId="0" fontId="3" fillId="5555" borderId="5939" xfId="0" applyFont="1" applyFill="1" applyBorder="1" applyAlignment="1">
      <alignment vertical="center"/>
    </xf>
    <xf numFmtId="0" fontId="3" fillId="5564" borderId="5939" xfId="0" applyFont="1" applyFill="1" applyBorder="1" applyAlignment="1">
      <alignment vertical="center"/>
    </xf>
    <xf numFmtId="0" fontId="3" fillId="5573" borderId="5939" xfId="0" applyFont="1" applyFill="1" applyBorder="1" applyAlignment="1">
      <alignment vertical="center"/>
    </xf>
    <xf numFmtId="0" fontId="3" fillId="5582" borderId="5939" xfId="0" applyFont="1" applyFill="1" applyBorder="1" applyAlignment="1">
      <alignment vertical="center"/>
    </xf>
    <xf numFmtId="0" fontId="3" fillId="5591" borderId="5939" xfId="0" applyFont="1" applyFill="1" applyBorder="1" applyAlignment="1">
      <alignment vertical="center"/>
    </xf>
    <xf numFmtId="0" fontId="3" fillId="5600" borderId="5939" xfId="0" applyFont="1" applyFill="1" applyBorder="1" applyAlignment="1">
      <alignment vertical="center"/>
    </xf>
    <xf numFmtId="0" fontId="3" fillId="5609" borderId="5939" xfId="0" applyFont="1" applyFill="1" applyBorder="1" applyAlignment="1">
      <alignment vertical="center"/>
    </xf>
    <xf numFmtId="0" fontId="3" fillId="5618" borderId="5939" xfId="0" applyFont="1" applyFill="1" applyBorder="1" applyAlignment="1">
      <alignment vertical="center"/>
    </xf>
    <xf numFmtId="0" fontId="3" fillId="5627" borderId="5939" xfId="0" applyFont="1" applyFill="1" applyBorder="1" applyAlignment="1">
      <alignment vertical="center"/>
    </xf>
    <xf numFmtId="0" fontId="3" fillId="5636" borderId="5939" xfId="0" applyFont="1" applyFill="1" applyBorder="1" applyAlignment="1">
      <alignment vertical="center"/>
    </xf>
    <xf numFmtId="0" fontId="3" fillId="5645" borderId="5939" xfId="0" applyFont="1" applyFill="1" applyBorder="1" applyAlignment="1">
      <alignment vertical="center"/>
    </xf>
    <xf numFmtId="0" fontId="3" fillId="5654" borderId="5939" xfId="0" applyFont="1" applyFill="1" applyBorder="1" applyAlignment="1">
      <alignment vertical="center"/>
    </xf>
    <xf numFmtId="0" fontId="3" fillId="5663" borderId="5939" xfId="0" applyFont="1" applyFill="1" applyBorder="1" applyAlignment="1">
      <alignment vertical="center"/>
    </xf>
    <xf numFmtId="0" fontId="3" fillId="5672" borderId="5939" xfId="0" applyFont="1" applyFill="1" applyBorder="1" applyAlignment="1">
      <alignment vertical="center"/>
    </xf>
    <xf numFmtId="0" fontId="3" fillId="5681" borderId="5939" xfId="0" applyFont="1" applyFill="1" applyBorder="1" applyAlignment="1">
      <alignment vertical="center"/>
    </xf>
    <xf numFmtId="0" fontId="3" fillId="5690" borderId="5939" xfId="0" applyFont="1" applyFill="1" applyBorder="1" applyAlignment="1">
      <alignment vertical="center"/>
    </xf>
    <xf numFmtId="0" fontId="3" fillId="5699" borderId="5939" xfId="0" applyFont="1" applyFill="1" applyBorder="1" applyAlignment="1">
      <alignment vertical="center"/>
    </xf>
    <xf numFmtId="0" fontId="3" fillId="5708" borderId="5939" xfId="0" applyFont="1" applyFill="1" applyBorder="1" applyAlignment="1">
      <alignment vertical="center"/>
    </xf>
    <xf numFmtId="0" fontId="3" fillId="5717" borderId="5939" xfId="0" applyFont="1" applyFill="1" applyBorder="1" applyAlignment="1">
      <alignment vertical="center"/>
    </xf>
    <xf numFmtId="0" fontId="3" fillId="5726" borderId="5939" xfId="0" applyFont="1" applyFill="1" applyBorder="1" applyAlignment="1">
      <alignment vertical="center"/>
    </xf>
    <xf numFmtId="0" fontId="3" fillId="5735" borderId="5939" xfId="0" applyFont="1" applyFill="1" applyBorder="1" applyAlignment="1">
      <alignment vertical="center"/>
    </xf>
    <xf numFmtId="0" fontId="3" fillId="5744" borderId="5939" xfId="0" applyFont="1" applyFill="1" applyBorder="1" applyAlignment="1">
      <alignment vertical="center"/>
    </xf>
    <xf numFmtId="0" fontId="3" fillId="5753" borderId="5939" xfId="0" applyFont="1" applyFill="1" applyBorder="1" applyAlignment="1">
      <alignment vertical="center"/>
    </xf>
    <xf numFmtId="0" fontId="3" fillId="5762" borderId="5939" xfId="0" applyFont="1" applyFill="1" applyBorder="1" applyAlignment="1">
      <alignment vertical="center"/>
    </xf>
    <xf numFmtId="0" fontId="3" fillId="5771" borderId="5939" xfId="0" applyFont="1" applyFill="1" applyBorder="1" applyAlignment="1">
      <alignment vertical="center"/>
    </xf>
    <xf numFmtId="0" fontId="3" fillId="5780" borderId="5939" xfId="0" applyFont="1" applyFill="1" applyBorder="1" applyAlignment="1">
      <alignment vertical="center"/>
    </xf>
    <xf numFmtId="0" fontId="3" fillId="5789" borderId="5939" xfId="0" applyFont="1" applyFill="1" applyBorder="1" applyAlignment="1">
      <alignment vertical="center"/>
    </xf>
    <xf numFmtId="0" fontId="3" fillId="5798" borderId="5939" xfId="0" applyFont="1" applyFill="1" applyBorder="1" applyAlignment="1">
      <alignment vertical="center"/>
    </xf>
    <xf numFmtId="0" fontId="3" fillId="5807" borderId="5939" xfId="0" applyFont="1" applyFill="1" applyBorder="1" applyAlignment="1">
      <alignment vertical="center"/>
    </xf>
    <xf numFmtId="0" fontId="3" fillId="5816" borderId="5939" xfId="0" applyFont="1" applyFill="1" applyBorder="1" applyAlignment="1">
      <alignment vertical="center"/>
    </xf>
    <xf numFmtId="0" fontId="3" fillId="5825" borderId="5939" xfId="0" applyFont="1" applyFill="1" applyBorder="1" applyAlignment="1">
      <alignment vertical="center"/>
    </xf>
    <xf numFmtId="0" fontId="3" fillId="5834" borderId="5939" xfId="0" applyFont="1" applyFill="1" applyBorder="1" applyAlignment="1">
      <alignment vertical="center"/>
    </xf>
    <xf numFmtId="0" fontId="3" fillId="5843" borderId="5939" xfId="0" applyFont="1" applyFill="1" applyBorder="1" applyAlignment="1">
      <alignment vertical="center"/>
    </xf>
    <xf numFmtId="0" fontId="3" fillId="5852" borderId="5939" xfId="0" applyFont="1" applyFill="1" applyBorder="1" applyAlignment="1">
      <alignment vertical="center"/>
    </xf>
    <xf numFmtId="0" fontId="3" fillId="5861" borderId="5939" xfId="0" applyFont="1" applyFill="1" applyBorder="1" applyAlignment="1">
      <alignment vertical="center"/>
    </xf>
    <xf numFmtId="0" fontId="3" fillId="5870" borderId="5939" xfId="0" applyFont="1" applyFill="1" applyBorder="1" applyAlignment="1">
      <alignment vertical="center"/>
    </xf>
    <xf numFmtId="0" fontId="3" fillId="5879" borderId="5939" xfId="0" applyFont="1" applyFill="1" applyBorder="1" applyAlignment="1">
      <alignment vertical="center"/>
    </xf>
    <xf numFmtId="0" fontId="3" fillId="5888" borderId="5939" xfId="0" applyFont="1" applyFill="1" applyBorder="1" applyAlignment="1">
      <alignment vertical="center"/>
    </xf>
    <xf numFmtId="0" fontId="3" fillId="5897" borderId="5939" xfId="0" applyFont="1" applyFill="1" applyBorder="1" applyAlignment="1">
      <alignment vertical="center"/>
    </xf>
    <xf numFmtId="0" fontId="3" fillId="5906" borderId="5939" xfId="0" applyFont="1" applyFill="1" applyBorder="1" applyAlignment="1">
      <alignment vertical="center"/>
    </xf>
    <xf numFmtId="0" fontId="3" fillId="5915" borderId="5939" xfId="0" applyFont="1" applyFill="1" applyBorder="1" applyAlignment="1">
      <alignment vertical="center"/>
    </xf>
    <xf numFmtId="0" fontId="3" fillId="5924" borderId="5939" xfId="0" applyFont="1" applyFill="1" applyBorder="1" applyAlignment="1">
      <alignment vertical="center"/>
    </xf>
    <xf numFmtId="0" fontId="3" fillId="5933" borderId="5939" xfId="0" applyFont="1" applyFill="1" applyBorder="1" applyAlignment="1">
      <alignment vertical="center"/>
    </xf>
    <xf numFmtId="0" fontId="3" fillId="5942" borderId="5939" xfId="0" applyFont="1" applyFill="1" applyBorder="1" applyAlignment="1">
      <alignment vertical="center"/>
    </xf>
    <xf numFmtId="0" fontId="3" fillId="5951" borderId="5939" xfId="0" applyFont="1" applyFill="1" applyBorder="1" applyAlignment="1">
      <alignment vertical="center"/>
    </xf>
    <xf numFmtId="0" fontId="3" fillId="5960" borderId="5939" xfId="0" applyFont="1" applyFill="1" applyBorder="1" applyAlignment="1">
      <alignment vertical="center"/>
    </xf>
    <xf numFmtId="0" fontId="3" fillId="5969" borderId="5939" xfId="0" applyFont="1" applyFill="1" applyBorder="1" applyAlignment="1">
      <alignment vertical="center"/>
    </xf>
    <xf numFmtId="0" fontId="3" fillId="5978" borderId="5939" xfId="0" applyFont="1" applyFill="1" applyBorder="1" applyAlignment="1">
      <alignment vertical="center"/>
    </xf>
    <xf numFmtId="0" fontId="3" fillId="5987" borderId="5939" xfId="0" applyFont="1" applyFill="1" applyBorder="1" applyAlignment="1">
      <alignment vertical="center"/>
    </xf>
    <xf numFmtId="0" fontId="3" fillId="5996" borderId="5939" xfId="0" applyFont="1" applyFill="1" applyBorder="1" applyAlignment="1">
      <alignment vertical="center"/>
    </xf>
    <xf numFmtId="0" fontId="3" fillId="6005" borderId="5939" xfId="0" applyFont="1" applyFill="1" applyBorder="1" applyAlignment="1">
      <alignment vertical="center"/>
    </xf>
    <xf numFmtId="0" fontId="3" fillId="6014" borderId="5939" xfId="0" applyFont="1" applyFill="1" applyBorder="1" applyAlignment="1">
      <alignment vertical="center"/>
    </xf>
    <xf numFmtId="0" fontId="3" fillId="6023" borderId="5939" xfId="0" applyFont="1" applyFill="1" applyBorder="1" applyAlignment="1">
      <alignment vertical="center"/>
    </xf>
    <xf numFmtId="0" fontId="3" fillId="6032" borderId="5939" xfId="0" applyFont="1" applyFill="1" applyBorder="1" applyAlignment="1">
      <alignment vertical="center"/>
    </xf>
    <xf numFmtId="0" fontId="3" fillId="6041" borderId="5939" xfId="0" applyFont="1" applyFill="1" applyBorder="1" applyAlignment="1">
      <alignment vertical="center"/>
    </xf>
    <xf numFmtId="0" fontId="3" fillId="6050" borderId="5939" xfId="0" applyFont="1" applyFill="1" applyBorder="1" applyAlignment="1">
      <alignment vertical="center"/>
    </xf>
    <xf numFmtId="0" fontId="3" fillId="6059" borderId="5939" xfId="0" applyFont="1" applyFill="1" applyBorder="1" applyAlignment="1">
      <alignment vertical="center"/>
    </xf>
    <xf numFmtId="0" fontId="3" fillId="6068" borderId="5939" xfId="0" applyFont="1" applyFill="1" applyBorder="1" applyAlignment="1">
      <alignment vertical="center"/>
    </xf>
    <xf numFmtId="0" fontId="3" fillId="6077" borderId="5939" xfId="0" applyFont="1" applyFill="1" applyBorder="1" applyAlignment="1">
      <alignment vertical="center"/>
    </xf>
    <xf numFmtId="0" fontId="3" fillId="6086" borderId="5939" xfId="0" applyFont="1" applyFill="1" applyBorder="1" applyAlignment="1">
      <alignment vertical="center"/>
    </xf>
    <xf numFmtId="0" fontId="3" fillId="6095" borderId="5939" xfId="0" applyFont="1" applyFill="1" applyBorder="1" applyAlignment="1">
      <alignment vertical="center"/>
    </xf>
    <xf numFmtId="0" fontId="3" fillId="6104" borderId="5939" xfId="0" applyFont="1" applyFill="1" applyBorder="1" applyAlignment="1">
      <alignment vertical="center"/>
    </xf>
    <xf numFmtId="0" fontId="3" fillId="6113" borderId="5939" xfId="0" applyFont="1" applyFill="1" applyBorder="1" applyAlignment="1">
      <alignment vertical="center"/>
    </xf>
    <xf numFmtId="0" fontId="3" fillId="6122" borderId="5939" xfId="0" applyFont="1" applyFill="1" applyBorder="1" applyAlignment="1">
      <alignment vertical="center"/>
    </xf>
    <xf numFmtId="0" fontId="3" fillId="6131" borderId="5939" xfId="0" applyFont="1" applyFill="1" applyBorder="1" applyAlignment="1">
      <alignment vertical="center"/>
    </xf>
    <xf numFmtId="0" fontId="3" fillId="6140" borderId="5939" xfId="0" applyFont="1" applyFill="1" applyBorder="1" applyAlignment="1">
      <alignment vertical="center"/>
    </xf>
    <xf numFmtId="0" fontId="3" fillId="6149" borderId="5939" xfId="0" applyFont="1" applyFill="1" applyBorder="1" applyAlignment="1">
      <alignment vertical="center"/>
    </xf>
    <xf numFmtId="0" fontId="3" fillId="6158" borderId="5939" xfId="0" applyFont="1" applyFill="1" applyBorder="1" applyAlignment="1">
      <alignment vertical="center"/>
    </xf>
    <xf numFmtId="0" fontId="3" fillId="6167" borderId="5939" xfId="0" applyFont="1" applyFill="1" applyBorder="1" applyAlignment="1">
      <alignment vertical="center"/>
    </xf>
    <xf numFmtId="0" fontId="3" fillId="6176" borderId="5939" xfId="0" applyFont="1" applyFill="1" applyBorder="1" applyAlignment="1">
      <alignment vertical="center"/>
    </xf>
    <xf numFmtId="0" fontId="3" fillId="6185" borderId="5939" xfId="0" applyFont="1" applyFill="1" applyBorder="1" applyAlignment="1">
      <alignment vertical="center"/>
    </xf>
    <xf numFmtId="0" fontId="3" fillId="6194" borderId="5939" xfId="0" applyFont="1" applyFill="1" applyBorder="1" applyAlignment="1">
      <alignment vertical="center"/>
    </xf>
    <xf numFmtId="0" fontId="3" fillId="6203" borderId="5939" xfId="0" applyFont="1" applyFill="1" applyBorder="1" applyAlignment="1">
      <alignment vertical="center"/>
    </xf>
    <xf numFmtId="0" fontId="3" fillId="6212" borderId="5939" xfId="0" applyFont="1" applyFill="1" applyBorder="1" applyAlignment="1">
      <alignment vertical="center"/>
    </xf>
    <xf numFmtId="0" fontId="3" fillId="6221" borderId="5939" xfId="0" applyFont="1" applyFill="1" applyBorder="1" applyAlignment="1">
      <alignment vertical="center"/>
    </xf>
    <xf numFmtId="0" fontId="3" fillId="6230" borderId="5939" xfId="0" applyFont="1" applyFill="1" applyBorder="1" applyAlignment="1">
      <alignment vertical="center"/>
    </xf>
    <xf numFmtId="0" fontId="3" fillId="6239" borderId="5939" xfId="0" applyFont="1" applyFill="1" applyBorder="1" applyAlignment="1">
      <alignment vertical="center"/>
    </xf>
    <xf numFmtId="0" fontId="3" fillId="6248" borderId="5939" xfId="0" applyFont="1" applyFill="1" applyBorder="1" applyAlignment="1">
      <alignment vertical="center"/>
    </xf>
    <xf numFmtId="0" fontId="3" fillId="6257" borderId="5939" xfId="0" applyFont="1" applyFill="1" applyBorder="1" applyAlignment="1">
      <alignment vertical="center"/>
    </xf>
    <xf numFmtId="0" fontId="3" fillId="6266" borderId="5939" xfId="0" applyFont="1" applyFill="1" applyBorder="1" applyAlignment="1">
      <alignment vertical="center"/>
    </xf>
    <xf numFmtId="0" fontId="3" fillId="6275" borderId="5939" xfId="0" applyFont="1" applyFill="1" applyBorder="1" applyAlignment="1">
      <alignment vertical="center"/>
    </xf>
    <xf numFmtId="0" fontId="3" fillId="6284" borderId="5939" xfId="0" applyFont="1" applyFill="1" applyBorder="1" applyAlignment="1">
      <alignment vertical="center"/>
    </xf>
    <xf numFmtId="0" fontId="3" fillId="6293" borderId="5939" xfId="0" applyFont="1" applyFill="1" applyBorder="1" applyAlignment="1">
      <alignment vertical="center"/>
    </xf>
    <xf numFmtId="0" fontId="3" fillId="6302" borderId="5939" xfId="0" applyFont="1" applyFill="1" applyBorder="1" applyAlignment="1">
      <alignment vertical="center"/>
    </xf>
    <xf numFmtId="0" fontId="3" fillId="6311" borderId="5939" xfId="0" applyFont="1" applyFill="1" applyBorder="1" applyAlignment="1">
      <alignment vertical="center"/>
    </xf>
    <xf numFmtId="0" fontId="3" fillId="6320" borderId="5939" xfId="0" applyFont="1" applyFill="1" applyBorder="1" applyAlignment="1">
      <alignment vertical="center"/>
    </xf>
    <xf numFmtId="0" fontId="3" fillId="6329" borderId="5939" xfId="0" applyFont="1" applyFill="1" applyBorder="1" applyAlignment="1">
      <alignment vertical="center"/>
    </xf>
    <xf numFmtId="0" fontId="3" fillId="6338" borderId="5939" xfId="0" applyFont="1" applyFill="1" applyBorder="1" applyAlignment="1">
      <alignment vertical="center"/>
    </xf>
    <xf numFmtId="0" fontId="3" fillId="6347" borderId="5939" xfId="0" applyFont="1" applyFill="1" applyBorder="1" applyAlignment="1">
      <alignment vertical="center"/>
    </xf>
    <xf numFmtId="0" fontId="3" fillId="6356" borderId="5939" xfId="0" applyFont="1" applyFill="1" applyBorder="1" applyAlignment="1">
      <alignment vertical="center"/>
    </xf>
    <xf numFmtId="0" fontId="3" fillId="6365" borderId="5939" xfId="0" applyFont="1" applyFill="1" applyBorder="1" applyAlignment="1">
      <alignment vertical="center"/>
    </xf>
    <xf numFmtId="0" fontId="3" fillId="6374" borderId="5939" xfId="0" applyFont="1" applyFill="1" applyBorder="1" applyAlignment="1">
      <alignment vertical="center"/>
    </xf>
    <xf numFmtId="0" fontId="3" fillId="6383" borderId="5939" xfId="0" applyFont="1" applyFill="1" applyBorder="1" applyAlignment="1">
      <alignment vertical="center"/>
    </xf>
    <xf numFmtId="0" fontId="3" fillId="6392" borderId="5939" xfId="0" applyFont="1" applyFill="1" applyBorder="1" applyAlignment="1">
      <alignment vertical="center"/>
    </xf>
    <xf numFmtId="0" fontId="3" fillId="6401" borderId="5939" xfId="0" applyFont="1" applyFill="1" applyBorder="1" applyAlignment="1">
      <alignment vertical="center"/>
    </xf>
    <xf numFmtId="0" fontId="3" fillId="6410" borderId="5939" xfId="0" applyFont="1" applyFill="1" applyBorder="1" applyAlignment="1">
      <alignment vertical="center"/>
    </xf>
    <xf numFmtId="0" fontId="3" fillId="6419" borderId="5939" xfId="0" applyFont="1" applyFill="1" applyBorder="1" applyAlignment="1">
      <alignment vertical="center"/>
    </xf>
    <xf numFmtId="0" fontId="3" fillId="6428" borderId="5939" xfId="0" applyFont="1" applyFill="1" applyBorder="1" applyAlignment="1">
      <alignment vertical="center"/>
    </xf>
    <xf numFmtId="0" fontId="3" fillId="6437" borderId="5939" xfId="0" applyFont="1" applyFill="1" applyBorder="1" applyAlignment="1">
      <alignment vertical="center"/>
    </xf>
    <xf numFmtId="0" fontId="3" fillId="6446" borderId="5939" xfId="0" applyFont="1" applyFill="1" applyBorder="1" applyAlignment="1">
      <alignment vertical="center"/>
    </xf>
    <xf numFmtId="0" fontId="3" fillId="6455" borderId="5939" xfId="0" applyFont="1" applyFill="1" applyBorder="1" applyAlignment="1">
      <alignment vertical="center"/>
    </xf>
    <xf numFmtId="0" fontId="3" fillId="6464" borderId="5939" xfId="0" applyFont="1" applyFill="1" applyBorder="1" applyAlignment="1">
      <alignment vertical="center"/>
    </xf>
    <xf numFmtId="0" fontId="3" fillId="6473" borderId="5939" xfId="0" applyFont="1" applyFill="1" applyBorder="1" applyAlignment="1">
      <alignment vertical="center"/>
    </xf>
    <xf numFmtId="0" fontId="3" fillId="6482" borderId="5939" xfId="0" applyFont="1" applyFill="1" applyBorder="1" applyAlignment="1">
      <alignment vertical="center"/>
    </xf>
    <xf numFmtId="0" fontId="3" fillId="6491" borderId="5939" xfId="0" applyFont="1" applyFill="1" applyBorder="1" applyAlignment="1">
      <alignment vertical="center"/>
    </xf>
    <xf numFmtId="0" fontId="3" fillId="6500" borderId="5939" xfId="0" applyFont="1" applyFill="1" applyBorder="1" applyAlignment="1">
      <alignment vertical="center"/>
    </xf>
    <xf numFmtId="0" fontId="3" fillId="6509" borderId="5939" xfId="0" applyFont="1" applyFill="1" applyBorder="1" applyAlignment="1">
      <alignment vertical="center"/>
    </xf>
    <xf numFmtId="0" fontId="3" fillId="6518" borderId="5939" xfId="0" applyFont="1" applyFill="1" applyBorder="1" applyAlignment="1">
      <alignment vertical="center"/>
    </xf>
    <xf numFmtId="0" fontId="3" fillId="6527" borderId="5939" xfId="0" applyFont="1" applyFill="1" applyBorder="1" applyAlignment="1">
      <alignment vertical="center"/>
    </xf>
    <xf numFmtId="0" fontId="3" fillId="6536" borderId="5939" xfId="0" applyFont="1" applyFill="1" applyBorder="1" applyAlignment="1">
      <alignment vertical="center"/>
    </xf>
    <xf numFmtId="0" fontId="3" fillId="6545" borderId="5939" xfId="0" applyFont="1" applyFill="1" applyBorder="1" applyAlignment="1">
      <alignment vertical="center"/>
    </xf>
    <xf numFmtId="0" fontId="3" fillId="6554" borderId="5939" xfId="0" applyFont="1" applyFill="1" applyBorder="1" applyAlignment="1">
      <alignment vertical="center"/>
    </xf>
    <xf numFmtId="0" fontId="3" fillId="6563" borderId="5939" xfId="0" applyFont="1" applyFill="1" applyBorder="1" applyAlignment="1">
      <alignment vertical="center"/>
    </xf>
    <xf numFmtId="0" fontId="3" fillId="6572" borderId="5939" xfId="0" applyFont="1" applyFill="1" applyBorder="1" applyAlignment="1">
      <alignment vertical="center"/>
    </xf>
    <xf numFmtId="0" fontId="3" fillId="6581" borderId="5939" xfId="0" applyFont="1" applyFill="1" applyBorder="1" applyAlignment="1">
      <alignment vertical="center"/>
    </xf>
    <xf numFmtId="0" fontId="3" fillId="6590" borderId="5939" xfId="0" applyFont="1" applyFill="1" applyBorder="1" applyAlignment="1">
      <alignment vertical="center"/>
    </xf>
    <xf numFmtId="0" fontId="3" fillId="6599" borderId="5939" xfId="0" applyFont="1" applyFill="1" applyBorder="1" applyAlignment="1">
      <alignment vertical="center"/>
    </xf>
    <xf numFmtId="0" fontId="3" fillId="6608" borderId="5939" xfId="0" applyFont="1" applyFill="1" applyBorder="1" applyAlignment="1">
      <alignment vertical="center"/>
    </xf>
    <xf numFmtId="0" fontId="3" fillId="6617" borderId="5939" xfId="0" applyFont="1" applyFill="1" applyBorder="1" applyAlignment="1">
      <alignment vertical="center"/>
    </xf>
    <xf numFmtId="0" fontId="3" fillId="6626" borderId="5939" xfId="0" applyFont="1" applyFill="1" applyBorder="1" applyAlignment="1">
      <alignment vertical="center"/>
    </xf>
    <xf numFmtId="0" fontId="3" fillId="6635" borderId="5939" xfId="0" applyFont="1" applyFill="1" applyBorder="1" applyAlignment="1">
      <alignment vertical="center"/>
    </xf>
    <xf numFmtId="0" fontId="3" fillId="6644" borderId="5939" xfId="0" applyFont="1" applyFill="1" applyBorder="1" applyAlignment="1">
      <alignment vertical="center"/>
    </xf>
    <xf numFmtId="0" fontId="3" fillId="6653" borderId="5939" xfId="0" applyFont="1" applyFill="1" applyBorder="1" applyAlignment="1">
      <alignment vertical="center"/>
    </xf>
    <xf numFmtId="0" fontId="3" fillId="6662" borderId="5939" xfId="0" applyFont="1" applyFill="1" applyBorder="1" applyAlignment="1">
      <alignment vertical="center"/>
    </xf>
    <xf numFmtId="0" fontId="3" fillId="6671" borderId="5939" xfId="0" applyFont="1" applyFill="1" applyBorder="1" applyAlignment="1">
      <alignment vertical="center"/>
    </xf>
    <xf numFmtId="0" fontId="3" fillId="6680" borderId="5939" xfId="0" applyFont="1" applyFill="1" applyBorder="1" applyAlignment="1">
      <alignment vertical="center"/>
    </xf>
    <xf numFmtId="0" fontId="2" fillId="0" borderId="5940" xfId="0" applyFont="1" applyFill="1" applyBorder="1" applyAlignment="1">
      <alignment vertical="center"/>
    </xf>
    <xf numFmtId="0" fontId="3" fillId="2" borderId="5941" xfId="0" applyFont="1" applyFill="1" applyBorder="1" applyAlignment="1">
      <alignment vertical="center"/>
    </xf>
    <xf numFmtId="0" fontId="3" fillId="3" borderId="5942" xfId="0" applyFont="1" applyFill="1" applyBorder="1" applyAlignment="1">
      <alignment vertical="center"/>
    </xf>
    <xf numFmtId="0" fontId="2" fillId="3" borderId="5942" xfId="0" applyFont="1" applyFill="1" applyBorder="1" applyAlignment="1">
      <alignment vertical="center"/>
    </xf>
    <xf numFmtId="0" fontId="3" fillId="4" borderId="5942" xfId="0" applyFont="1" applyFill="1" applyBorder="1" applyAlignment="1">
      <alignment vertical="center"/>
    </xf>
    <xf numFmtId="0" fontId="3" fillId="5" borderId="5942" xfId="0" applyFont="1" applyFill="1" applyBorder="1" applyAlignment="1">
      <alignment vertical="center"/>
    </xf>
    <xf numFmtId="4" fontId="3" fillId="6" borderId="5942" xfId="0" applyNumberFormat="1" applyFont="1" applyFill="1" applyBorder="1" applyAlignment="1">
      <alignment vertical="center"/>
    </xf>
    <xf numFmtId="4" fontId="3" fillId="7" borderId="5942" xfId="0" applyNumberFormat="1" applyFont="1" applyFill="1" applyBorder="1" applyAlignment="1">
      <alignment vertical="center"/>
    </xf>
    <xf numFmtId="4" fontId="3" fillId="8" borderId="5942" xfId="0" applyNumberFormat="1" applyFont="1" applyFill="1" applyBorder="1" applyAlignment="1">
      <alignment vertical="center"/>
    </xf>
    <xf numFmtId="0" fontId="3" fillId="9" borderId="5942" xfId="0" applyFont="1" applyFill="1" applyBorder="1" applyAlignment="1">
      <alignment vertical="center"/>
    </xf>
    <xf numFmtId="0" fontId="3" fillId="10" borderId="5942" xfId="0" applyFont="1" applyFill="1" applyBorder="1" applyAlignment="1">
      <alignment vertical="center"/>
    </xf>
    <xf numFmtId="0" fontId="2" fillId="0" borderId="5942" xfId="0" applyFont="1" applyFill="1" applyBorder="1" applyAlignment="1">
      <alignment vertical="center"/>
    </xf>
    <xf numFmtId="0" fontId="2" fillId="0" borderId="5943" xfId="0" applyFont="1" applyFill="1" applyBorder="1" applyAlignment="1">
      <alignment vertical="center"/>
    </xf>
    <xf numFmtId="0" fontId="3" fillId="6689" borderId="5944" xfId="0" applyFont="1" applyFill="1" applyBorder="1" applyAlignment="1">
      <alignment vertical="center"/>
    </xf>
    <xf numFmtId="0" fontId="3" fillId="6690" borderId="5945" xfId="0" applyFont="1" applyFill="1" applyBorder="1" applyAlignment="1">
      <alignment vertical="center"/>
    </xf>
    <xf numFmtId="0" fontId="3" fillId="6691" borderId="5945" xfId="0" applyFont="1" applyFill="1" applyBorder="1" applyAlignment="1">
      <alignment vertical="center"/>
    </xf>
    <xf numFmtId="0" fontId="3" fillId="6692" borderId="5945" xfId="0" applyFont="1" applyFill="1" applyBorder="1" applyAlignment="1">
      <alignment vertical="center"/>
    </xf>
    <xf numFmtId="4" fontId="3" fillId="6693" borderId="5945" xfId="0" applyNumberFormat="1" applyFont="1" applyFill="1" applyBorder="1" applyAlignment="1">
      <alignment vertical="center"/>
    </xf>
    <xf numFmtId="4" fontId="3" fillId="6694" borderId="5945" xfId="0" applyNumberFormat="1" applyFont="1" applyFill="1" applyBorder="1" applyAlignment="1">
      <alignment vertical="center"/>
    </xf>
    <xf numFmtId="4" fontId="3" fillId="6695" borderId="5945" xfId="0" applyNumberFormat="1" applyFont="1" applyFill="1" applyBorder="1" applyAlignment="1">
      <alignment vertical="center"/>
    </xf>
    <xf numFmtId="0" fontId="3" fillId="6696" borderId="5945" xfId="0" applyFont="1" applyFill="1" applyBorder="1" applyAlignment="1">
      <alignment vertical="center"/>
    </xf>
    <xf numFmtId="0" fontId="3" fillId="6697" borderId="5945" xfId="0" applyFont="1" applyFill="1" applyBorder="1" applyAlignment="1">
      <alignment vertical="center"/>
    </xf>
    <xf numFmtId="0" fontId="2" fillId="0" borderId="5945" xfId="0" applyFont="1" applyFill="1" applyBorder="1" applyAlignment="1">
      <alignment vertical="center"/>
    </xf>
    <xf numFmtId="0" fontId="2" fillId="0" borderId="5946" xfId="0" applyFont="1" applyFill="1" applyBorder="1" applyAlignment="1">
      <alignment vertical="center"/>
    </xf>
  </cellXfs>
  <cellStyles count="1">
    <cellStyle name="Normal" xfId="0" builtinId="0"/>
  </cellStyles>
  <dxfs count="306"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Triano Redón" refreshedDate="45970.924157407404" createdVersion="8" refreshedVersion="8" minRefreshableVersion="3" recordCount="743" xr:uid="{5E01069B-B004-439C-B771-EF3BE58606AD}">
  <cacheSource type="worksheet">
    <worksheetSource ref="A1:L744" sheet="Informe BBVA"/>
  </cacheSource>
  <cacheFields count="12">
    <cacheField name="F.Valor" numFmtId="0">
      <sharedItems/>
    </cacheField>
    <cacheField name="Fecha" numFmtId="0">
      <sharedItems/>
    </cacheField>
    <cacheField name="Periodo" numFmtId="0">
      <sharedItems containsSemiMixedTypes="0" containsString="0" containsNumber="1" containsInteger="1" minValue="1" maxValue="10" count="10">
        <n v="10"/>
        <n v="9"/>
        <n v="8"/>
        <n v="7"/>
        <n v="6"/>
        <n v="5"/>
        <n v="4"/>
        <n v="3"/>
        <n v="2"/>
        <n v="1"/>
      </sharedItems>
    </cacheField>
    <cacheField name="Concepto" numFmtId="0">
      <sharedItems/>
    </cacheField>
    <cacheField name="Movimiento" numFmtId="0">
      <sharedItems/>
    </cacheField>
    <cacheField name="Importe" numFmtId="4">
      <sharedItems containsSemiMixedTypes="0" containsString="0" containsNumber="1" minValue="-699.84" maxValue="1867.53"/>
    </cacheField>
    <cacheField name="Divisa" numFmtId="4">
      <sharedItems/>
    </cacheField>
    <cacheField name="Disponible" numFmtId="4">
      <sharedItems containsSemiMixedTypes="0" containsString="0" containsNumber="1" minValue="4408.78" maxValue="7183.21"/>
    </cacheField>
    <cacheField name="Divisa2" numFmtId="0">
      <sharedItems/>
    </cacheField>
    <cacheField name="Observaciones" numFmtId="0">
      <sharedItems/>
    </cacheField>
    <cacheField name="Subcatergoria" numFmtId="0">
      <sharedItems count="38">
        <s v="Transporte"/>
        <s v="Netfix"/>
        <s v="Luz"/>
        <s v="Hipoteca"/>
        <s v="Bar/Restaurante"/>
        <s v="Agua"/>
        <s v="Nomina"/>
        <s v="Mascotas"/>
        <s v="Spotify"/>
        <s v="Farmacia"/>
        <s v="Tabaco"/>
        <s v="Supermercado"/>
        <s v="Bizum"/>
        <s v="Compras"/>
        <s v="Gasolina"/>
        <s v="Apple cloud"/>
        <s v="Ocio"/>
        <s v="Casa"/>
        <s v="Vodafone"/>
        <s v="Podimo"/>
        <s v="Limpieza casa"/>
        <s v="BBVA Seguro"/>
        <s v="Loteria"/>
        <s v="Cuota mensual de fraccionamiento de gastos"/>
        <s v="Donacion"/>
        <s v="Parking"/>
        <s v="Fincas"/>
        <s v="Gimnasio"/>
        <s v="Viajes"/>
        <s v="Tributos"/>
        <s v="Efectivo"/>
        <s v="Prime"/>
        <s v="Uñas"/>
        <s v="Peluqueria"/>
        <s v="Renta 2024"/>
        <s v="ITV"/>
        <s v="Comision"/>
        <s v="Bit2me"/>
      </sharedItems>
    </cacheField>
    <cacheField name="Categoria" numFmtId="0">
      <sharedItems containsBlank="1" count="10">
        <s v="Otros Gastos Generales "/>
        <s v="Ocio y Entretenimiento "/>
        <s v="Suministros "/>
        <s v="Vivienda y Préstamos "/>
        <s v="Transferencias y Efectivo "/>
        <s v="Supermercado "/>
        <s v="Salud y Cuidado "/>
        <s v="Moto"/>
        <s v="BBV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">
  <r>
    <s v="31/10/2025"/>
    <s v="31/10/2025"/>
    <x v="0"/>
    <s v="Acciona motosharing"/>
    <s v="Pago con tarjeta"/>
    <n v="-4.88"/>
    <s v="EUR"/>
    <n v="5664.75"/>
    <s v="EUR"/>
    <s v="4940197133530195 ACCIONA MOTOSHARING      ALCOBENDAS   ES"/>
    <x v="0"/>
    <x v="0"/>
  </r>
  <r>
    <s v="30/10/2025"/>
    <s v="31/10/2025"/>
    <x v="0"/>
    <s v="Netflix.com"/>
    <s v="Pago con tarjeta"/>
    <n v="-6.99"/>
    <s v="EUR"/>
    <n v="5669.63"/>
    <s v="EUR"/>
    <s v="4940197133530195 Netflix.com"/>
    <x v="1"/>
    <x v="1"/>
  </r>
  <r>
    <s v="31/10/2025"/>
    <s v="31/10/2025"/>
    <x v="0"/>
    <s v="Adeudo de endesa"/>
    <s v="Adeudo nº 2025303002749399"/>
    <n v="-67.81"/>
    <s v="EUR"/>
    <n v="5676.62"/>
    <s v="EUR"/>
    <s v="N 2025303002749399 ENERGIA XXI                          CPVR"/>
    <x v="2"/>
    <x v="2"/>
  </r>
  <r>
    <s v="31/10/2025"/>
    <s v="31/10/2025"/>
    <x v="0"/>
    <s v="Cargo por amortizacion de prestamo/credito"/>
    <s v=""/>
    <n v="-461.91"/>
    <s v="EUR"/>
    <n v="5744.43"/>
    <s v="EUR"/>
    <s v="0182-3247-22-0830147409"/>
    <x v="3"/>
    <x v="3"/>
  </r>
  <r>
    <s v="30/10/2025"/>
    <s v="30/10/2025"/>
    <x v="0"/>
    <s v="Frankingfurt"/>
    <s v="Pago con tarjeta"/>
    <n v="-21.6"/>
    <s v="EUR"/>
    <n v="6206.34"/>
    <s v="EUR"/>
    <s v="4940197133530195 FRANKINGFURT             SANTA COLOMA ES"/>
    <x v="4"/>
    <x v="1"/>
  </r>
  <r>
    <s v="30/10/2025"/>
    <s v="30/10/2025"/>
    <x v="0"/>
    <s v="Bar cafeteria"/>
    <s v="Pago con tarjeta"/>
    <n v="-3.9"/>
    <s v="EUR"/>
    <n v="6227.94"/>
    <s v="EUR"/>
    <s v="4940197133530195 BAR CAFETERIA            SANTA COLOMA ES"/>
    <x v="4"/>
    <x v="1"/>
  </r>
  <r>
    <s v="30/10/2025"/>
    <s v="30/10/2025"/>
    <x v="0"/>
    <s v="Adeudo de aguas de barcelona"/>
    <s v="Adeudo nº 2025303002474367"/>
    <n v="-44.47"/>
    <s v="EUR"/>
    <n v="6231.84"/>
    <s v="EUR"/>
    <s v="N 2025303002474367 AIGUES DE BARCELONA"/>
    <x v="5"/>
    <x v="2"/>
  </r>
  <r>
    <s v="30/10/2025"/>
    <s v="30/10/2025"/>
    <x v="0"/>
    <s v="Abono de nómina"/>
    <s v="Transferencia nomina"/>
    <n v="1867.53"/>
    <s v="EUR"/>
    <n v="6276.31"/>
    <s v="EUR"/>
    <s v="Transferencia nomina"/>
    <x v="6"/>
    <x v="4"/>
  </r>
  <r>
    <s v="28/10/2025"/>
    <s v="28/10/2025"/>
    <x v="0"/>
    <s v="Social working dogs sccl"/>
    <s v="Pago con tarjeta"/>
    <n v="-29.95"/>
    <s v="EUR"/>
    <n v="4408.78"/>
    <s v="EUR"/>
    <s v="4940197133530195 SOCIAL WORKING DOGS SCCL LLIA D'AMUNTES"/>
    <x v="7"/>
    <x v="5"/>
  </r>
  <r>
    <s v="23/10/2025"/>
    <s v="27/10/2025"/>
    <x v="0"/>
    <s v="Paypal *spotify*p3bbd12eb"/>
    <s v="Pago con tarjeta"/>
    <n v="-11.99"/>
    <s v="EUR"/>
    <n v="4438.7299999999996"/>
    <s v="EUR"/>
    <s v="4940197133530195 PAYPAL *SPOTIFY*P3BBD12EB"/>
    <x v="8"/>
    <x v="1"/>
  </r>
  <r>
    <s v="26/10/2025"/>
    <s v="27/10/2025"/>
    <x v="0"/>
    <s v="Farmacia jordi bomcompte"/>
    <s v="Pago con tarjeta"/>
    <n v="-3.26"/>
    <s v="EUR"/>
    <n v="4450.72"/>
    <s v="EUR"/>
    <s v="4940197133530195 FARMACIA JORDI BOMCOMPTE PLA, PASSATGEES"/>
    <x v="9"/>
    <x v="6"/>
  </r>
  <r>
    <s v="25/10/2025"/>
    <s v="27/10/2025"/>
    <x v="0"/>
    <s v="Kiwoko fabra"/>
    <s v="Pago con tarjeta"/>
    <n v="-17.89"/>
    <s v="EUR"/>
    <n v="4453.9799999999996"/>
    <s v="EUR"/>
    <s v="4940197133530195 KIWOKO FABRA             BARCELONA    ES"/>
    <x v="7"/>
    <x v="5"/>
  </r>
  <r>
    <s v="25/10/2025"/>
    <s v="27/10/2025"/>
    <x v="0"/>
    <s v="Bar-rest. bell more"/>
    <s v="Pago con tarjeta"/>
    <n v="-2.9"/>
    <s v="EUR"/>
    <n v="4471.87"/>
    <s v="EUR"/>
    <s v="4940197133530195 Bar-Rest. Bell More      BARCELONA    ES"/>
    <x v="4"/>
    <x v="1"/>
  </r>
  <r>
    <s v="24/10/2025"/>
    <s v="27/10/2025"/>
    <x v="0"/>
    <s v="Bar lido"/>
    <s v="Pago con tarjeta"/>
    <n v="-7.95"/>
    <s v="EUR"/>
    <n v="4474.7700000000004"/>
    <s v="EUR"/>
    <s v="4940197133530195 BAR LIDO                 BARCELONA    ES"/>
    <x v="4"/>
    <x v="1"/>
  </r>
  <r>
    <s v="24/10/2025"/>
    <s v="24/10/2025"/>
    <x v="0"/>
    <s v="Hyde park"/>
    <s v="Pago con tarjeta"/>
    <n v="-1.7"/>
    <s v="EUR"/>
    <n v="4482.72"/>
    <s v="EUR"/>
    <s v="4940197133530195 HYDE PARK                BARCELONA    ES"/>
    <x v="4"/>
    <x v="1"/>
  </r>
  <r>
    <s v="24/10/2025"/>
    <s v="24/10/2025"/>
    <x v="0"/>
    <s v="L estanc de la merce"/>
    <s v="Pago con tarjeta"/>
    <n v="-6.3"/>
    <s v="EUR"/>
    <n v="4484.42"/>
    <s v="EUR"/>
    <s v="4940197133530195 L ESTANC DE LA MERCE     BARCELONA    ES"/>
    <x v="10"/>
    <x v="0"/>
  </r>
  <r>
    <s v="23/10/2025"/>
    <s v="23/10/2025"/>
    <x v="0"/>
    <s v="Consum on line 0378 b alcsilla        es"/>
    <s v="Pago con tarjeta"/>
    <n v="-64.400000000000006"/>
    <s v="EUR"/>
    <n v="4490.72"/>
    <s v="EUR"/>
    <s v="4940197133530195 CONSUM ON LINE 0378 B ALCSILLA        ES"/>
    <x v="11"/>
    <x v="5"/>
  </r>
  <r>
    <s v="22/10/2025"/>
    <s v="22/10/2025"/>
    <x v="0"/>
    <s v="El asador colomense s.l."/>
    <s v="Pago con tarjeta"/>
    <n v="-1.8"/>
    <s v="EUR"/>
    <n v="4555.12"/>
    <s v="EUR"/>
    <s v="4940197133530195 EL ASADOR COLOMENSE S.L. STA. COLOMA DES"/>
    <x v="4"/>
    <x v="1"/>
  </r>
  <r>
    <s v="20/10/2025"/>
    <s v="22/10/2025"/>
    <x v="0"/>
    <s v="Frankingfurt"/>
    <s v="Pago con tarjeta"/>
    <n v="-14.4"/>
    <s v="EUR"/>
    <n v="4556.92"/>
    <s v="EUR"/>
    <s v="4940197133530195 FRANKINGFURT"/>
    <x v="4"/>
    <x v="1"/>
  </r>
  <r>
    <s v="22/10/2025"/>
    <s v="22/10/2025"/>
    <x v="0"/>
    <s v="Bizum"/>
    <s v="Enviado: patri"/>
    <n v="-13"/>
    <s v="EUR"/>
    <n v="4571.32"/>
    <s v="EUR"/>
    <s v="ENVIADO: Patri"/>
    <x v="12"/>
    <x v="4"/>
  </r>
  <r>
    <s v="19/10/2025"/>
    <s v="21/10/2025"/>
    <x v="0"/>
    <s v="Just eat spain, s.l."/>
    <s v="Pago con tarjeta"/>
    <n v="-29.55"/>
    <s v="EUR"/>
    <n v="4584.32"/>
    <s v="EUR"/>
    <s v="4940197133530195 Just Eat Spain, S.L."/>
    <x v="4"/>
    <x v="1"/>
  </r>
  <r>
    <s v="20/10/2025"/>
    <s v="20/10/2025"/>
    <x v="0"/>
    <s v="Vetmont"/>
    <s v="Pago con tarjeta"/>
    <n v="-43.5"/>
    <s v="EUR"/>
    <n v="4613.87"/>
    <s v="EUR"/>
    <s v="4940197133530195 VETMONT                  BARCELONA    ES"/>
    <x v="7"/>
    <x v="5"/>
  </r>
  <r>
    <s v="20/10/2025"/>
    <s v="20/10/2025"/>
    <x v="0"/>
    <s v="Clarel"/>
    <s v="Pago con tarjeta"/>
    <n v="-10.47"/>
    <s v="EUR"/>
    <n v="4657.37"/>
    <s v="EUR"/>
    <s v="4940197133530195 CLAREL                   SANTA COLOMA ES"/>
    <x v="11"/>
    <x v="5"/>
  </r>
  <r>
    <s v="20/10/2025"/>
    <s v="20/10/2025"/>
    <x v="0"/>
    <s v="Spazio phone"/>
    <s v="Pago con tarjeta"/>
    <n v="-20"/>
    <s v="EUR"/>
    <n v="4667.84"/>
    <s v="EUR"/>
    <s v="4940197133530195 SPAZIO PHONE             STA. COLOMA DES"/>
    <x v="13"/>
    <x v="1"/>
  </r>
  <r>
    <s v="19/10/2025"/>
    <s v="20/10/2025"/>
    <x v="0"/>
    <s v="Bodega manelic"/>
    <s v="Pago con tarjeta"/>
    <n v="-7.1"/>
    <s v="EUR"/>
    <n v="4687.84"/>
    <s v="EUR"/>
    <s v="4940197133530195 BODEGA MANELIC           SANTA COLOMA ES"/>
    <x v="4"/>
    <x v="1"/>
  </r>
  <r>
    <s v="19/10/2025"/>
    <s v="20/10/2025"/>
    <x v="0"/>
    <s v="La estacion"/>
    <s v="Pago con tarjeta"/>
    <n v="-5"/>
    <s v="EUR"/>
    <n v="4694.9399999999996"/>
    <s v="EUR"/>
    <s v="4940197133530195 LA ESTACION              MONTBLANC    ES"/>
    <x v="4"/>
    <x v="1"/>
  </r>
  <r>
    <s v="19/10/2025"/>
    <s v="20/10/2025"/>
    <x v="0"/>
    <s v="Pampermut, s.l."/>
    <s v="Pago con tarjeta"/>
    <n v="-36"/>
    <s v="EUR"/>
    <n v="4699.9399999999996"/>
    <s v="EUR"/>
    <s v="4940197133530195 PAMPERMUT, S.L.          TERRASSA     ES"/>
    <x v="7"/>
    <x v="5"/>
  </r>
  <r>
    <s v="19/10/2025"/>
    <s v="20/10/2025"/>
    <x v="0"/>
    <s v="Pandarelo 75"/>
    <s v="Pago con tarjeta"/>
    <n v="-7.7"/>
    <s v="EUR"/>
    <n v="4735.9399999999996"/>
    <s v="EUR"/>
    <s v="4940197133530195 PANDARELO 75             BARCELONA    ES"/>
    <x v="4"/>
    <x v="1"/>
  </r>
  <r>
    <s v="19/10/2025"/>
    <s v="20/10/2025"/>
    <x v="0"/>
    <s v="Vivari gran via"/>
    <s v="Pago con tarjeta"/>
    <n v="-1.1000000000000001"/>
    <s v="EUR"/>
    <n v="4743.6400000000003"/>
    <s v="EUR"/>
    <s v="4940197133530195 VIVARI GRAN VIA          BARCELONA    ES"/>
    <x v="4"/>
    <x v="1"/>
  </r>
  <r>
    <s v="18/10/2025"/>
    <s v="20/10/2025"/>
    <x v="0"/>
    <s v="Xuan"/>
    <s v="Pago con tarjeta"/>
    <n v="-12"/>
    <s v="EUR"/>
    <n v="4744.74"/>
    <s v="EUR"/>
    <s v="4940197133530195 XUAN                     BARCELONA    ES"/>
    <x v="4"/>
    <x v="1"/>
  </r>
  <r>
    <s v="18/10/2025"/>
    <s v="20/10/2025"/>
    <x v="0"/>
    <s v="L estanc de la merce"/>
    <s v="Pago con tarjeta"/>
    <n v="-7.5"/>
    <s v="EUR"/>
    <n v="4756.74"/>
    <s v="EUR"/>
    <s v="4940197133530195 L ESTANC DE LA MERCE     BARCELONA    ES"/>
    <x v="10"/>
    <x v="0"/>
  </r>
  <r>
    <s v="18/10/2025"/>
    <s v="20/10/2025"/>
    <x v="0"/>
    <s v="Gran basar"/>
    <s v="Pago con tarjeta"/>
    <n v="-4.2"/>
    <s v="EUR"/>
    <n v="4764.24"/>
    <s v="EUR"/>
    <s v="4940197133530195 GRAN BASAR               BARCELONA    ES"/>
    <x v="13"/>
    <x v="1"/>
  </r>
  <r>
    <s v="18/10/2025"/>
    <s v="20/10/2025"/>
    <x v="0"/>
    <s v="Turris torras i bages"/>
    <s v="Pago con tarjeta"/>
    <n v="-8.9499999999999993"/>
    <s v="EUR"/>
    <n v="4768.4399999999996"/>
    <s v="EUR"/>
    <s v="4940197133530195 TURRIS TORRAS I BAGES    BARCELONA    ES"/>
    <x v="11"/>
    <x v="5"/>
  </r>
  <r>
    <s v="18/10/2025"/>
    <s v="20/10/2025"/>
    <x v="0"/>
    <s v="Cred trinidad"/>
    <s v="Pago con tarjeta"/>
    <n v="-11"/>
    <s v="EUR"/>
    <n v="4777.3900000000003"/>
    <s v="EUR"/>
    <s v="4940197133530195 CRED TRINIDAD            BARCELONA    ES"/>
    <x v="14"/>
    <x v="7"/>
  </r>
  <r>
    <s v="18/10/2025"/>
    <s v="20/10/2025"/>
    <x v="0"/>
    <s v="Condis supermercat"/>
    <s v="Pago con tarjeta"/>
    <n v="-2.94"/>
    <s v="EUR"/>
    <n v="4788.3900000000003"/>
    <s v="EUR"/>
    <s v="4940197133530195 CONDIS SUPERMERCAT       STA. COLOMA DES"/>
    <x v="11"/>
    <x v="5"/>
  </r>
  <r>
    <s v="17/10/2025"/>
    <s v="20/10/2025"/>
    <x v="0"/>
    <s v="Condis supermercat"/>
    <s v="Pago con tarjeta"/>
    <n v="-20.48"/>
    <s v="EUR"/>
    <n v="4791.33"/>
    <s v="EUR"/>
    <s v="4940197133530195 CONDIS SUPERMERCAT       STA. COLOMA DES"/>
    <x v="11"/>
    <x v="5"/>
  </r>
  <r>
    <s v="14/10/2025"/>
    <s v="17/10/2025"/>
    <x v="0"/>
    <s v="Paypal *itunesappst apple"/>
    <s v="Pago con tarjeta"/>
    <n v="-2.99"/>
    <s v="EUR"/>
    <n v="4811.8100000000004"/>
    <s v="EUR"/>
    <s v="4940197133530195 PAYPAL *ITUNESAPPST APPLE"/>
    <x v="15"/>
    <x v="1"/>
  </r>
  <r>
    <s v="17/10/2025"/>
    <s v="17/10/2025"/>
    <x v="0"/>
    <s v="Cerveceria thor"/>
    <s v="Pago con tarjeta"/>
    <n v="-1.7"/>
    <s v="EUR"/>
    <n v="4814.8"/>
    <s v="EUR"/>
    <s v="4940197133530195 cerveceria thor          PLA, PASSATGEES"/>
    <x v="4"/>
    <x v="1"/>
  </r>
  <r>
    <s v="16/10/2025"/>
    <s v="16/10/2025"/>
    <x v="0"/>
    <s v="Farmacia reixach - de pab"/>
    <s v="Pago con tarjeta"/>
    <n v="-46.98"/>
    <s v="EUR"/>
    <n v="4816.5"/>
    <s v="EUR"/>
    <s v="4940197133530195 FARMACIA REIXACH - DE PABBARCELONA    ES"/>
    <x v="9"/>
    <x v="6"/>
  </r>
  <r>
    <s v="14/10/2025"/>
    <s v="14/10/2025"/>
    <x v="0"/>
    <s v="Consum b.gr.s.andreu"/>
    <s v="Pago con tarjeta"/>
    <n v="-16.809999999999999"/>
    <s v="EUR"/>
    <n v="4863.4799999999996"/>
    <s v="EUR"/>
    <s v="4940197133530195 CONSUM B.GR.S.ANDREU     BARCELONA    ES"/>
    <x v="11"/>
    <x v="5"/>
  </r>
  <r>
    <s v="11/10/2025"/>
    <s v="14/10/2025"/>
    <x v="0"/>
    <s v="Exitbcn.com"/>
    <s v="Pago con tarjeta"/>
    <n v="-140"/>
    <s v="EUR"/>
    <n v="4880.29"/>
    <s v="EUR"/>
    <s v="4940197133530195 EXITBCN.COM"/>
    <x v="13"/>
    <x v="1"/>
  </r>
  <r>
    <s v="14/10/2025"/>
    <s v="14/10/2025"/>
    <x v="0"/>
    <s v="Macxipa sant josep"/>
    <s v="Pago con tarjeta"/>
    <n v="-2.2200000000000002"/>
    <s v="EUR"/>
    <n v="5020.29"/>
    <s v="EUR"/>
    <s v="4940197133530195 MACXIPA SANT JOSEP       STA. COLOMA  ES"/>
    <x v="4"/>
    <x v="1"/>
  </r>
  <r>
    <s v="13/10/2025"/>
    <s v="13/10/2025"/>
    <x v="0"/>
    <s v="Farmacia jordi bomcompte"/>
    <s v="Pago con tarjeta"/>
    <n v="-172.55"/>
    <s v="EUR"/>
    <n v="5022.51"/>
    <s v="EUR"/>
    <s v="4940197133530195 FARMACIA JORDI BOMCOMPTE SANTA COLOMA ES"/>
    <x v="9"/>
    <x v="6"/>
  </r>
  <r>
    <s v="13/10/2025"/>
    <s v="13/10/2025"/>
    <x v="0"/>
    <s v="Copisteria copy's"/>
    <s v="Pago con tarjeta"/>
    <n v="-3.45"/>
    <s v="EUR"/>
    <n v="5195.0600000000004"/>
    <s v="EUR"/>
    <s v="4940197133530195 COPISTERIA COPY'S        STA COLOMA GRES"/>
    <x v="13"/>
    <x v="1"/>
  </r>
  <r>
    <s v="12/10/2025"/>
    <s v="13/10/2025"/>
    <x v="0"/>
    <s v="Bizum"/>
    <s v="Enviado: hola"/>
    <n v="-8"/>
    <s v="EUR"/>
    <n v="5198.51"/>
    <s v="EUR"/>
    <s v="ENVIADO: Hola"/>
    <x v="12"/>
    <x v="4"/>
  </r>
  <r>
    <s v="12/10/2025"/>
    <s v="13/10/2025"/>
    <x v="0"/>
    <s v="Two market 03"/>
    <s v="Pago con tarjeta"/>
    <n v="-3"/>
    <s v="EUR"/>
    <n v="5206.51"/>
    <s v="EUR"/>
    <s v="4940197133530195 TWO MARKET 03            BARCELONA    ES"/>
    <x v="16"/>
    <x v="1"/>
  </r>
  <r>
    <s v="11/10/2025"/>
    <s v="13/10/2025"/>
    <x v="0"/>
    <s v="Cafeteria forn de pa dol"/>
    <s v="Pago con tarjeta"/>
    <n v="-14.8"/>
    <s v="EUR"/>
    <n v="5209.51"/>
    <s v="EUR"/>
    <s v="4940197133530195 CAFETERIA FORN DE PA DOL SANTA COLOMA ES"/>
    <x v="4"/>
    <x v="1"/>
  </r>
  <r>
    <s v="11/10/2025"/>
    <s v="13/10/2025"/>
    <x v="0"/>
    <s v="Cafeteria forn de pa dol"/>
    <s v="Pago con tarjeta"/>
    <n v="-2"/>
    <s v="EUR"/>
    <n v="5224.3100000000004"/>
    <s v="EUR"/>
    <s v="4940197133530195 CAFETERIA FORN DE PA DOL SANTA COLOMA ES"/>
    <x v="4"/>
    <x v="1"/>
  </r>
  <r>
    <s v="11/10/2025"/>
    <s v="13/10/2025"/>
    <x v="0"/>
    <s v="Ferreteria rabii hannou"/>
    <s v="Pago con tarjeta"/>
    <n v="-3.6"/>
    <s v="EUR"/>
    <n v="5226.3100000000004"/>
    <s v="EUR"/>
    <s v="4940197133530195 FERRETERIA RABII HANNOU  SANTA COLOMA ES"/>
    <x v="17"/>
    <x v="3"/>
  </r>
  <r>
    <s v="11/10/2025"/>
    <s v="13/10/2025"/>
    <x v="0"/>
    <s v="Hawai"/>
    <s v="Pago con tarjeta"/>
    <n v="-3.65"/>
    <s v="EUR"/>
    <n v="5229.91"/>
    <s v="EUR"/>
    <s v="4940197133530195 HAWAI                    SANTA COLOMA ES"/>
    <x v="11"/>
    <x v="5"/>
  </r>
  <r>
    <s v="11/10/2025"/>
    <s v="13/10/2025"/>
    <x v="0"/>
    <s v="Pastisseria glass"/>
    <s v="Pago con tarjeta"/>
    <n v="-12.45"/>
    <s v="EUR"/>
    <n v="5233.5600000000004"/>
    <s v="EUR"/>
    <s v="4940197133530195 PASTISSERIA GLASS        SANTA COLOMA ES"/>
    <x v="11"/>
    <x v="5"/>
  </r>
  <r>
    <s v="11/10/2025"/>
    <s v="13/10/2025"/>
    <x v="0"/>
    <s v="Vinoteca arribes del duer"/>
    <s v="Pago con tarjeta"/>
    <n v="-7.5"/>
    <s v="EUR"/>
    <n v="5246.01"/>
    <s v="EUR"/>
    <s v="4940197133530195 VINOTECA ARRIBES DEL DUERSANTA COLOMA ES"/>
    <x v="11"/>
    <x v="5"/>
  </r>
  <r>
    <s v="11/10/2025"/>
    <s v="13/10/2025"/>
    <x v="0"/>
    <s v="Expendiduria n.2"/>
    <s v="Pago con tarjeta"/>
    <n v="-6.9"/>
    <s v="EUR"/>
    <n v="5253.51"/>
    <s v="EUR"/>
    <s v="4940197133530195 EXPENDIDURIA N.2         SANTA COLOMA ES"/>
    <x v="10"/>
    <x v="0"/>
  </r>
  <r>
    <s v="10/10/2025"/>
    <s v="10/10/2025"/>
    <x v="0"/>
    <s v="Sanchez hipertextil"/>
    <s v="Pago con tarjeta"/>
    <n v="-31.9"/>
    <s v="EUR"/>
    <n v="5260.41"/>
    <s v="EUR"/>
    <s v="4940197133530195 SANCHEZ HIPERTEXTIL      BARCELONA    ES"/>
    <x v="17"/>
    <x v="3"/>
  </r>
  <r>
    <s v="10/10/2025"/>
    <s v="10/10/2025"/>
    <x v="0"/>
    <s v="La terrassa del mercadal"/>
    <s v="Pago con tarjeta"/>
    <n v="-11.1"/>
    <s v="EUR"/>
    <n v="5292.31"/>
    <s v="EUR"/>
    <s v="4940197133530195 LA TERRASSA DEL MERCADAL BARCELONA    ES"/>
    <x v="4"/>
    <x v="1"/>
  </r>
  <r>
    <s v="10/10/2025"/>
    <s v="10/10/2025"/>
    <x v="0"/>
    <s v="Plasiscomer hupa sl"/>
    <s v="Pago con tarjeta"/>
    <n v="-4.5"/>
    <s v="EUR"/>
    <n v="5303.41"/>
    <s v="EUR"/>
    <s v="4940197133530195 PLASISCOMER HUPA SL      BARCELONA    ES"/>
    <x v="17"/>
    <x v="3"/>
  </r>
  <r>
    <s v="10/10/2025"/>
    <s v="10/10/2025"/>
    <x v="0"/>
    <s v="Plasiscomer hupa sl"/>
    <s v="Pago con tarjeta"/>
    <n v="-7"/>
    <s v="EUR"/>
    <n v="5307.91"/>
    <s v="EUR"/>
    <s v="4940197133530195 PLASISCOMER HUPA SL      BARCELONA    ES"/>
    <x v="17"/>
    <x v="3"/>
  </r>
  <r>
    <s v="08/10/2025"/>
    <s v="10/10/2025"/>
    <x v="0"/>
    <s v="Glovo 08oct bmrnzlwn"/>
    <s v="Pago con tarjeta"/>
    <n v="-20.87"/>
    <s v="EUR"/>
    <n v="5314.91"/>
    <s v="EUR"/>
    <s v="4940197133530195 Glovo 08OCT BMRNZLWN"/>
    <x v="11"/>
    <x v="5"/>
  </r>
  <r>
    <s v="10/10/2025"/>
    <s v="10/10/2025"/>
    <x v="0"/>
    <s v="Adeudo de endesa"/>
    <s v="Adeudo nº 2025282001174970"/>
    <n v="-53.02"/>
    <s v="EUR"/>
    <n v="5335.78"/>
    <s v="EUR"/>
    <s v="N 2025282001174970 ENERGIA XXI                          CPVR"/>
    <x v="2"/>
    <x v="2"/>
  </r>
  <r>
    <s v="05/10/2025"/>
    <s v="09/10/2025"/>
    <x v="0"/>
    <s v="Paypal *zooplus se"/>
    <s v="Pago con tarjeta"/>
    <n v="-64.66"/>
    <s v="EUR"/>
    <n v="5388.8"/>
    <s v="EUR"/>
    <s v="4940197133530195 PAYPAL *ZOOPLUS SE"/>
    <x v="7"/>
    <x v="5"/>
  </r>
  <r>
    <s v="09/10/2025"/>
    <s v="09/10/2025"/>
    <x v="0"/>
    <s v="Adeudo de vodafone"/>
    <s v="Adeudo nº 2025280001600483"/>
    <n v="-42.2"/>
    <s v="EUR"/>
    <n v="5453.46"/>
    <s v="EUR"/>
    <s v="N 2025280001600483 Vodafone Servicios, S.L.U.           CPVR"/>
    <x v="18"/>
    <x v="2"/>
  </r>
  <r>
    <s v="08/10/2025"/>
    <s v="08/10/2025"/>
    <x v="0"/>
    <s v="Consum b.gr.s.andreu"/>
    <s v="Pago con tarjeta"/>
    <n v="-40.54"/>
    <s v="EUR"/>
    <n v="5495.66"/>
    <s v="EUR"/>
    <s v="4940197133530195 CONSUM B.GR.S.ANDREU     BARCELONA    ES"/>
    <x v="11"/>
    <x v="5"/>
  </r>
  <r>
    <s v="07/10/2025"/>
    <s v="07/10/2025"/>
    <x v="0"/>
    <s v="Chocolat"/>
    <s v="Pago con tarjeta"/>
    <n v="-10.4"/>
    <s v="EUR"/>
    <n v="5536.2"/>
    <s v="EUR"/>
    <s v="4940197133530195 CHOCOLAT                 BARCELONA    ES"/>
    <x v="11"/>
    <x v="5"/>
  </r>
  <r>
    <s v="03/10/2025"/>
    <s v="06/10/2025"/>
    <x v="0"/>
    <s v="Loomisp*goofretti sant"/>
    <s v="Pago con tarjeta"/>
    <n v="-4"/>
    <s v="EUR"/>
    <n v="5546.6"/>
    <s v="EUR"/>
    <s v="4940197133530195 LOOMISP*GOOFRETTI SANT"/>
    <x v="4"/>
    <x v="1"/>
  </r>
  <r>
    <s v="02/10/2025"/>
    <s v="06/10/2025"/>
    <x v="0"/>
    <s v="Podimo aps"/>
    <s v="Pago con tarjeta"/>
    <n v="-4.99"/>
    <s v="EUR"/>
    <n v="5550.6"/>
    <s v="EUR"/>
    <s v="4940197133530195 Podimo ApS"/>
    <x v="19"/>
    <x v="1"/>
  </r>
  <r>
    <s v="02/10/2025"/>
    <s v="06/10/2025"/>
    <x v="0"/>
    <s v="Paypal *itunesappst apple"/>
    <s v="Pago con tarjeta"/>
    <n v="-2.4900000000000002"/>
    <s v="EUR"/>
    <n v="5555.59"/>
    <s v="EUR"/>
    <s v="4940197133530195 PAYPAL *ITUNESAPPST APPLE"/>
    <x v="15"/>
    <x v="1"/>
  </r>
  <r>
    <s v="03/10/2025"/>
    <s v="06/10/2025"/>
    <x v="0"/>
    <s v="Webel"/>
    <s v="Pago con tarjeta"/>
    <n v="-36.25"/>
    <s v="EUR"/>
    <n v="5558.08"/>
    <s v="EUR"/>
    <s v="4940197133530195 WEBEL"/>
    <x v="20"/>
    <x v="1"/>
  </r>
  <r>
    <s v="04/10/2025"/>
    <s v="06/10/2025"/>
    <x v="0"/>
    <s v="Bbva plan estarseguro"/>
    <s v="Otros"/>
    <n v="-59.45"/>
    <s v="EUR"/>
    <n v="5594.33"/>
    <s v="EUR"/>
    <s v="BBVA PLAN ESTARSEGURO"/>
    <x v="21"/>
    <x v="3"/>
  </r>
  <r>
    <s v="05/10/2025"/>
    <s v="06/10/2025"/>
    <x v="0"/>
    <s v="Varios servicio c. loterias"/>
    <s v="Otros"/>
    <n v="-10"/>
    <s v="EUR"/>
    <n v="5653.78"/>
    <s v="EUR"/>
    <s v="4940197133530195 TULOTERO                 MADRID       ES"/>
    <x v="22"/>
    <x v="1"/>
  </r>
  <r>
    <s v="05/10/2025"/>
    <s v="06/10/2025"/>
    <x v="0"/>
    <s v="Rostisseria la katia"/>
    <s v="Pago con tarjeta"/>
    <n v="-11.98"/>
    <s v="EUR"/>
    <n v="5663.78"/>
    <s v="EUR"/>
    <s v="4940197133530195 ROSTISSERIA LA KATIA     STA. COLOMA DES"/>
    <x v="4"/>
    <x v="1"/>
  </r>
  <r>
    <s v="05/10/2025"/>
    <s v="06/10/2025"/>
    <x v="0"/>
    <s v="Amanecer restaurante"/>
    <s v="Pago con tarjeta"/>
    <n v="-4.4000000000000004"/>
    <s v="EUR"/>
    <n v="5675.76"/>
    <s v="EUR"/>
    <s v="4940197133530195 AMANECER RESTAURANTE     PLA, PASSATGEES"/>
    <x v="4"/>
    <x v="1"/>
  </r>
  <r>
    <s v="05/10/2025"/>
    <s v="06/10/2025"/>
    <x v="0"/>
    <s v="Vivari"/>
    <s v="Pago con tarjeta"/>
    <n v="-3.2"/>
    <s v="EUR"/>
    <n v="5680.16"/>
    <s v="EUR"/>
    <s v="4940197133530195 VIVARI                   SANTA COLOMA ES"/>
    <x v="4"/>
    <x v="1"/>
  </r>
  <r>
    <s v="04/10/2025"/>
    <s v="06/10/2025"/>
    <x v="0"/>
    <s v="Macxipa avda. generalitat"/>
    <s v="Pago con tarjeta"/>
    <n v="-2.5099999999999998"/>
    <s v="EUR"/>
    <n v="5683.36"/>
    <s v="EUR"/>
    <s v="4940197133530195 MACXIPA AVDA. GENERALITATSTA. COLOMA  ES"/>
    <x v="4"/>
    <x v="1"/>
  </r>
  <r>
    <s v="03/10/2025"/>
    <s v="03/10/2025"/>
    <x v="0"/>
    <s v="Transferencia recibida"/>
    <s v="Yule"/>
    <n v="72"/>
    <s v="EUR"/>
    <n v="5685.87"/>
    <s v="EUR"/>
    <s v="YULE"/>
    <x v="20"/>
    <x v="1"/>
  </r>
  <r>
    <s v="05/10/2025"/>
    <s v="03/10/2025"/>
    <x v="0"/>
    <s v="Cuota mensual de fraccionamiento de gastos"/>
    <s v="Cuota préstamo"/>
    <n v="-121.07"/>
    <s v="EUR"/>
    <n v="5613.87"/>
    <s v="EUR"/>
    <s v="8123450000175812"/>
    <x v="23"/>
    <x v="3"/>
  </r>
  <r>
    <s v="30/09/2025"/>
    <s v="02/10/2025"/>
    <x v="1"/>
    <s v="Netflix.com"/>
    <s v="Pago con tarjeta"/>
    <n v="-6.99"/>
    <s v="EUR"/>
    <n v="5734.94"/>
    <s v="EUR"/>
    <s v="4940197133530195 Netflix.com"/>
    <x v="1"/>
    <x v="1"/>
  </r>
  <r>
    <s v="02/10/2025"/>
    <s v="02/10/2025"/>
    <x v="0"/>
    <s v="Fundacion teaming"/>
    <s v="Pago con tarjeta"/>
    <n v="-9"/>
    <s v="EUR"/>
    <n v="5741.93"/>
    <s v="EUR"/>
    <s v="4940197133530195 FUNDACION TEAMING        SANT CUGAT DEES"/>
    <x v="24"/>
    <x v="0"/>
  </r>
  <r>
    <s v="01/10/2025"/>
    <s v="01/10/2025"/>
    <x v="0"/>
    <s v="Consum b.gr.s.andreu"/>
    <s v="Pago con tarjeta"/>
    <n v="-49.89"/>
    <s v="EUR"/>
    <n v="5750.93"/>
    <s v="EUR"/>
    <s v="4940197133530195 CONSUM B.GR.S.ANDREU     BARCELONA    ES"/>
    <x v="11"/>
    <x v="5"/>
  </r>
  <r>
    <s v="01/10/2025"/>
    <s v="01/10/2025"/>
    <x v="0"/>
    <s v="L¨estanc"/>
    <s v="Pago con tarjeta"/>
    <n v="-14"/>
    <s v="EUR"/>
    <n v="5800.82"/>
    <s v="EUR"/>
    <s v="4940197133530195 L¨ESTANC                 BARCELONA    ES"/>
    <x v="10"/>
    <x v="0"/>
  </r>
  <r>
    <s v="27/09/2025"/>
    <s v="01/10/2025"/>
    <x v="1"/>
    <s v="Stradivarius.com"/>
    <s v="Pago con tarjeta"/>
    <n v="-75.98"/>
    <s v="EUR"/>
    <n v="5814.82"/>
    <s v="EUR"/>
    <s v="4940197133530195 Stradivarius.com"/>
    <x v="13"/>
    <x v="1"/>
  </r>
  <r>
    <s v="01/10/2025"/>
    <s v="01/10/2025"/>
    <x v="0"/>
    <s v="Transferencia realizada"/>
    <s v="Patricia triano moto"/>
    <n v="-30"/>
    <s v="EUR"/>
    <n v="5890.8"/>
    <s v="EUR"/>
    <s v="PATRICIA TRIANO MOTO"/>
    <x v="25"/>
    <x v="7"/>
  </r>
  <r>
    <s v="01/10/2025"/>
    <s v="01/10/2025"/>
    <x v="0"/>
    <s v="Adeudo assessoria i finques fuster s.l."/>
    <s v="Adeudo nº 2025274000385272"/>
    <n v="-50"/>
    <s v="EUR"/>
    <n v="5920.8"/>
    <s v="EUR"/>
    <s v="N 2025274000385272 ASSESSORIA I FINQUES FUSTER S.L."/>
    <x v="26"/>
    <x v="3"/>
  </r>
  <r>
    <s v="01/10/2025"/>
    <s v="01/10/2025"/>
    <x v="0"/>
    <s v="Adeudo pilates 10 maragall"/>
    <s v="Adeudo nº 2025274000469326"/>
    <n v="-65"/>
    <s v="EUR"/>
    <n v="5970.8"/>
    <s v="EUR"/>
    <s v="N 2025274000469326 PILATES 10 Maragall"/>
    <x v="27"/>
    <x v="1"/>
  </r>
  <r>
    <s v="30/09/2025"/>
    <s v="01/10/2025"/>
    <x v="1"/>
    <s v="El asador colomense s.l."/>
    <s v="Pago con tarjeta"/>
    <n v="-24.4"/>
    <s v="EUR"/>
    <n v="6035.8"/>
    <s v="EUR"/>
    <s v="4940197133530195 EL ASADOR COLOMENSE S.L. STA. COLOMA DES"/>
    <x v="4"/>
    <x v="1"/>
  </r>
  <r>
    <s v="30/09/2025"/>
    <s v="30/09/2025"/>
    <x v="1"/>
    <s v="Druni sta coloma gramenet"/>
    <s v="Pago con tarjeta"/>
    <n v="-26.95"/>
    <s v="EUR"/>
    <n v="6060.2"/>
    <s v="EUR"/>
    <s v="4940197133530195 DRUNI STA COLOMA GRAMENETSANTA COLOMA ES"/>
    <x v="13"/>
    <x v="1"/>
  </r>
  <r>
    <s v="30/09/2025"/>
    <s v="30/09/2025"/>
    <x v="1"/>
    <s v="Cargo por amortizacion de prestamo/credito"/>
    <s v=""/>
    <n v="-461.91"/>
    <s v="EUR"/>
    <n v="6087.15"/>
    <s v="EUR"/>
    <s v="0182-3247-22-0830147409"/>
    <x v="3"/>
    <x v="3"/>
  </r>
  <r>
    <s v="29/09/2025"/>
    <s v="29/09/2025"/>
    <x v="1"/>
    <s v="Kiwoko fabra"/>
    <s v="Pago con tarjeta"/>
    <n v="-38.65"/>
    <s v="EUR"/>
    <n v="6549.06"/>
    <s v="EUR"/>
    <s v="4940197133530195 KIWOKO FABRA             BARCELONA    ES"/>
    <x v="7"/>
    <x v="5"/>
  </r>
  <r>
    <s v="28/09/2025"/>
    <s v="29/09/2025"/>
    <x v="1"/>
    <s v="Condis supermercat"/>
    <s v="Pago con tarjeta"/>
    <n v="-5.23"/>
    <s v="EUR"/>
    <n v="6587.71"/>
    <s v="EUR"/>
    <s v="4940197133530195 CONDIS SUPERMERCAT       STA. COLOMA DES"/>
    <x v="11"/>
    <x v="5"/>
  </r>
  <r>
    <s v="26/09/2025"/>
    <s v="26/09/2025"/>
    <x v="1"/>
    <s v="La santa"/>
    <s v="Pago con tarjeta"/>
    <n v="-4.0999999999999996"/>
    <s v="EUR"/>
    <n v="6592.94"/>
    <s v="EUR"/>
    <s v="4940197133530195 LA SANTA                 ESPLUGUES DE ES"/>
    <x v="4"/>
    <x v="1"/>
  </r>
  <r>
    <s v="26/09/2025"/>
    <s v="26/09/2025"/>
    <x v="1"/>
    <s v="Terranova 55"/>
    <s v="Pago con tarjeta"/>
    <n v="-36.950000000000003"/>
    <s v="EUR"/>
    <n v="6597.04"/>
    <s v="EUR"/>
    <s v="4940197133530195 TERRANOVA 55             SANTA COLOMA ES"/>
    <x v="7"/>
    <x v="5"/>
  </r>
  <r>
    <s v="26/09/2025"/>
    <s v="26/09/2025"/>
    <x v="1"/>
    <s v="Forn padro"/>
    <s v="Pago con tarjeta"/>
    <n v="-1.55"/>
    <s v="EUR"/>
    <n v="6633.99"/>
    <s v="EUR"/>
    <s v="4940197133530195 FORN PADRO               SANTA COLOMA ES"/>
    <x v="4"/>
    <x v="1"/>
  </r>
  <r>
    <s v="26/09/2025"/>
    <s v="26/09/2025"/>
    <x v="1"/>
    <s v="Abono de nómina"/>
    <s v="Transferencia nomina"/>
    <n v="1867.53"/>
    <s v="EUR"/>
    <n v="6635.54"/>
    <s v="EUR"/>
    <s v="Transferencia nomina"/>
    <x v="6"/>
    <x v="4"/>
  </r>
  <r>
    <s v="26/09/2025"/>
    <s v="26/09/2025"/>
    <x v="1"/>
    <s v="Condis supermercat"/>
    <s v="Pago con tarjeta"/>
    <n v="-1.02"/>
    <s v="EUR"/>
    <n v="4768.01"/>
    <s v="EUR"/>
    <s v="4940197133530195 CONDIS SUPERMERCAT       STA. COLOMA DES"/>
    <x v="11"/>
    <x v="5"/>
  </r>
  <r>
    <s v="26/09/2025"/>
    <s v="26/09/2025"/>
    <x v="1"/>
    <s v="Rostisseria la katia"/>
    <s v="Pago con tarjeta"/>
    <n v="-22.75"/>
    <s v="EUR"/>
    <n v="4769.03"/>
    <s v="EUR"/>
    <s v="4940197133530195 ROSTISSERIA LA KATIA     STA. COLOMA DES"/>
    <x v="4"/>
    <x v="1"/>
  </r>
  <r>
    <s v="26/09/2025"/>
    <s v="26/09/2025"/>
    <x v="1"/>
    <s v="Farmacia jordi bomcompte"/>
    <s v="Pago con tarjeta"/>
    <n v="-3.26"/>
    <s v="EUR"/>
    <n v="4791.78"/>
    <s v="EUR"/>
    <s v="4940197133530195 FARMACIA JORDI BOMCOMPTE SANTA COLOMA ES"/>
    <x v="9"/>
    <x v="6"/>
  </r>
  <r>
    <s v="25/09/2025"/>
    <s v="26/09/2025"/>
    <x v="1"/>
    <s v="Frankingfurt"/>
    <s v="Pago con tarjeta"/>
    <n v="-15.7"/>
    <s v="EUR"/>
    <n v="4795.04"/>
    <s v="EUR"/>
    <s v="4940197133530195 FRANKINGFURT             SANTA COLOMA ES"/>
    <x v="4"/>
    <x v="1"/>
  </r>
  <r>
    <s v="25/09/2025"/>
    <s v="25/09/2025"/>
    <x v="1"/>
    <s v="La botiga mes que gossos"/>
    <s v="Pago con tarjeta"/>
    <n v="-27.8"/>
    <s v="EUR"/>
    <n v="4810.74"/>
    <s v="EUR"/>
    <s v="4940197133530195 LA BOTIGA MES QUE GOSSOS SANTA COLOMA ES"/>
    <x v="7"/>
    <x v="5"/>
  </r>
  <r>
    <s v="25/09/2025"/>
    <s v="25/09/2025"/>
    <x v="1"/>
    <s v="Cerveceria thor"/>
    <s v="Pago con tarjeta"/>
    <n v="-1.7"/>
    <s v="EUR"/>
    <n v="4838.54"/>
    <s v="EUR"/>
    <s v="4940197133530195 cerveceria thor          PLA, PASSATGEES"/>
    <x v="4"/>
    <x v="1"/>
  </r>
  <r>
    <s v="23/09/2025"/>
    <s v="25/09/2025"/>
    <x v="1"/>
    <s v="Paypal *spotify*p3ad09bc1"/>
    <s v="Pago con tarjeta"/>
    <n v="-11.99"/>
    <s v="EUR"/>
    <n v="4840.24"/>
    <s v="EUR"/>
    <s v="4940197133530195 PAYPAL *SPOTIFY*P3AD09BC1"/>
    <x v="8"/>
    <x v="1"/>
  </r>
  <r>
    <s v="24/09/2025"/>
    <s v="24/09/2025"/>
    <x v="1"/>
    <s v="Bolleria mari"/>
    <s v="Pago con tarjeta"/>
    <n v="-7.8"/>
    <s v="EUR"/>
    <n v="4852.2299999999996"/>
    <s v="EUR"/>
    <s v="4940197133530195 BOLLERIA MARI            BADALONA     ES"/>
    <x v="4"/>
    <x v="1"/>
  </r>
  <r>
    <s v="23/09/2025"/>
    <s v="23/09/2025"/>
    <x v="1"/>
    <s v="Clarel"/>
    <s v="Pago con tarjeta"/>
    <n v="-13.49"/>
    <s v="EUR"/>
    <n v="4860.03"/>
    <s v="EUR"/>
    <s v="4940197133530195 CLAREL                   SANTA COLOMA ES"/>
    <x v="11"/>
    <x v="5"/>
  </r>
  <r>
    <s v="20/09/2025"/>
    <s v="23/09/2025"/>
    <x v="1"/>
    <s v="Sp yepoda.es"/>
    <s v="Pago con tarjeta"/>
    <n v="-35"/>
    <s v="EUR"/>
    <n v="4873.5200000000004"/>
    <s v="EUR"/>
    <s v="4940197133530195 SP YEPODA.ES"/>
    <x v="13"/>
    <x v="1"/>
  </r>
  <r>
    <s v="23/09/2025"/>
    <s v="23/09/2025"/>
    <x v="1"/>
    <s v="Lidl c escocia"/>
    <s v="Pago con tarjeta"/>
    <n v="-14.96"/>
    <s v="EUR"/>
    <n v="4908.5200000000004"/>
    <s v="EUR"/>
    <s v="4940197133530195 LIDL C ESCOCIA           BARCELONA    ES"/>
    <x v="11"/>
    <x v="5"/>
  </r>
  <r>
    <s v="23/09/2025"/>
    <s v="23/09/2025"/>
    <x v="1"/>
    <s v="Vivari sant joan 129 sl"/>
    <s v="Pago con tarjeta"/>
    <n v="-4.6500000000000004"/>
    <s v="EUR"/>
    <n v="4923.4799999999996"/>
    <s v="EUR"/>
    <s v="4940197133530195 VIVARI SANT JOAN 129 SL  BARCELONA    ES"/>
    <x v="4"/>
    <x v="1"/>
  </r>
  <r>
    <s v="23/09/2025"/>
    <s v="23/09/2025"/>
    <x v="1"/>
    <s v="E.s. petrosos, s.c.c.l."/>
    <s v="Pago con tarjeta"/>
    <n v="-11.32"/>
    <s v="EUR"/>
    <n v="4928.13"/>
    <s v="EUR"/>
    <s v="4940197133530195 E.S. PETROSOS, S.C.C.L.  BARCELONA    ES"/>
    <x v="14"/>
    <x v="7"/>
  </r>
  <r>
    <s v="20/09/2025"/>
    <s v="22/09/2025"/>
    <x v="1"/>
    <s v="Glovo 20sep bbfbztne"/>
    <s v="Pago con tarjeta"/>
    <n v="-22.84"/>
    <s v="EUR"/>
    <n v="4939.45"/>
    <s v="EUR"/>
    <s v="4940197133530195 Glovo 20SEP BBFBZTNE"/>
    <x v="11"/>
    <x v="5"/>
  </r>
  <r>
    <s v="22/09/2025"/>
    <s v="22/09/2025"/>
    <x v="1"/>
    <s v="Bolleria mari"/>
    <s v="Pago con tarjeta"/>
    <n v="-2.2999999999999998"/>
    <s v="EUR"/>
    <n v="4962.29"/>
    <s v="EUR"/>
    <s v="4940197133530195 BOLLERIA MARI            BADALONA     ES"/>
    <x v="4"/>
    <x v="1"/>
  </r>
  <r>
    <s v="21/09/2025"/>
    <s v="22/09/2025"/>
    <x v="1"/>
    <s v="Mac donals sta coloma"/>
    <s v="Pago con tarjeta"/>
    <n v="-3.4"/>
    <s v="EUR"/>
    <n v="4964.59"/>
    <s v="EUR"/>
    <s v="4940197133530195 MAC DONALS STA COLOMA    STA. COLOMA DES"/>
    <x v="4"/>
    <x v="1"/>
  </r>
  <r>
    <s v="21/09/2025"/>
    <s v="22/09/2025"/>
    <x v="1"/>
    <s v="Condis supermercat"/>
    <s v="Pago con tarjeta"/>
    <n v="-12.34"/>
    <s v="EUR"/>
    <n v="4967.99"/>
    <s v="EUR"/>
    <s v="4940197133530195 CONDIS SUPERMERCAT       STA. COLOMA DES"/>
    <x v="11"/>
    <x v="5"/>
  </r>
  <r>
    <s v="21/09/2025"/>
    <s v="22/09/2025"/>
    <x v="1"/>
    <s v="Bolleria mari"/>
    <s v="Pago con tarjeta"/>
    <n v="-8.8000000000000007"/>
    <s v="EUR"/>
    <n v="4980.33"/>
    <s v="EUR"/>
    <s v="4940197133530195 BOLLERIA MARI            BADALONA     ES"/>
    <x v="4"/>
    <x v="1"/>
  </r>
  <r>
    <s v="20/09/2025"/>
    <s v="22/09/2025"/>
    <x v="1"/>
    <s v="Consum b.gr.s.andreu"/>
    <s v="Pago con tarjeta"/>
    <n v="-41.52"/>
    <s v="EUR"/>
    <n v="4989.13"/>
    <s v="EUR"/>
    <s v="4940197133530195 CONSUM B.GR.S.ANDREU     BARCELONA    ES"/>
    <x v="11"/>
    <x v="5"/>
  </r>
  <r>
    <s v="20/09/2025"/>
    <s v="22/09/2025"/>
    <x v="1"/>
    <s v="Kiwoko sant andreu"/>
    <s v="Pago con tarjeta"/>
    <n v="-9.99"/>
    <s v="EUR"/>
    <n v="5030.6499999999996"/>
    <s v="EUR"/>
    <s v="4940197133530195 KIWOKO SANT ANDREU       BARCELONA    ES"/>
    <x v="7"/>
    <x v="5"/>
  </r>
  <r>
    <s v="17/09/2025"/>
    <s v="19/09/2025"/>
    <x v="1"/>
    <s v="Libermare"/>
    <s v="Pago con tarjeta"/>
    <n v="-140"/>
    <s v="EUR"/>
    <n v="5040.6400000000003"/>
    <s v="EUR"/>
    <s v="4940197133530195 LIBERMARE"/>
    <x v="28"/>
    <x v="1"/>
  </r>
  <r>
    <s v="19/09/2025"/>
    <s v="19/09/2025"/>
    <x v="1"/>
    <s v="Rostisseria la katia"/>
    <s v="Pago con tarjeta"/>
    <n v="-12.15"/>
    <s v="EUR"/>
    <n v="5180.6400000000003"/>
    <s v="EUR"/>
    <s v="4940197133530195 ROSTISSERIA LA KATIA     STA. COLOMA DES"/>
    <x v="4"/>
    <x v="1"/>
  </r>
  <r>
    <s v="18/09/2025"/>
    <s v="19/09/2025"/>
    <x v="1"/>
    <s v="Bizum"/>
    <s v="Recibido: menorca"/>
    <n v="193.16"/>
    <s v="EUR"/>
    <n v="5192.79"/>
    <s v="EUR"/>
    <s v="RECIBIDO: menorca"/>
    <x v="12"/>
    <x v="4"/>
  </r>
  <r>
    <s v="18/09/2025"/>
    <s v="18/09/2025"/>
    <x v="1"/>
    <s v="Cepsa 12504-2 e.s. mitjan"/>
    <s v="Pago con tarjeta"/>
    <n v="-65.900000000000006"/>
    <s v="EUR"/>
    <n v="4999.63"/>
    <s v="EUR"/>
    <s v="4940197133530195 CEPSA 12504-2 E.S. MITJANALAIOR       ES"/>
    <x v="14"/>
    <x v="7"/>
  </r>
  <r>
    <s v="18/09/2025"/>
    <s v="18/09/2025"/>
    <x v="1"/>
    <s v="Ca na fayas"/>
    <s v="Pago con tarjeta"/>
    <n v="-9.9499999999999993"/>
    <s v="EUR"/>
    <n v="5065.53"/>
    <s v="EUR"/>
    <s v="4940197133530195 CA NA FAYAS              CIUTADELLA DEES"/>
    <x v="4"/>
    <x v="1"/>
  </r>
  <r>
    <s v="17/09/2025"/>
    <s v="18/09/2025"/>
    <x v="1"/>
    <s v="Bizum"/>
    <s v="Enviado: ecotasa -patricia triano"/>
    <n v="-26.4"/>
    <s v="EUR"/>
    <n v="5075.4799999999996"/>
    <s v="EUR"/>
    <s v="ENVIADO: Ecotasa -Patricia Triano"/>
    <x v="12"/>
    <x v="4"/>
  </r>
  <r>
    <s v="17/09/2025"/>
    <s v="17/09/2025"/>
    <x v="1"/>
    <s v="Herbera bakery"/>
    <s v="Pago con tarjeta"/>
    <n v="-28.05"/>
    <s v="EUR"/>
    <n v="5101.88"/>
    <s v="EUR"/>
    <s v="4940197133530195 Herbera Bakery           CIUTADELLA DEES"/>
    <x v="4"/>
    <x v="1"/>
  </r>
  <r>
    <s v="14/09/2025"/>
    <s v="17/09/2025"/>
    <x v="1"/>
    <s v="Paypal *itunesappst apple"/>
    <s v="Pago con tarjeta"/>
    <n v="-2.99"/>
    <s v="EUR"/>
    <n v="5129.93"/>
    <s v="EUR"/>
    <s v="4940197133530195 PAYPAL *ITUNESAPPST APPLE"/>
    <x v="15"/>
    <x v="1"/>
  </r>
  <r>
    <s v="17/09/2025"/>
    <s v="17/09/2025"/>
    <x v="1"/>
    <s v="Bizum"/>
    <s v="Enviado: patri"/>
    <n v="-6.67"/>
    <s v="EUR"/>
    <n v="5132.92"/>
    <s v="EUR"/>
    <s v="ENVIADO: Patri"/>
    <x v="12"/>
    <x v="4"/>
  </r>
  <r>
    <s v="16/09/2025"/>
    <s v="17/09/2025"/>
    <x v="1"/>
    <s v="Carla garcia"/>
    <s v="Pago con tarjeta"/>
    <n v="-22"/>
    <s v="EUR"/>
    <n v="5139.59"/>
    <s v="EUR"/>
    <s v="4940197133530195 CARLA GARCIA             PINEDA DE MARES"/>
    <x v="13"/>
    <x v="1"/>
  </r>
  <r>
    <s v="16/09/2025"/>
    <s v="16/09/2025"/>
    <x v="1"/>
    <s v="Helados torres salord"/>
    <s v="Pago con tarjeta"/>
    <n v="-2.2999999999999998"/>
    <s v="EUR"/>
    <n v="5161.59"/>
    <s v="EUR"/>
    <s v="4940197133530195 HELADOS TORRES SALORD    CIUTADELLA DEES"/>
    <x v="4"/>
    <x v="1"/>
  </r>
  <r>
    <s v="16/09/2025"/>
    <s v="16/09/2025"/>
    <x v="1"/>
    <s v="Ca n'angela"/>
    <s v="Pago con tarjeta"/>
    <n v="-9.6999999999999993"/>
    <s v="EUR"/>
    <n v="5163.8900000000003"/>
    <s v="EUR"/>
    <s v="4940197133530195 CA N'ANGELA              CIUDADELA DE ES"/>
    <x v="4"/>
    <x v="1"/>
  </r>
  <r>
    <s v="15/09/2025"/>
    <s v="15/09/2025"/>
    <x v="1"/>
    <s v="Souvenirs son bou 3"/>
    <s v="Pago con tarjeta"/>
    <n v="-3.95"/>
    <s v="EUR"/>
    <n v="5173.59"/>
    <s v="EUR"/>
    <s v="4940197133530195 Souvenirs Son Bou 3      ALAIOR       ES"/>
    <x v="13"/>
    <x v="1"/>
  </r>
  <r>
    <s v="15/09/2025"/>
    <s v="15/09/2025"/>
    <x v="1"/>
    <s v="Ses grulles"/>
    <s v="Pago con tarjeta"/>
    <n v="-8"/>
    <s v="EUR"/>
    <n v="5177.54"/>
    <s v="EUR"/>
    <s v="4940197133530195 SES GRULLES              PLAYA SON BOUES"/>
    <x v="4"/>
    <x v="1"/>
  </r>
  <r>
    <s v="14/09/2025"/>
    <s v="15/09/2025"/>
    <x v="1"/>
    <s v="La guitarra"/>
    <s v="Pago con tarjeta"/>
    <n v="-9"/>
    <s v="EUR"/>
    <n v="5185.54"/>
    <s v="EUR"/>
    <s v="4940197133530195 LA GUITARRA              CIUTADELLA DEES"/>
    <x v="4"/>
    <x v="1"/>
  </r>
  <r>
    <s v="14/09/2025"/>
    <s v="15/09/2025"/>
    <x v="1"/>
    <s v="Chiringuito acuario"/>
    <s v="Pago con tarjeta"/>
    <n v="-8.8000000000000007"/>
    <s v="EUR"/>
    <n v="5194.54"/>
    <s v="EUR"/>
    <s v="4940197133530195 CHIRINGUITO ACUARIO      CALA GALDANA ES"/>
    <x v="4"/>
    <x v="1"/>
  </r>
  <r>
    <s v="14/09/2025"/>
    <s v="15/09/2025"/>
    <x v="1"/>
    <s v="Sa placa"/>
    <s v="Pago con tarjeta"/>
    <n v="-10.7"/>
    <s v="EUR"/>
    <n v="5203.34"/>
    <s v="EUR"/>
    <s v="4940197133530195 SA PLACA                 ES MIGJORN GRES"/>
    <x v="4"/>
    <x v="1"/>
  </r>
  <r>
    <s v="13/09/2025"/>
    <s v="15/09/2025"/>
    <x v="1"/>
    <s v="La tranquila"/>
    <s v="Pago con tarjeta"/>
    <n v="-10"/>
    <s v="EUR"/>
    <n v="5214.04"/>
    <s v="EUR"/>
    <s v="4940197133530195 LA TRANQUILA             CIUTADELLA   ES"/>
    <x v="4"/>
    <x v="1"/>
  </r>
  <r>
    <s v="13/09/2025"/>
    <s v="15/09/2025"/>
    <x v="1"/>
    <s v="Aventura menorca"/>
    <s v="Pago con tarjeta"/>
    <n v="-25"/>
    <s v="EUR"/>
    <n v="5224.04"/>
    <s v="EUR"/>
    <s v="4940197133530195 AVENTURA MENORCA         CIUTADELLA DEES"/>
    <x v="28"/>
    <x v="1"/>
  </r>
  <r>
    <s v="13/09/2025"/>
    <s v="15/09/2025"/>
    <x v="1"/>
    <s v="Farmacia jaime font lopez"/>
    <s v="Pago con tarjeta"/>
    <n v="-15.9"/>
    <s v="EUR"/>
    <n v="5249.04"/>
    <s v="EUR"/>
    <s v="4940197133530195 FARMACIA JAIME FONT LOPEZCIUTADELLA DEES"/>
    <x v="9"/>
    <x v="6"/>
  </r>
  <r>
    <s v="12/09/2025"/>
    <s v="12/09/2025"/>
    <x v="1"/>
    <s v="Jimmy hills i cocina"/>
    <s v="Pago con tarjeta"/>
    <n v="-5"/>
    <s v="EUR"/>
    <n v="5264.94"/>
    <s v="EUR"/>
    <s v="4940197133530195 JIMMY HILLS I Cocina     CAP D'ARTRUTXES"/>
    <x v="4"/>
    <x v="1"/>
  </r>
  <r>
    <s v="11/09/2025"/>
    <s v="12/09/2025"/>
    <x v="1"/>
    <s v="Amanecer restaurante"/>
    <s v="Pago con tarjeta"/>
    <n v="-25.8"/>
    <s v="EUR"/>
    <n v="5269.94"/>
    <s v="EUR"/>
    <s v="4940197133530195 AMANECER RESTAURANTE     PLA, PASSATGEES"/>
    <x v="4"/>
    <x v="1"/>
  </r>
  <r>
    <s v="10/09/2025"/>
    <s v="10/09/2025"/>
    <x v="1"/>
    <s v="Adeudo de vodafone"/>
    <s v="Adeudo nº 2025251001267990"/>
    <n v="-78.19"/>
    <s v="EUR"/>
    <n v="5295.74"/>
    <s v="EUR"/>
    <s v="N 2025251001267990 Vodafone Servicios, S.L.U.           CPVR"/>
    <x v="18"/>
    <x v="2"/>
  </r>
  <r>
    <s v="09/09/2025"/>
    <s v="09/09/2025"/>
    <x v="1"/>
    <s v="Clarel sant andreu"/>
    <s v="Pago con tarjeta"/>
    <n v="-7.39"/>
    <s v="EUR"/>
    <n v="5373.93"/>
    <s v="EUR"/>
    <s v="4940197133530195 CLAREL SANT ANDREU       BARCELONA    ES"/>
    <x v="11"/>
    <x v="5"/>
  </r>
  <r>
    <s v="09/09/2025"/>
    <s v="09/09/2025"/>
    <x v="1"/>
    <s v="Brina"/>
    <s v="Pago con tarjeta"/>
    <n v="-2.8"/>
    <s v="EUR"/>
    <n v="5381.32"/>
    <s v="EUR"/>
    <s v="4940197133530195 BRINA                    BARCELONA    ES"/>
    <x v="4"/>
    <x v="1"/>
  </r>
  <r>
    <s v="08/09/2025"/>
    <s v="08/09/2025"/>
    <x v="1"/>
    <s v="Consum b.gr.s.andreu"/>
    <s v="Pago con tarjeta"/>
    <n v="-50.05"/>
    <s v="EUR"/>
    <n v="5384.12"/>
    <s v="EUR"/>
    <s v="4940197133530195 CONSUM B.GR.S.ANDREU     BARCELONA    ES"/>
    <x v="11"/>
    <x v="5"/>
  </r>
  <r>
    <s v="08/09/2025"/>
    <s v="08/09/2025"/>
    <x v="1"/>
    <s v="Euromaria"/>
    <s v="Pago con tarjeta"/>
    <n v="-1"/>
    <s v="EUR"/>
    <n v="5434.17"/>
    <s v="EUR"/>
    <s v="4940197133530195 EUROMARIA                BARCELONA    ES"/>
    <x v="17"/>
    <x v="3"/>
  </r>
  <r>
    <s v="08/09/2025"/>
    <s v="08/09/2025"/>
    <x v="1"/>
    <s v="Ecolider"/>
    <s v="Pago con tarjeta"/>
    <n v="-2.95"/>
    <s v="EUR"/>
    <n v="5435.17"/>
    <s v="EUR"/>
    <s v="4940197133530195 ECOLIDER                 BARCELONA    ES"/>
    <x v="13"/>
    <x v="1"/>
  </r>
  <r>
    <s v="08/09/2025"/>
    <s v="08/09/2025"/>
    <x v="1"/>
    <s v="L?estanc de la merce"/>
    <s v="Pago con tarjeta"/>
    <n v="-15.4"/>
    <s v="EUR"/>
    <n v="5438.12"/>
    <s v="EUR"/>
    <s v="4940197133530195 L?ESTANC DE LA MERCE     BARCELONA    ES"/>
    <x v="10"/>
    <x v="0"/>
  </r>
  <r>
    <s v="07/09/2025"/>
    <s v="08/09/2025"/>
    <x v="1"/>
    <s v="Bizum"/>
    <s v="Enviado: gasolina   sudadera   loteria"/>
    <n v="-50"/>
    <s v="EUR"/>
    <n v="5453.52"/>
    <s v="EUR"/>
    <s v="ENVIADO: Gasolina   sudadera   loteria"/>
    <x v="12"/>
    <x v="4"/>
  </r>
  <r>
    <s v="07/09/2025"/>
    <s v="08/09/2025"/>
    <x v="1"/>
    <s v="Vallcan"/>
    <s v="Pago con tarjeta"/>
    <n v="-4.5"/>
    <s v="EUR"/>
    <n v="5503.52"/>
    <s v="EUR"/>
    <s v="4940197133530195 VALLCAN                  BARCELONA    ES"/>
    <x v="7"/>
    <x v="5"/>
  </r>
  <r>
    <s v="06/09/2025"/>
    <s v="08/09/2025"/>
    <x v="1"/>
    <s v="Bizum"/>
    <s v="Enviado: rifa sopar"/>
    <n v="-10"/>
    <s v="EUR"/>
    <n v="5508.02"/>
    <s v="EUR"/>
    <s v="ENVIADO: Rifa sopar"/>
    <x v="12"/>
    <x v="4"/>
  </r>
  <r>
    <s v="06/09/2025"/>
    <s v="08/09/2025"/>
    <x v="1"/>
    <s v="Supermercat cmar"/>
    <s v="Pago con tarjeta"/>
    <n v="-1.1000000000000001"/>
    <s v="EUR"/>
    <n v="5518.02"/>
    <s v="EUR"/>
    <s v="4940197133530195 SUPERMERCAT CMAR         EMPURIABRAVA ES"/>
    <x v="11"/>
    <x v="5"/>
  </r>
  <r>
    <s v="06/09/2025"/>
    <s v="08/09/2025"/>
    <x v="1"/>
    <s v="Confianimal"/>
    <s v="Pago con tarjeta"/>
    <n v="-13.18"/>
    <s v="EUR"/>
    <n v="5519.12"/>
    <s v="EUR"/>
    <s v="4940197133530195 CONFIANIMAL              SANTA COLOMA ES"/>
    <x v="7"/>
    <x v="5"/>
  </r>
  <r>
    <s v="06/09/2025"/>
    <s v="08/09/2025"/>
    <x v="1"/>
    <s v="Rte cmar"/>
    <s v="Pago con tarjeta"/>
    <n v="-2.1"/>
    <s v="EUR"/>
    <n v="5532.3"/>
    <s v="EUR"/>
    <s v="4940197133530195 RTE CMAR                 EMPURIABRAVA ES"/>
    <x v="4"/>
    <x v="1"/>
  </r>
  <r>
    <s v="06/09/2025"/>
    <s v="08/09/2025"/>
    <x v="1"/>
    <s v="Rte cmar"/>
    <s v="Pago con tarjeta"/>
    <n v="-27.6"/>
    <s v="EUR"/>
    <n v="5534.4"/>
    <s v="EUR"/>
    <s v="4940197133530195 RTE CMAR                 EMPURIABRAVA ES"/>
    <x v="4"/>
    <x v="1"/>
  </r>
  <r>
    <s v="06/09/2025"/>
    <s v="08/09/2025"/>
    <x v="1"/>
    <s v="Castell mar c2.0"/>
    <s v="Pago con tarjeta"/>
    <n v="-11.9"/>
    <s v="EUR"/>
    <n v="5562"/>
    <s v="EUR"/>
    <s v="4940197133530195 CASTELL MAR C2.0         TORROELLA DE ES"/>
    <x v="4"/>
    <x v="1"/>
  </r>
  <r>
    <s v="06/09/2025"/>
    <s v="08/09/2025"/>
    <x v="1"/>
    <s v="E.s. cedipsa emporda"/>
    <s v="Pago con tarjeta"/>
    <n v="-2.15"/>
    <s v="EUR"/>
    <n v="5573.9"/>
    <s v="EUR"/>
    <s v="4940197133530195 E.S. CEDIPSA EMPORDA     ARENYS D'EMPOES"/>
    <x v="14"/>
    <x v="7"/>
  </r>
  <r>
    <s v="06/09/2025"/>
    <s v="08/09/2025"/>
    <x v="1"/>
    <s v="Macxipa sant josep"/>
    <s v="Pago con tarjeta"/>
    <n v="-3.63"/>
    <s v="EUR"/>
    <n v="5576.05"/>
    <s v="EUR"/>
    <s v="4940197133530195 MACXIPA SANT JOSEP       STA. COLOMA  ES"/>
    <x v="4"/>
    <x v="1"/>
  </r>
  <r>
    <s v="05/09/2025"/>
    <s v="08/09/2025"/>
    <x v="1"/>
    <s v="Pizzicato go"/>
    <s v="Pago con tarjeta"/>
    <n v="-14"/>
    <s v="EUR"/>
    <n v="5579.68"/>
    <s v="EUR"/>
    <s v="4940197133530195 PIZZICATO GO             SANTA COLOMA ES"/>
    <x v="4"/>
    <x v="1"/>
  </r>
  <r>
    <s v="05/09/2025"/>
    <s v="08/09/2025"/>
    <x v="1"/>
    <s v="La cova"/>
    <s v="Pago con tarjeta"/>
    <n v="-7.5"/>
    <s v="EUR"/>
    <n v="5593.68"/>
    <s v="EUR"/>
    <s v="4940197133530195 LA COVA                  STA. COLOMA  ES"/>
    <x v="4"/>
    <x v="1"/>
  </r>
  <r>
    <s v="05/09/2025"/>
    <s v="08/09/2025"/>
    <x v="1"/>
    <s v="Ret. efectivo  a debito con tarj. en cajero. aut."/>
    <s v="Otros"/>
    <n v="-50"/>
    <s v="EUR"/>
    <n v="5601.18"/>
    <s v="EUR"/>
    <s v="4940197133530195 01820835 999"/>
    <x v="20"/>
    <x v="1"/>
  </r>
  <r>
    <s v="05/09/2025"/>
    <s v="08/09/2025"/>
    <x v="1"/>
    <s v="Farmacia jordi bomcompte"/>
    <s v="Pago con tarjeta"/>
    <n v="-15.64"/>
    <s v="EUR"/>
    <n v="5651.18"/>
    <s v="EUR"/>
    <s v="4940197133530195 FARMACIA JORDI BOMCOMPTE SANTA COLOMA ES"/>
    <x v="9"/>
    <x v="6"/>
  </r>
  <r>
    <s v="05/09/2025"/>
    <s v="05/09/2025"/>
    <x v="1"/>
    <s v="Cafeteria tian"/>
    <s v="Pago con tarjeta"/>
    <n v="-7.8"/>
    <s v="EUR"/>
    <n v="5666.82"/>
    <s v="EUR"/>
    <s v="4940197133530195 CAFETERIA TIAN           SANTA COLOMA ES"/>
    <x v="4"/>
    <x v="1"/>
  </r>
  <r>
    <s v="02/09/2025"/>
    <s v="05/09/2025"/>
    <x v="1"/>
    <s v="Paypal *itunesappst apple"/>
    <s v="Pago con tarjeta"/>
    <n v="-2.4900000000000002"/>
    <s v="EUR"/>
    <n v="5674.62"/>
    <s v="EUR"/>
    <s v="4940197133530195 PAYPAL *ITUNESAPPST APPLE"/>
    <x v="15"/>
    <x v="1"/>
  </r>
  <r>
    <s v="05/09/2025"/>
    <s v="05/09/2025"/>
    <x v="1"/>
    <s v="Cuota mensual de fraccionamiento de gastos"/>
    <s v="Cuota préstamo"/>
    <n v="-92.49"/>
    <s v="EUR"/>
    <n v="5677.11"/>
    <s v="EUR"/>
    <s v="8123450000175812"/>
    <x v="23"/>
    <x v="3"/>
  </r>
  <r>
    <s v="02/09/2025"/>
    <s v="04/09/2025"/>
    <x v="1"/>
    <s v="Podimo aps"/>
    <s v="Pago con tarjeta"/>
    <n v="-4.99"/>
    <s v="EUR"/>
    <n v="5769.6"/>
    <s v="EUR"/>
    <s v="4940197133530195 Podimo ApS"/>
    <x v="19"/>
    <x v="1"/>
  </r>
  <r>
    <s v="04/09/2025"/>
    <s v="04/09/2025"/>
    <x v="1"/>
    <s v="Bbva plan estarseguro"/>
    <s v="Otros"/>
    <n v="-59.45"/>
    <s v="EUR"/>
    <n v="5774.59"/>
    <s v="EUR"/>
    <s v="BBVA PLAN ESTARSEGURO"/>
    <x v="21"/>
    <x v="3"/>
  </r>
  <r>
    <s v="03/09/2025"/>
    <s v="03/09/2025"/>
    <x v="1"/>
    <s v="Bizum"/>
    <s v="Recibido: iphone mes de septembre finito"/>
    <n v="30"/>
    <s v="EUR"/>
    <n v="5834.04"/>
    <s v="EUR"/>
    <s v="RECIBIDO: iphone mes de septembre finito"/>
    <x v="18"/>
    <x v="2"/>
  </r>
  <r>
    <s v="03/09/2025"/>
    <s v="03/09/2025"/>
    <x v="1"/>
    <s v="Adeudo ajuntament de barcelona"/>
    <s v="Adeudo nº 2025216003236562"/>
    <n v="-56.43"/>
    <s v="EUR"/>
    <n v="5804.04"/>
    <s v="EUR"/>
    <s v="N 2025216003236562 AJUNTAMENT DE BARCELONA"/>
    <x v="29"/>
    <x v="3"/>
  </r>
  <r>
    <s v="03/09/2025"/>
    <s v="03/09/2025"/>
    <x v="1"/>
    <s v="Adeudo de endesa"/>
    <s v="Adeudo nº 2025245002938791"/>
    <n v="-88.34"/>
    <s v="EUR"/>
    <n v="5860.47"/>
    <s v="EUR"/>
    <s v="N 2025245002938791 ENERGIA XXI                          CPVR"/>
    <x v="2"/>
    <x v="2"/>
  </r>
  <r>
    <s v="02/09/2025"/>
    <s v="02/09/2025"/>
    <x v="1"/>
    <s v="Biopassio"/>
    <s v="Pago con tarjeta"/>
    <n v="-5.43"/>
    <s v="EUR"/>
    <n v="5948.81"/>
    <s v="EUR"/>
    <s v="4940197133530195 BIOPASSIO                BARCELONA    ES"/>
    <x v="11"/>
    <x v="5"/>
  </r>
  <r>
    <s v="02/09/2025"/>
    <s v="02/09/2025"/>
    <x v="1"/>
    <s v="Ret. efectivo  a debito con tarj. en cajero. aut."/>
    <s v="Otros"/>
    <n v="-40"/>
    <s v="EUR"/>
    <n v="5954.24"/>
    <s v="EUR"/>
    <s v="4940197133530195 01821025 999"/>
    <x v="20"/>
    <x v="1"/>
  </r>
  <r>
    <s v="01/09/2025"/>
    <s v="02/09/2025"/>
    <x v="1"/>
    <s v="Fundacion teaming"/>
    <s v="Pago con tarjeta"/>
    <n v="-9"/>
    <s v="EUR"/>
    <n v="5994.24"/>
    <s v="EUR"/>
    <s v="4940197133530195 FUNDACION TEAMING        SANT CUGAT DEES"/>
    <x v="24"/>
    <x v="0"/>
  </r>
  <r>
    <s v="01/09/2025"/>
    <s v="01/09/2025"/>
    <x v="1"/>
    <s v="Condis av.meridiana"/>
    <s v="Pago con tarjeta"/>
    <n v="-13"/>
    <s v="EUR"/>
    <n v="6003.24"/>
    <s v="EUR"/>
    <s v="4940197133530195 CONDIS AV.MERIDIANA      TORRENT DE L'ES"/>
    <x v="11"/>
    <x v="5"/>
  </r>
  <r>
    <s v="01/09/2025"/>
    <s v="01/09/2025"/>
    <x v="1"/>
    <s v="Kiwoko fabra"/>
    <s v="Pago con tarjeta"/>
    <n v="-26.03"/>
    <s v="EUR"/>
    <n v="6016.24"/>
    <s v="EUR"/>
    <s v="4940197133530195 KIWOKO FABRA             BARCELONA    ES"/>
    <x v="7"/>
    <x v="5"/>
  </r>
  <r>
    <s v="31/08/2025"/>
    <s v="01/09/2025"/>
    <x v="2"/>
    <s v="Cafe san telmo"/>
    <s v="Pago con tarjeta"/>
    <n v="-25.5"/>
    <s v="EUR"/>
    <n v="6042.27"/>
    <s v="EUR"/>
    <s v="4940197133530195 CAFE SAN TELMO"/>
    <x v="4"/>
    <x v="1"/>
  </r>
  <r>
    <s v="30/08/2025"/>
    <s v="01/09/2025"/>
    <x v="2"/>
    <s v="Netflix.com"/>
    <s v="Pago con tarjeta"/>
    <n v="-6.99"/>
    <s v="EUR"/>
    <n v="6067.77"/>
    <s v="EUR"/>
    <s v="4940197133530195 Netflix.com"/>
    <x v="1"/>
    <x v="1"/>
  </r>
  <r>
    <s v="01/09/2025"/>
    <s v="01/09/2025"/>
    <x v="1"/>
    <s v="Transferencia realizada"/>
    <s v="Patricia triano moto"/>
    <n v="-30"/>
    <s v="EUR"/>
    <n v="6074.76"/>
    <s v="EUR"/>
    <s v="PATRICIA TRIANO MOTO"/>
    <x v="25"/>
    <x v="7"/>
  </r>
  <r>
    <s v="01/09/2025"/>
    <s v="01/09/2025"/>
    <x v="1"/>
    <s v="Adeudo assessoria i finques fuster s.l."/>
    <s v="Adeudo nº 2025244000539502"/>
    <n v="-50"/>
    <s v="EUR"/>
    <n v="6104.76"/>
    <s v="EUR"/>
    <s v="N 2025244000539502 ASSESSORIA I FINQUES FUSTER S.L."/>
    <x v="26"/>
    <x v="3"/>
  </r>
  <r>
    <s v="01/09/2025"/>
    <s v="01/09/2025"/>
    <x v="1"/>
    <s v="Adeudo pilates 10 maragall"/>
    <s v="Adeudo nº 2025244000663930"/>
    <n v="-65"/>
    <s v="EUR"/>
    <n v="6154.76"/>
    <s v="EUR"/>
    <s v="N 2025244000663930 PILATES 10 Maragall"/>
    <x v="27"/>
    <x v="1"/>
  </r>
  <r>
    <s v="31/08/2025"/>
    <s v="01/09/2025"/>
    <x v="2"/>
    <s v="Owners cars"/>
    <s v="Pago con tarjeta"/>
    <n v="-179.48"/>
    <s v="EUR"/>
    <n v="6219.76"/>
    <s v="EUR"/>
    <s v="4940197133530195 OWNERS CARS              MAO          ES"/>
    <x v="28"/>
    <x v="1"/>
  </r>
  <r>
    <s v="31/08/2025"/>
    <s v="01/09/2025"/>
    <x v="2"/>
    <s v="Heladeria la jijonenca"/>
    <s v="Pago con tarjeta"/>
    <n v="-2.4"/>
    <s v="EUR"/>
    <n v="6399.24"/>
    <s v="EUR"/>
    <s v="4940197133530195 HELADERIA LA JIJONENCA   SANTA COLOMA ES"/>
    <x v="4"/>
    <x v="1"/>
  </r>
  <r>
    <s v="31/08/2025"/>
    <s v="01/09/2025"/>
    <x v="2"/>
    <s v="Cerveceria thor"/>
    <s v="Pago con tarjeta"/>
    <n v="-1.2"/>
    <s v="EUR"/>
    <n v="6401.64"/>
    <s v="EUR"/>
    <s v="4940197133530195 cerveceria thor          PLA, PASSATGEES"/>
    <x v="4"/>
    <x v="1"/>
  </r>
  <r>
    <s v="31/08/2025"/>
    <s v="01/09/2025"/>
    <x v="2"/>
    <s v="Cargo por amortizacion de prestamo/credito"/>
    <s v=""/>
    <n v="-461.91"/>
    <s v="EUR"/>
    <n v="6402.84"/>
    <s v="EUR"/>
    <s v="0182-3247-22-0830147409"/>
    <x v="3"/>
    <x v="3"/>
  </r>
  <r>
    <s v="30/08/2025"/>
    <s v="01/09/2025"/>
    <x v="2"/>
    <s v="La rotonda masnou"/>
    <s v="Pago con tarjeta"/>
    <n v="-9"/>
    <s v="EUR"/>
    <n v="6864.75"/>
    <s v="EUR"/>
    <s v="4940197133530195 LA ROTONDA MASNOU        EL MASNOU    ES"/>
    <x v="4"/>
    <x v="1"/>
  </r>
  <r>
    <s v="30/08/2025"/>
    <s v="01/09/2025"/>
    <x v="2"/>
    <s v="Macxipa avda. generalitat"/>
    <s v="Pago con tarjeta"/>
    <n v="-2.2599999999999998"/>
    <s v="EUR"/>
    <n v="6873.75"/>
    <s v="EUR"/>
    <s v="4940197133530195 MACXIPA AVDA. GENERALITATSTA. COLOMA  ES"/>
    <x v="4"/>
    <x v="1"/>
  </r>
  <r>
    <s v="29/08/2025"/>
    <s v="29/08/2025"/>
    <x v="2"/>
    <s v="Druni sta coloma gramenet"/>
    <s v="Pago con tarjeta"/>
    <n v="-1.99"/>
    <s v="EUR"/>
    <n v="6876.01"/>
    <s v="EUR"/>
    <s v="4940197133530195 DRUNI STA COLOMA GRAMENETSANTA COLOMA ES"/>
    <x v="13"/>
    <x v="1"/>
  </r>
  <r>
    <s v="29/08/2025"/>
    <s v="29/08/2025"/>
    <x v="2"/>
    <s v="Abono por fraccionamiento de gastos"/>
    <s v="Abono capital préstamo"/>
    <n v="699.84"/>
    <s v="EUR"/>
    <n v="6878"/>
    <s v="EUR"/>
    <s v="8123450000175812 01827013 704"/>
    <x v="23"/>
    <x v="3"/>
  </r>
  <r>
    <s v="28/08/2025"/>
    <s v="29/08/2025"/>
    <x v="2"/>
    <s v="0453-consum b. fabra y pu"/>
    <s v="Pago con tarjeta"/>
    <n v="-11.5"/>
    <s v="EUR"/>
    <n v="6178.16"/>
    <s v="EUR"/>
    <s v="4940197133530195 0453-CONSUM B. FABRA Y PUBARCELONA    ES"/>
    <x v="11"/>
    <x v="5"/>
  </r>
  <r>
    <s v="28/08/2025"/>
    <s v="29/08/2025"/>
    <x v="2"/>
    <s v="Cal pesca"/>
    <s v="Pago con tarjeta"/>
    <n v="-26.2"/>
    <s v="EUR"/>
    <n v="6189.66"/>
    <s v="EUR"/>
    <s v="4940197133530195 CAL PESCA                BARCELONA    ES"/>
    <x v="4"/>
    <x v="1"/>
  </r>
  <r>
    <s v="28/08/2025"/>
    <s v="28/08/2025"/>
    <x v="2"/>
    <s v="Estanco expendiduria 134"/>
    <s v="Pago con tarjeta"/>
    <n v="-1.5"/>
    <s v="EUR"/>
    <n v="6215.86"/>
    <s v="EUR"/>
    <s v="4940197133530195 ESTANCO EXPENDIDURIA 134 BARCELONA    ES"/>
    <x v="10"/>
    <x v="0"/>
  </r>
  <r>
    <s v="28/08/2025"/>
    <s v="28/08/2025"/>
    <x v="2"/>
    <s v="Adeudo de aguas de barcelona"/>
    <s v="Adeudo nº 2025240002014457"/>
    <n v="-44.47"/>
    <s v="EUR"/>
    <n v="6217.36"/>
    <s v="EUR"/>
    <s v="N 2025240002014457 AIGUES DE BARCELONA"/>
    <x v="5"/>
    <x v="2"/>
  </r>
  <r>
    <s v="27/08/2025"/>
    <s v="27/08/2025"/>
    <x v="2"/>
    <s v="Expendiduria n.2"/>
    <s v="Pago con tarjeta"/>
    <n v="-7.5"/>
    <s v="EUR"/>
    <n v="6261.83"/>
    <s v="EUR"/>
    <s v="4940197133530195 EXPENDIDURIA N.2         SANTA COLOMA ES"/>
    <x v="10"/>
    <x v="0"/>
  </r>
  <r>
    <s v="27/08/2025"/>
    <s v="27/08/2025"/>
    <x v="2"/>
    <s v="Farmacia reixach - de pab"/>
    <s v="Pago con tarjeta"/>
    <n v="-47.61"/>
    <s v="EUR"/>
    <n v="6269.33"/>
    <s v="EUR"/>
    <s v="4940197133530195 FARMACIA REIXACH - DE PABBARCELONA    ES"/>
    <x v="9"/>
    <x v="6"/>
  </r>
  <r>
    <s v="25/08/2025"/>
    <s v="27/08/2025"/>
    <x v="2"/>
    <s v="Amzn mktp es*r46rb6a34"/>
    <s v="Pago con tarjeta"/>
    <n v="-44.75"/>
    <s v="EUR"/>
    <n v="6316.94"/>
    <s v="EUR"/>
    <s v="4940197133530195 AMZN Mktp ES*R46RB6A34"/>
    <x v="13"/>
    <x v="1"/>
  </r>
  <r>
    <s v="23/08/2025"/>
    <s v="27/08/2025"/>
    <x v="2"/>
    <s v="Paypal *spotify*p39cf6729"/>
    <s v="Pago con tarjeta"/>
    <n v="-10.99"/>
    <s v="EUR"/>
    <n v="6361.69"/>
    <s v="EUR"/>
    <s v="4940197133530195 PAYPAL *SPOTIFY*P39CF6729"/>
    <x v="8"/>
    <x v="1"/>
  </r>
  <r>
    <s v="24/08/2025"/>
    <s v="27/08/2025"/>
    <x v="2"/>
    <s v="Tfl travel ch"/>
    <s v="Pago con tarjeta"/>
    <n v="-6.67"/>
    <s v="EUR"/>
    <n v="6372.68"/>
    <s v="EUR"/>
    <s v="4940197133530195 TFL TRAVEL CH"/>
    <x v="4"/>
    <x v="1"/>
  </r>
  <r>
    <s v="26/08/2025"/>
    <s v="26/08/2025"/>
    <x v="2"/>
    <s v="Natur love sant andreu"/>
    <s v="Pago con tarjeta"/>
    <n v="-13.2"/>
    <s v="EUR"/>
    <n v="6379.35"/>
    <s v="EUR"/>
    <s v="4940197133530195 NATUR LOVE SANT ANDREU   BARCELONA    ES"/>
    <x v="7"/>
    <x v="5"/>
  </r>
  <r>
    <s v="26/08/2025"/>
    <s v="26/08/2025"/>
    <x v="2"/>
    <s v="Bar torrente"/>
    <s v="Pago con tarjeta"/>
    <n v="-12.9"/>
    <s v="EUR"/>
    <n v="6392.55"/>
    <s v="EUR"/>
    <s v="4940197133530195 BAR TORRENTE             BARCELONA    ES"/>
    <x v="4"/>
    <x v="1"/>
  </r>
  <r>
    <s v="26/08/2025"/>
    <s v="26/08/2025"/>
    <x v="2"/>
    <s v="Farm.ort reixach de pablo"/>
    <s v="Pago con tarjeta"/>
    <n v="-3.26"/>
    <s v="EUR"/>
    <n v="6405.45"/>
    <s v="EUR"/>
    <s v="4940197133530195 FARM.ORT REIXACH DE PABLOBARCELONA    ES"/>
    <x v="9"/>
    <x v="6"/>
  </r>
  <r>
    <s v="24/08/2025"/>
    <s v="26/08/2025"/>
    <x v="2"/>
    <s v="Lulivo"/>
    <s v="Pago con tarjeta"/>
    <n v="-65.05"/>
    <s v="EUR"/>
    <n v="6408.71"/>
    <s v="EUR"/>
    <s v="4940197133530195 LULIVO"/>
    <x v="13"/>
    <x v="1"/>
  </r>
  <r>
    <s v="24/08/2025"/>
    <s v="26/08/2025"/>
    <x v="2"/>
    <s v="Sumup  *emilio santiago a"/>
    <s v="Pago con tarjeta"/>
    <n v="-35.76"/>
    <s v="EUR"/>
    <n v="6473.76"/>
    <s v="EUR"/>
    <s v="4940197133530195 SUMUP  *EMILIO SANTIAGO A"/>
    <x v="4"/>
    <x v="1"/>
  </r>
  <r>
    <s v="24/08/2025"/>
    <s v="26/08/2025"/>
    <x v="2"/>
    <s v="Costa lon liverpool st st"/>
    <s v="Pago con tarjeta"/>
    <n v="-10.72"/>
    <s v="EUR"/>
    <n v="6509.52"/>
    <s v="EUR"/>
    <s v="4940197133530195 COSTA LON LIVERPOOL ST ST"/>
    <x v="4"/>
    <x v="1"/>
  </r>
  <r>
    <s v="24/08/2025"/>
    <s v="26/08/2025"/>
    <x v="2"/>
    <s v="Wh smith stansted"/>
    <s v="Pago con tarjeta"/>
    <n v="-4.4000000000000004"/>
    <s v="EUR"/>
    <n v="6520.24"/>
    <s v="EUR"/>
    <s v="4940197133530195 WH Smith Stansted"/>
    <x v="4"/>
    <x v="1"/>
  </r>
  <r>
    <s v="23/08/2025"/>
    <s v="26/08/2025"/>
    <x v="2"/>
    <s v="Tfl travel ch"/>
    <s v="Pago con tarjeta"/>
    <n v="-8.11"/>
    <s v="EUR"/>
    <n v="6524.64"/>
    <s v="EUR"/>
    <s v="4940197133530195 TFL TRAVEL CH"/>
    <x v="4"/>
    <x v="1"/>
  </r>
  <r>
    <s v="26/08/2025"/>
    <s v="26/08/2025"/>
    <x v="2"/>
    <s v="Abono de nómina"/>
    <s v="Transferencia nomina"/>
    <n v="1867.53"/>
    <s v="EUR"/>
    <n v="6532.75"/>
    <s v="EUR"/>
    <s v="Transferencia nomina"/>
    <x v="6"/>
    <x v="4"/>
  </r>
  <r>
    <s v="20/08/2025"/>
    <s v="25/08/2025"/>
    <x v="2"/>
    <s v="Paypal *stanstedexp"/>
    <s v="Pago con tarjeta"/>
    <n v="-80.86"/>
    <s v="EUR"/>
    <n v="4665.22"/>
    <s v="EUR"/>
    <s v="4940197133530195 PAYPAL *STANSTEDEXP"/>
    <x v="28"/>
    <x v="1"/>
  </r>
  <r>
    <s v="20/08/2025"/>
    <s v="25/08/2025"/>
    <x v="2"/>
    <s v="Paypal *etsyireland"/>
    <s v="Pago con tarjeta"/>
    <n v="-173.78"/>
    <s v="EUR"/>
    <n v="4746.08"/>
    <s v="EUR"/>
    <s v="4940197133530195 PAYPAL *ETSYIRELAND"/>
    <x v="13"/>
    <x v="1"/>
  </r>
  <r>
    <s v="22/08/2025"/>
    <s v="25/08/2025"/>
    <x v="2"/>
    <s v="Amazon medi* ru2ub56h4"/>
    <s v="Pago con tarjeta"/>
    <n v="-13.28"/>
    <s v="EUR"/>
    <n v="4919.8599999999997"/>
    <s v="EUR"/>
    <s v="4940197133530195 AMAZON MEDI* RU2UB56H4"/>
    <x v="13"/>
    <x v="1"/>
  </r>
  <r>
    <s v="23/08/2025"/>
    <s v="25/08/2025"/>
    <x v="2"/>
    <s v="Wembley stadium"/>
    <s v="Pago con tarjeta"/>
    <n v="-47.69"/>
    <s v="EUR"/>
    <n v="4933.1400000000003"/>
    <s v="EUR"/>
    <s v="4940197133530195 WEMBLEY STADIUM"/>
    <x v="4"/>
    <x v="1"/>
  </r>
  <r>
    <s v="23/08/2025"/>
    <s v="25/08/2025"/>
    <x v="2"/>
    <s v="Wembley grill"/>
    <s v="Pago con tarjeta"/>
    <n v="-34.58"/>
    <s v="EUR"/>
    <n v="4980.83"/>
    <s v="EUR"/>
    <s v="4940197133530195 WEMBLEY GRILL"/>
    <x v="4"/>
    <x v="1"/>
  </r>
  <r>
    <s v="23/08/2025"/>
    <s v="25/08/2025"/>
    <x v="2"/>
    <s v="Ryanair"/>
    <s v="Pago con tarjeta"/>
    <n v="-6.25"/>
    <s v="EUR"/>
    <n v="5015.41"/>
    <s v="EUR"/>
    <s v="4940197133530195 RYANAIR"/>
    <x v="28"/>
    <x v="1"/>
  </r>
  <r>
    <s v="23/08/2025"/>
    <s v="25/08/2025"/>
    <x v="2"/>
    <s v="0309 carlsberg bcn t2 air"/>
    <s v="Pago con tarjeta"/>
    <n v="-8.5"/>
    <s v="EUR"/>
    <n v="5021.66"/>
    <s v="EUR"/>
    <s v="4940197133530195 0309 CARLSBERG BCN T2 AIRAEROPORT DEL ES"/>
    <x v="4"/>
    <x v="1"/>
  </r>
  <r>
    <s v="22/08/2025"/>
    <s v="25/08/2025"/>
    <x v="2"/>
    <s v="La tropa sant andreu"/>
    <s v="Pago con tarjeta"/>
    <n v="-41.9"/>
    <s v="EUR"/>
    <n v="5030.16"/>
    <s v="EUR"/>
    <s v="4940197133530195 LA TROPA SANT ANDREU     BARCELONA    ES"/>
    <x v="4"/>
    <x v="1"/>
  </r>
  <r>
    <s v="22/08/2025"/>
    <s v="22/08/2025"/>
    <x v="2"/>
    <s v="Acciona motosharing"/>
    <s v="Pago con tarjeta"/>
    <n v="-5.42"/>
    <s v="EUR"/>
    <n v="5072.0600000000004"/>
    <s v="EUR"/>
    <s v="4940197133530195 ACCIONA MOTOSHARING      ALCOBENDAS   ES"/>
    <x v="0"/>
    <x v="0"/>
  </r>
  <r>
    <s v="22/08/2025"/>
    <s v="22/08/2025"/>
    <x v="2"/>
    <s v="T mobilitat. app"/>
    <s v="Pago con tarjeta"/>
    <n v="-12.55"/>
    <s v="EUR"/>
    <n v="5077.4799999999996"/>
    <s v="EUR"/>
    <s v="4940197133530195 T MOBILITAT. APP         HOSPITALET DEES"/>
    <x v="0"/>
    <x v="0"/>
  </r>
  <r>
    <s v="20/08/2025"/>
    <s v="22/08/2025"/>
    <x v="2"/>
    <s v="Amzn mktp es*ru28831e4"/>
    <s v="Pago con tarjeta"/>
    <n v="-49.09"/>
    <s v="EUR"/>
    <n v="5090.03"/>
    <s v="EUR"/>
    <s v="4940197133530195 AMZN Mktp ES*RU28831E4"/>
    <x v="13"/>
    <x v="1"/>
  </r>
  <r>
    <s v="19/08/2025"/>
    <s v="19/08/2025"/>
    <x v="2"/>
    <s v="El tio che"/>
    <s v="Pago con tarjeta"/>
    <n v="-5.8"/>
    <s v="EUR"/>
    <n v="5139.12"/>
    <s v="EUR"/>
    <s v="4940197133530195 EL TIO CHE               VOLUNTARIS  PES"/>
    <x v="4"/>
    <x v="1"/>
  </r>
  <r>
    <s v="17/08/2025"/>
    <s v="19/08/2025"/>
    <x v="2"/>
    <s v="Sumup  *my coco moon"/>
    <s v="Pago con tarjeta"/>
    <n v="-17"/>
    <s v="EUR"/>
    <n v="5144.92"/>
    <s v="EUR"/>
    <s v="4940197133530195 SUMUP  *MY COCO MOON"/>
    <x v="13"/>
    <x v="1"/>
  </r>
  <r>
    <s v="14/08/2025"/>
    <s v="18/08/2025"/>
    <x v="2"/>
    <s v="Glovo 14aug bu4lg1uz"/>
    <s v="Pago con tarjeta"/>
    <n v="-36.479999999999997"/>
    <s v="EUR"/>
    <n v="5161.92"/>
    <s v="EUR"/>
    <s v="4940197133530195 Glovo 14AUG BU4LG1UZ"/>
    <x v="11"/>
    <x v="5"/>
  </r>
  <r>
    <s v="14/08/2025"/>
    <s v="18/08/2025"/>
    <x v="2"/>
    <s v="Paypal *itunesappst apple"/>
    <s v="Pago con tarjeta"/>
    <n v="-2.99"/>
    <s v="EUR"/>
    <n v="5198.3999999999996"/>
    <s v="EUR"/>
    <s v="4940197133530195 PAYPAL *ITUNESAPPST APPLE"/>
    <x v="15"/>
    <x v="1"/>
  </r>
  <r>
    <s v="17/08/2025"/>
    <s v="18/08/2025"/>
    <x v="2"/>
    <s v="Bar perros al agua"/>
    <s v="Pago con tarjeta"/>
    <n v="-29.5"/>
    <s v="EUR"/>
    <n v="5201.3900000000003"/>
    <s v="EUR"/>
    <s v="4940197133530195 BAR PERROS AL AGUA       MATARO       ES"/>
    <x v="4"/>
    <x v="1"/>
  </r>
  <r>
    <s v="17/08/2025"/>
    <s v="18/08/2025"/>
    <x v="2"/>
    <s v="Jomarcamps, s.l."/>
    <s v="Pago con tarjeta"/>
    <n v="-1.02"/>
    <s v="EUR"/>
    <n v="5230.8900000000003"/>
    <s v="EUR"/>
    <s v="4940197133530195 JOMARCAMPS, S.L.         STA. COLOMA DES"/>
    <x v="4"/>
    <x v="1"/>
  </r>
  <r>
    <s v="17/08/2025"/>
    <s v="18/08/2025"/>
    <x v="2"/>
    <s v="Farmacia jordi bomcompte"/>
    <s v="Pago con tarjeta"/>
    <n v="-28.95"/>
    <s v="EUR"/>
    <n v="5231.91"/>
    <s v="EUR"/>
    <s v="4940197133530195 FARMACIA JORDI BOMCOMPTE SANTA COLOMA ES"/>
    <x v="9"/>
    <x v="6"/>
  </r>
  <r>
    <s v="16/08/2025"/>
    <s v="18/08/2025"/>
    <x v="2"/>
    <s v="La rotonda masnou"/>
    <s v="Pago con tarjeta"/>
    <n v="-24"/>
    <s v="EUR"/>
    <n v="5260.86"/>
    <s v="EUR"/>
    <s v="4940197133530195 LA ROTONDA MASNOU        EL MASNOU    ES"/>
    <x v="4"/>
    <x v="1"/>
  </r>
  <r>
    <s v="14/08/2025"/>
    <s v="14/08/2025"/>
    <x v="2"/>
    <s v="Clarel"/>
    <s v="Pago con tarjeta"/>
    <n v="-13.36"/>
    <s v="EUR"/>
    <n v="5284.86"/>
    <s v="EUR"/>
    <s v="4940197133530195 CLAREL                   SANTA COLOMA ES"/>
    <x v="11"/>
    <x v="5"/>
  </r>
  <r>
    <s v="13/08/2025"/>
    <s v="14/08/2025"/>
    <x v="2"/>
    <s v="Booking.com hotel"/>
    <s v="Pago con tarjeta"/>
    <n v="-699.84"/>
    <s v="EUR"/>
    <n v="5298.22"/>
    <s v="EUR"/>
    <s v="4940197133530195 Booking.com Hotel"/>
    <x v="28"/>
    <x v="1"/>
  </r>
  <r>
    <s v="14/08/2025"/>
    <s v="14/08/2025"/>
    <x v="2"/>
    <s v="Bizum"/>
    <s v="Recibido: bizum"/>
    <n v="377"/>
    <s v="EUR"/>
    <n v="5998.06"/>
    <s v="EUR"/>
    <s v="RECIBIDO: Bizum"/>
    <x v="12"/>
    <x v="4"/>
  </r>
  <r>
    <s v="13/08/2025"/>
    <s v="13/08/2025"/>
    <x v="2"/>
    <s v="Tropical moldova"/>
    <s v="Pago con tarjeta"/>
    <n v="-3.3"/>
    <s v="EUR"/>
    <n v="5621.06"/>
    <s v="EUR"/>
    <s v="4940197133530195 TROPICAL MOLDOVA         BALAGUER     ES"/>
    <x v="4"/>
    <x v="1"/>
  </r>
  <r>
    <s v="11/08/2025"/>
    <s v="13/08/2025"/>
    <x v="2"/>
    <s v="Amazon* rf10o9i44"/>
    <s v="Pago con tarjeta"/>
    <n v="-23.92"/>
    <s v="EUR"/>
    <n v="5624.36"/>
    <s v="EUR"/>
    <s v="4940197133530195 AMAZON* RF10O9I44"/>
    <x v="13"/>
    <x v="1"/>
  </r>
  <r>
    <s v="13/08/2025"/>
    <s v="13/08/2025"/>
    <x v="2"/>
    <s v="El aroma"/>
    <s v="Pago con tarjeta"/>
    <n v="-3.5"/>
    <s v="EUR"/>
    <n v="5648.28"/>
    <s v="EUR"/>
    <s v="4940197133530195 EL AROMA                 SANTA COLOMA ES"/>
    <x v="4"/>
    <x v="1"/>
  </r>
  <r>
    <s v="13/08/2025"/>
    <s v="13/08/2025"/>
    <x v="2"/>
    <s v="Ingreso en efectivo"/>
    <s v="Bbva oficina nº 0835"/>
    <n v="300"/>
    <s v="EUR"/>
    <n v="5651.78"/>
    <s v="EUR"/>
    <s v="4940197133530195 01820835 999"/>
    <x v="30"/>
    <x v="4"/>
  </r>
  <r>
    <s v="13/08/2025"/>
    <s v="13/08/2025"/>
    <x v="2"/>
    <s v="Farmacia"/>
    <s v="Pago con tarjeta"/>
    <n v="-2.04"/>
    <s v="EUR"/>
    <n v="5351.78"/>
    <s v="EUR"/>
    <s v="4940197133530195 FARMACIA                 BARCELONA    ES"/>
    <x v="9"/>
    <x v="6"/>
  </r>
  <r>
    <s v="12/08/2025"/>
    <s v="12/08/2025"/>
    <x v="2"/>
    <s v="Bizum"/>
    <s v="Enviado: kiwoko"/>
    <n v="-39"/>
    <s v="EUR"/>
    <n v="5353.82"/>
    <s v="EUR"/>
    <s v="ENVIADO: Kiwoko"/>
    <x v="12"/>
    <x v="4"/>
  </r>
  <r>
    <s v="10/08/2025"/>
    <s v="12/08/2025"/>
    <x v="2"/>
    <s v="Www.amazon.* rf4qo5824"/>
    <s v="Pago con tarjeta"/>
    <n v="-16.739999999999998"/>
    <s v="EUR"/>
    <n v="5392.82"/>
    <s v="EUR"/>
    <s v="4940197133530195 WWW.AMAZON.* RF4QO5824"/>
    <x v="13"/>
    <x v="1"/>
  </r>
  <r>
    <s v="09/08/2025"/>
    <s v="12/08/2025"/>
    <x v="2"/>
    <s v="Casa ametller take away"/>
    <s v="Pago con tarjeta"/>
    <n v="-6.86"/>
    <s v="EUR"/>
    <n v="5409.56"/>
    <s v="EUR"/>
    <s v="4940197133530195 CASA AMETLLER TAKE AWAY"/>
    <x v="11"/>
    <x v="5"/>
  </r>
  <r>
    <s v="12/08/2025"/>
    <s v="12/08/2025"/>
    <x v="2"/>
    <s v="Bizum"/>
    <s v="Enviado: bandana   jordi e. l"/>
    <n v="-17"/>
    <s v="EUR"/>
    <n v="5416.42"/>
    <s v="EUR"/>
    <s v="ENVIADO: Bandana   Jordi E. L"/>
    <x v="12"/>
    <x v="4"/>
  </r>
  <r>
    <s v="11/08/2025"/>
    <s v="12/08/2025"/>
    <x v="2"/>
    <s v="Bar cafeteria"/>
    <s v="Pago con tarjeta"/>
    <n v="-20.7"/>
    <s v="EUR"/>
    <n v="5433.42"/>
    <s v="EUR"/>
    <s v="4940197133530195 BAR CAFETERIA            SANTA COLOMA ES"/>
    <x v="4"/>
    <x v="1"/>
  </r>
  <r>
    <s v="08/08/2025"/>
    <s v="11/08/2025"/>
    <x v="2"/>
    <s v="Sq *centris events sl."/>
    <s v="Pago con tarjeta"/>
    <n v="-24.5"/>
    <s v="EUR"/>
    <n v="5454.12"/>
    <s v="EUR"/>
    <s v="4940197133530195 SQ *CENTRIS EVENTS SL."/>
    <x v="16"/>
    <x v="1"/>
  </r>
  <r>
    <s v="08/08/2025"/>
    <s v="11/08/2025"/>
    <x v="2"/>
    <s v="Sq *centris events sl."/>
    <s v="Pago con tarjeta"/>
    <n v="-11"/>
    <s v="EUR"/>
    <n v="5478.62"/>
    <s v="EUR"/>
    <s v="4940197133530195 SQ *CENTRIS EVENTS SL."/>
    <x v="16"/>
    <x v="1"/>
  </r>
  <r>
    <s v="10/08/2025"/>
    <s v="11/08/2025"/>
    <x v="2"/>
    <s v="Heladeria la jijonenca"/>
    <s v="Pago con tarjeta"/>
    <n v="-3.3"/>
    <s v="EUR"/>
    <n v="5489.62"/>
    <s v="EUR"/>
    <s v="4940197133530195 HELADERIA LA JIJONENCA   SANTA COLOMA ES"/>
    <x v="4"/>
    <x v="1"/>
  </r>
  <r>
    <s v="10/08/2025"/>
    <s v="11/08/2025"/>
    <x v="2"/>
    <s v="Bar maria"/>
    <s v="Pago con tarjeta"/>
    <n v="-3.1"/>
    <s v="EUR"/>
    <n v="5492.92"/>
    <s v="EUR"/>
    <s v="4940197133530195 BAR MARIA                BADALONA     ES"/>
    <x v="4"/>
    <x v="1"/>
  </r>
  <r>
    <s v="09/08/2025"/>
    <s v="11/08/2025"/>
    <x v="2"/>
    <s v="Santa coloma gramenet"/>
    <s v="Pago con tarjeta"/>
    <n v="-8.49"/>
    <s v="EUR"/>
    <n v="5496.02"/>
    <s v="EUR"/>
    <s v="4940197133530195 SANTA COLOMA GRAMENET    BARCELONA    ES"/>
    <x v="4"/>
    <x v="1"/>
  </r>
  <r>
    <s v="09/08/2025"/>
    <s v="11/08/2025"/>
    <x v="2"/>
    <s v="Bar maria"/>
    <s v="Pago con tarjeta"/>
    <n v="-3.7"/>
    <s v="EUR"/>
    <n v="5504.51"/>
    <s v="EUR"/>
    <s v="4940197133530195 BAR MARIA                BADALONA     ES"/>
    <x v="4"/>
    <x v="1"/>
  </r>
  <r>
    <s v="08/08/2025"/>
    <s v="11/08/2025"/>
    <x v="2"/>
    <s v="Ftruck taco bell food tru"/>
    <s v="Pago con tarjeta"/>
    <n v="-21"/>
    <s v="EUR"/>
    <n v="5508.21"/>
    <s v="EUR"/>
    <s v="4940197133530195 FTRUCK TACO BELL FOOD TRUPOZUELO DE ALES"/>
    <x v="4"/>
    <x v="1"/>
  </r>
  <r>
    <s v="08/08/2025"/>
    <s v="08/08/2025"/>
    <x v="2"/>
    <s v="Adeudo de vodafone"/>
    <s v="Adeudo nº 2025218001558836"/>
    <n v="-78.2"/>
    <s v="EUR"/>
    <n v="5529.21"/>
    <s v="EUR"/>
    <s v="N 2025218001558836 Vodafone Servicios, S.L.U.           CPVR"/>
    <x v="18"/>
    <x v="2"/>
  </r>
  <r>
    <s v="07/08/2025"/>
    <s v="07/08/2025"/>
    <x v="2"/>
    <s v="Expendiduria n.2"/>
    <s v="Pago con tarjeta"/>
    <n v="-7.5"/>
    <s v="EUR"/>
    <n v="5607.41"/>
    <s v="EUR"/>
    <s v="4940197133530195 EXPENDIDURIA N.2         SANTA COLOMA ES"/>
    <x v="10"/>
    <x v="0"/>
  </r>
  <r>
    <s v="07/08/2025"/>
    <s v="07/08/2025"/>
    <x v="2"/>
    <s v="Bizum"/>
    <s v="Recibido: iphone mes de agost"/>
    <n v="40"/>
    <s v="EUR"/>
    <n v="5614.91"/>
    <s v="EUR"/>
    <s v="RECIBIDO: Iphone mes de agost"/>
    <x v="18"/>
    <x v="2"/>
  </r>
  <r>
    <s v="06/08/2025"/>
    <s v="06/08/2025"/>
    <x v="2"/>
    <s v="Kiwoko fabra"/>
    <s v="Pago con tarjeta"/>
    <n v="-8.9"/>
    <s v="EUR"/>
    <n v="5574.91"/>
    <s v="EUR"/>
    <s v="4940197133530195 KIWOKO FABRA             BARCELONA    ES"/>
    <x v="7"/>
    <x v="5"/>
  </r>
  <r>
    <s v="05/08/2025"/>
    <s v="05/08/2025"/>
    <x v="2"/>
    <s v="Biopassio"/>
    <s v="Pago con tarjeta"/>
    <n v="-5.83"/>
    <s v="EUR"/>
    <n v="5583.81"/>
    <s v="EUR"/>
    <s v="4940197133530195 BIOPASSIO                BARCELONA    ES"/>
    <x v="11"/>
    <x v="5"/>
  </r>
  <r>
    <s v="03/08/2025"/>
    <s v="05/08/2025"/>
    <x v="2"/>
    <s v="Vans"/>
    <s v="Pago con tarjeta"/>
    <n v="-103"/>
    <s v="EUR"/>
    <n v="5589.64"/>
    <s v="EUR"/>
    <s v="4940197133530195 VANS"/>
    <x v="13"/>
    <x v="1"/>
  </r>
  <r>
    <s v="05/08/2025"/>
    <s v="05/08/2025"/>
    <x v="2"/>
    <s v="K tuin sistemas informati"/>
    <s v="Pago con tarjeta"/>
    <n v="39.99"/>
    <s v="EUR"/>
    <n v="5692.64"/>
    <s v="EUR"/>
    <s v="4940197133530195 K TUIN SISTEMAS INFORMATIZARAGOZA     ES"/>
    <x v="13"/>
    <x v="1"/>
  </r>
  <r>
    <s v="05/08/2025"/>
    <s v="05/08/2025"/>
    <x v="2"/>
    <s v="Cuota mensual de fraccionamiento de gastos"/>
    <s v="Cuota préstamo"/>
    <n v="-92.48"/>
    <s v="EUR"/>
    <n v="5652.65"/>
    <s v="EUR"/>
    <s v="8123450000175812"/>
    <x v="23"/>
    <x v="3"/>
  </r>
  <r>
    <s v="04/08/2025"/>
    <s v="05/08/2025"/>
    <x v="2"/>
    <s v="Bbva plan estarseguro"/>
    <s v="Otros"/>
    <n v="-59.45"/>
    <s v="EUR"/>
    <n v="5745.13"/>
    <s v="EUR"/>
    <s v="BBVA PLAN ESTARSEGURO"/>
    <x v="21"/>
    <x v="3"/>
  </r>
  <r>
    <s v="04/08/2025"/>
    <s v="04/08/2025"/>
    <x v="2"/>
    <s v="Consum b.gr.s.andreu"/>
    <s v="Pago con tarjeta"/>
    <n v="-47.46"/>
    <s v="EUR"/>
    <n v="5804.58"/>
    <s v="EUR"/>
    <s v="4940197133530195 CONSUM B.GR.S.ANDREU     BARCELONA    ES"/>
    <x v="11"/>
    <x v="5"/>
  </r>
  <r>
    <s v="31/07/2025"/>
    <s v="04/08/2025"/>
    <x v="3"/>
    <s v="Mgp*wallapop s l"/>
    <s v="Pago con tarjeta"/>
    <n v="-27.9"/>
    <s v="EUR"/>
    <n v="5852.04"/>
    <s v="EUR"/>
    <s v="4940197133530195 MGP*Wallapop S L"/>
    <x v="13"/>
    <x v="1"/>
  </r>
  <r>
    <s v="02/08/2025"/>
    <s v="04/08/2025"/>
    <x v="2"/>
    <s v="Podimo aps"/>
    <s v="Pago con tarjeta"/>
    <n v="-0.99"/>
    <s v="EUR"/>
    <n v="5879.94"/>
    <s v="EUR"/>
    <s v="4940197133530195 Podimo ApS"/>
    <x v="19"/>
    <x v="1"/>
  </r>
  <r>
    <s v="03/08/2025"/>
    <s v="04/08/2025"/>
    <x v="2"/>
    <s v="Heladeria la jijonenca"/>
    <s v="Pago con tarjeta"/>
    <n v="-4.55"/>
    <s v="EUR"/>
    <n v="5880.93"/>
    <s v="EUR"/>
    <s v="4940197133530195 HELADERIA LA JIJONENCA   SANTA COLOMA ES"/>
    <x v="4"/>
    <x v="1"/>
  </r>
  <r>
    <s v="03/08/2025"/>
    <s v="04/08/2025"/>
    <x v="2"/>
    <s v="Condis supermercat"/>
    <s v="Pago con tarjeta"/>
    <n v="-5.95"/>
    <s v="EUR"/>
    <n v="5885.48"/>
    <s v="EUR"/>
    <s v="4940197133530195 CONDIS SUPERMERCAT       STA. COLOMA DES"/>
    <x v="11"/>
    <x v="5"/>
  </r>
  <r>
    <s v="03/08/2025"/>
    <s v="04/08/2025"/>
    <x v="2"/>
    <s v="Bar cafeteria"/>
    <s v="Pago con tarjeta"/>
    <n v="-7.8"/>
    <s v="EUR"/>
    <n v="5891.43"/>
    <s v="EUR"/>
    <s v="4940197133530195 BAR CAFETERIA            SANTA COLOMA ES"/>
    <x v="4"/>
    <x v="1"/>
  </r>
  <r>
    <s v="03/08/2025"/>
    <s v="04/08/2025"/>
    <x v="2"/>
    <s v="Portal del angel"/>
    <s v="Pago con tarjeta"/>
    <n v="-7.99"/>
    <s v="EUR"/>
    <n v="5899.23"/>
    <s v="EUR"/>
    <s v="4940197133530195 PORTAL DEL ANGEL         BARCELONA    ES"/>
    <x v="4"/>
    <x v="1"/>
  </r>
  <r>
    <s v="02/08/2025"/>
    <s v="04/08/2025"/>
    <x v="2"/>
    <s v="Mialcampo mallorca 212"/>
    <s v="Pago con tarjeta"/>
    <n v="-4.4000000000000004"/>
    <s v="EUR"/>
    <n v="5907.22"/>
    <s v="EUR"/>
    <s v="4940197133530195 MIALCAMPO MALLORCA 212   BARCELONA    ES"/>
    <x v="11"/>
    <x v="5"/>
  </r>
  <r>
    <s v="02/08/2025"/>
    <s v="04/08/2025"/>
    <x v="2"/>
    <s v="Miscota santa coloma de g"/>
    <s v="Pago con tarjeta"/>
    <n v="-3.56"/>
    <s v="EUR"/>
    <n v="5911.62"/>
    <s v="EUR"/>
    <s v="4940197133530195 MISCOTA SANTA COLOMA DE GSTA. COLOMA DES"/>
    <x v="7"/>
    <x v="5"/>
  </r>
  <r>
    <s v="02/08/2025"/>
    <s v="04/08/2025"/>
    <x v="2"/>
    <s v="Condis supermercat"/>
    <s v="Pago con tarjeta"/>
    <n v="-16.32"/>
    <s v="EUR"/>
    <n v="5915.18"/>
    <s v="EUR"/>
    <s v="4940197133530195 CONDIS SUPERMERCAT       STA. COLOMA DES"/>
    <x v="11"/>
    <x v="5"/>
  </r>
  <r>
    <s v="02/08/2025"/>
    <s v="04/08/2025"/>
    <x v="2"/>
    <s v="El molino - sabor de mi c"/>
    <s v="Pago con tarjeta"/>
    <n v="-12"/>
    <s v="EUR"/>
    <n v="5931.5"/>
    <s v="EUR"/>
    <s v="4940197133530195 EL MOLINO - SABOR DE MI CSANTA COLOMA ES"/>
    <x v="4"/>
    <x v="1"/>
  </r>
  <r>
    <s v="02/08/2025"/>
    <s v="04/08/2025"/>
    <x v="2"/>
    <s v="Tcb 2025 gira 3"/>
    <s v="Pago con tarjeta"/>
    <n v="-25.9"/>
    <s v="EUR"/>
    <n v="5943.5"/>
    <s v="EUR"/>
    <s v="4940197133530195 TCB 2025 GIRA 3          VALENCIA AL MES"/>
    <x v="16"/>
    <x v="1"/>
  </r>
  <r>
    <s v="02/08/2025"/>
    <s v="04/08/2025"/>
    <x v="2"/>
    <s v="Macxipa avda. generalitat"/>
    <s v="Pago con tarjeta"/>
    <n v="-1.47"/>
    <s v="EUR"/>
    <n v="5969.4"/>
    <s v="EUR"/>
    <s v="4940197133530195 MACXIPA AVDA. GENERALITATSTA. COLOMA  ES"/>
    <x v="4"/>
    <x v="1"/>
  </r>
  <r>
    <s v="01/08/2025"/>
    <s v="04/08/2025"/>
    <x v="2"/>
    <s v="Fundacion teaming"/>
    <s v="Pago con tarjeta"/>
    <n v="-9"/>
    <s v="EUR"/>
    <n v="5970.87"/>
    <s v="EUR"/>
    <s v="4940197133530195 FUNDACION TEAMING        SANT CUGAT DEES"/>
    <x v="24"/>
    <x v="0"/>
  </r>
  <r>
    <s v="01/08/2025"/>
    <s v="01/08/2025"/>
    <x v="2"/>
    <s v="Bizum"/>
    <s v="Recibido: yule"/>
    <n v="72"/>
    <s v="EUR"/>
    <n v="5979.87"/>
    <s v="EUR"/>
    <s v="RECIBIDO: yule"/>
    <x v="20"/>
    <x v="1"/>
  </r>
  <r>
    <s v="01/08/2025"/>
    <s v="01/08/2025"/>
    <x v="2"/>
    <s v="Adeudo assessoria i finques fuster s.l."/>
    <s v="Adeudo nº 2025213000088510"/>
    <n v="-50"/>
    <s v="EUR"/>
    <n v="5907.87"/>
    <s v="EUR"/>
    <s v="N 2025213000088510 ASSESSORIA I FINQUES FUSTER S.L."/>
    <x v="26"/>
    <x v="3"/>
  </r>
  <r>
    <s v="01/08/2025"/>
    <s v="01/08/2025"/>
    <x v="2"/>
    <s v="Adeudo pilates 10 maragall"/>
    <s v="Adeudo nº 2025213000681523"/>
    <n v="-32.5"/>
    <s v="EUR"/>
    <n v="5957.87"/>
    <s v="EUR"/>
    <s v="N 2025213000681523 PILATES 10 Maragall"/>
    <x v="27"/>
    <x v="1"/>
  </r>
  <r>
    <s v="01/08/2025"/>
    <s v="01/08/2025"/>
    <x v="2"/>
    <s v="Transferencia realizada"/>
    <s v="Patricia triano moto"/>
    <n v="-30"/>
    <s v="EUR"/>
    <n v="5990.37"/>
    <s v="EUR"/>
    <s v="PATRICIA TRIANO MOTO"/>
    <x v="25"/>
    <x v="7"/>
  </r>
  <r>
    <s v="30/07/2025"/>
    <s v="31/07/2025"/>
    <x v="3"/>
    <s v="Netflix.com"/>
    <s v="Pago con tarjeta"/>
    <n v="-6.99"/>
    <s v="EUR"/>
    <n v="6020.37"/>
    <s v="EUR"/>
    <s v="4940197133530195 Netflix.com"/>
    <x v="1"/>
    <x v="1"/>
  </r>
  <r>
    <s v="29/07/2025"/>
    <s v="31/07/2025"/>
    <x v="3"/>
    <s v="Onlinetravelpr united"/>
    <s v="Pago con tarjeta"/>
    <n v="73.58"/>
    <s v="EUR"/>
    <n v="6027.36"/>
    <s v="EUR"/>
    <s v="4940197133530195 onlinetravelpr UNITED"/>
    <x v="28"/>
    <x v="1"/>
  </r>
  <r>
    <s v="31/07/2025"/>
    <s v="31/07/2025"/>
    <x v="3"/>
    <s v="Cargo por amortizacion de prestamo/credito"/>
    <s v=""/>
    <n v="-461.91"/>
    <s v="EUR"/>
    <n v="5953.78"/>
    <s v="EUR"/>
    <s v="0182-3247-22-0830147409"/>
    <x v="3"/>
    <x v="3"/>
  </r>
  <r>
    <s v="30/07/2025"/>
    <s v="30/07/2025"/>
    <x v="3"/>
    <s v="Bar noray"/>
    <s v="Pago con tarjeta"/>
    <n v="-5.6"/>
    <s v="EUR"/>
    <n v="6415.69"/>
    <s v="EUR"/>
    <s v="4940197133530195 BAR NORAY                BARCELONA    ES"/>
    <x v="4"/>
    <x v="1"/>
  </r>
  <r>
    <s v="30/07/2025"/>
    <s v="30/07/2025"/>
    <x v="3"/>
    <s v="Bizum"/>
    <s v="Enviado: brunch"/>
    <n v="-75"/>
    <s v="EUR"/>
    <n v="6421.29"/>
    <s v="EUR"/>
    <s v="ENVIADO: Brunch"/>
    <x v="12"/>
    <x v="4"/>
  </r>
  <r>
    <s v="29/07/2025"/>
    <s v="29/07/2025"/>
    <x v="3"/>
    <s v="Consum b.gr.s.andreu"/>
    <s v="Pago con tarjeta"/>
    <n v="-21.03"/>
    <s v="EUR"/>
    <n v="6496.29"/>
    <s v="EUR"/>
    <s v="4940197133530195 CONSUM B.GR.S.ANDREU     BARCELONA    ES"/>
    <x v="11"/>
    <x v="5"/>
  </r>
  <r>
    <s v="29/07/2025"/>
    <s v="29/07/2025"/>
    <x v="3"/>
    <s v="Casa arana"/>
    <s v="Pago con tarjeta"/>
    <n v="-13.8"/>
    <s v="EUR"/>
    <n v="6517.32"/>
    <s v="EUR"/>
    <s v="4940197133530195 CASA ARANA               BARCELONA    ES"/>
    <x v="4"/>
    <x v="1"/>
  </r>
  <r>
    <s v="28/07/2025"/>
    <s v="28/07/2025"/>
    <x v="3"/>
    <s v="Juana dog sant andreu pc1"/>
    <s v="Pago con tarjeta"/>
    <n v="-62.55"/>
    <s v="EUR"/>
    <n v="6531.12"/>
    <s v="EUR"/>
    <s v="4940197133530195 JUANA DOG SANT ANDREU PC1BARCELONA    ES"/>
    <x v="7"/>
    <x v="5"/>
  </r>
  <r>
    <s v="28/07/2025"/>
    <s v="28/07/2025"/>
    <x v="3"/>
    <s v="Air house park barcelona"/>
    <s v="Pago con tarjeta"/>
    <n v="-1.7"/>
    <s v="EUR"/>
    <n v="6593.67"/>
    <s v="EUR"/>
    <s v="4940197133530195 AIR HOUSE PARK BARCELONA BADALONA     ES"/>
    <x v="4"/>
    <x v="1"/>
  </r>
  <r>
    <s v="28/07/2025"/>
    <s v="28/07/2025"/>
    <x v="3"/>
    <s v="Adeudo de endesa"/>
    <s v="Adeudo nº 2025209001644442"/>
    <n v="-89.77"/>
    <s v="EUR"/>
    <n v="6595.37"/>
    <s v="EUR"/>
    <s v="N 2025209001644442 ENERGIA XXI                          CPVR"/>
    <x v="2"/>
    <x v="2"/>
  </r>
  <r>
    <s v="28/07/2025"/>
    <s v="28/07/2025"/>
    <x v="3"/>
    <s v="Abono de nómina"/>
    <s v="Transferencia nomina"/>
    <n v="1867.53"/>
    <s v="EUR"/>
    <n v="6685.14"/>
    <s v="EUR"/>
    <s v="Transferencia nomina"/>
    <x v="6"/>
    <x v="4"/>
  </r>
  <r>
    <s v="27/07/2025"/>
    <s v="28/07/2025"/>
    <x v="3"/>
    <s v="J.c. celler vermuteria"/>
    <s v="Pago con tarjeta"/>
    <n v="-4.05"/>
    <s v="EUR"/>
    <n v="4817.6099999999997"/>
    <s v="EUR"/>
    <s v="4940197133530195 J.C. CELLER VERMUTERIA   SANTA COLOMA ES"/>
    <x v="4"/>
    <x v="1"/>
  </r>
  <r>
    <s v="27/07/2025"/>
    <s v="28/07/2025"/>
    <x v="3"/>
    <s v="Macxipa avda. generalitat"/>
    <s v="Pago con tarjeta"/>
    <n v="-3.59"/>
    <s v="EUR"/>
    <n v="4821.66"/>
    <s v="EUR"/>
    <s v="4940197133530195 MACXIPA AVDA. GENERALITATSTA. COLOMA  ES"/>
    <x v="4"/>
    <x v="1"/>
  </r>
  <r>
    <s v="26/07/2025"/>
    <s v="28/07/2025"/>
    <x v="3"/>
    <s v="Micande"/>
    <s v="Pago con tarjeta"/>
    <n v="-35"/>
    <s v="EUR"/>
    <n v="4825.25"/>
    <s v="EUR"/>
    <s v="4940197133530195 MICANDE                  BADALONA     ES"/>
    <x v="4"/>
    <x v="1"/>
  </r>
  <r>
    <s v="26/07/2025"/>
    <s v="28/07/2025"/>
    <x v="3"/>
    <s v="Micande"/>
    <s v="Pago con tarjeta"/>
    <n v="-6.7"/>
    <s v="EUR"/>
    <n v="4860.25"/>
    <s v="EUR"/>
    <s v="4940197133530195 MICANDE                  BADALONA     ES"/>
    <x v="4"/>
    <x v="1"/>
  </r>
  <r>
    <s v="26/07/2025"/>
    <s v="28/07/2025"/>
    <x v="3"/>
    <s v="Ferretti badalona"/>
    <s v="Pago con tarjeta"/>
    <n v="-6.4"/>
    <s v="EUR"/>
    <n v="4866.95"/>
    <s v="EUR"/>
    <s v="4940197133530195 FERRETTI BADALONA        BADALONA     ES"/>
    <x v="4"/>
    <x v="1"/>
  </r>
  <r>
    <s v="26/07/2025"/>
    <s v="28/07/2025"/>
    <x v="3"/>
    <s v="L?estanc de la merce"/>
    <s v="Pago con tarjeta"/>
    <n v="-7"/>
    <s v="EUR"/>
    <n v="4873.3500000000004"/>
    <s v="EUR"/>
    <s v="4940197133530195 L?ESTANC DE LA MERCE     BARCELONA    ES"/>
    <x v="10"/>
    <x v="0"/>
  </r>
  <r>
    <s v="23/07/2025"/>
    <s v="25/07/2025"/>
    <x v="3"/>
    <s v="Paypal *spotify*p38d690ef"/>
    <s v="Pago con tarjeta"/>
    <n v="-10.99"/>
    <s v="EUR"/>
    <n v="4880.3500000000004"/>
    <s v="EUR"/>
    <s v="4940197133530195 PAYPAL *SPOTIFY*P38D690EF"/>
    <x v="8"/>
    <x v="1"/>
  </r>
  <r>
    <s v="24/07/2025"/>
    <s v="25/07/2025"/>
    <x v="3"/>
    <s v="Condis av.meridiana"/>
    <s v="Pago con tarjeta"/>
    <n v="-16.89"/>
    <s v="EUR"/>
    <n v="4891.34"/>
    <s v="EUR"/>
    <s v="4940197133530195 CONDIS AV.MERIDIANA      TORRENT DE L'ES"/>
    <x v="11"/>
    <x v="5"/>
  </r>
  <r>
    <s v="24/07/2025"/>
    <s v="24/07/2025"/>
    <x v="3"/>
    <s v="Cred trinidad"/>
    <s v="Pago con tarjeta"/>
    <n v="-10.9"/>
    <s v="EUR"/>
    <n v="4908.2299999999996"/>
    <s v="EUR"/>
    <s v="4940197133530195 CRED TRINIDAD            BARCELONA    ES"/>
    <x v="14"/>
    <x v="7"/>
  </r>
  <r>
    <s v="22/07/2025"/>
    <s v="24/07/2025"/>
    <x v="3"/>
    <s v="Hpy*privalia.es"/>
    <s v="Pago con tarjeta"/>
    <n v="-31.98"/>
    <s v="EUR"/>
    <n v="4919.13"/>
    <s v="EUR"/>
    <s v="4940197133530195 HPY*PRIVALIA.ES"/>
    <x v="13"/>
    <x v="1"/>
  </r>
  <r>
    <s v="21/07/2025"/>
    <s v="24/07/2025"/>
    <x v="3"/>
    <s v="Dyson"/>
    <s v="Pago con tarjeta"/>
    <n v="-123"/>
    <s v="EUR"/>
    <n v="4951.1099999999997"/>
    <s v="EUR"/>
    <s v="4940197133530195 Dyson"/>
    <x v="13"/>
    <x v="1"/>
  </r>
  <r>
    <s v="22/07/2025"/>
    <s v="24/07/2025"/>
    <x v="3"/>
    <s v="Onlinetravelpr united"/>
    <s v="Pago con tarjeta"/>
    <n v="-96.67"/>
    <s v="EUR"/>
    <n v="5074.1099999999997"/>
    <s v="EUR"/>
    <s v="4940197133530195 onlinetravelpr UNITED"/>
    <x v="28"/>
    <x v="1"/>
  </r>
  <r>
    <s v="22/07/2025"/>
    <s v="23/07/2025"/>
    <x v="3"/>
    <s v="K tuin sistemas informati"/>
    <s v="Pago con tarjeta"/>
    <n v="-65.98"/>
    <s v="EUR"/>
    <n v="5170.78"/>
    <s v="EUR"/>
    <s v="4940197133530195 K TUIN SISTEMAS INFORMATIZARAGOZA     ES"/>
    <x v="13"/>
    <x v="1"/>
  </r>
  <r>
    <s v="19/07/2025"/>
    <s v="21/07/2025"/>
    <x v="3"/>
    <s v="Amazon prime*ry2tm9694"/>
    <s v="Pago con tarjeta"/>
    <n v="-49.9"/>
    <s v="EUR"/>
    <n v="5236.76"/>
    <s v="EUR"/>
    <s v="4940197133530195 Amazon Prime*RY2TM9694"/>
    <x v="31"/>
    <x v="1"/>
  </r>
  <r>
    <s v="19/07/2025"/>
    <s v="21/07/2025"/>
    <x v="3"/>
    <s v="Clarel"/>
    <s v="Pago con tarjeta"/>
    <n v="-4.6900000000000004"/>
    <s v="EUR"/>
    <n v="5286.66"/>
    <s v="EUR"/>
    <s v="4940197133530195 CLAREL                   SANTA COLOMA ES"/>
    <x v="11"/>
    <x v="5"/>
  </r>
  <r>
    <s v="19/07/2025"/>
    <s v="21/07/2025"/>
    <x v="3"/>
    <s v="Eva"/>
    <s v="Pago con tarjeta"/>
    <n v="-26"/>
    <s v="EUR"/>
    <n v="5291.35"/>
    <s v="EUR"/>
    <s v="4940197133530195 EVA                      STA COLOMA GRES"/>
    <x v="32"/>
    <x v="1"/>
  </r>
  <r>
    <s v="19/07/2025"/>
    <s v="21/07/2025"/>
    <x v="3"/>
    <s v="L'estanc del passeig"/>
    <s v="Pago con tarjeta"/>
    <n v="-6.75"/>
    <s v="EUR"/>
    <n v="5317.35"/>
    <s v="EUR"/>
    <s v="4940197133530195 L'ESTANC DEL PASSEIG     MALGRAT DE MAES"/>
    <x v="10"/>
    <x v="0"/>
  </r>
  <r>
    <s v="19/07/2025"/>
    <s v="21/07/2025"/>
    <x v="3"/>
    <s v="La santa"/>
    <s v="Pago con tarjeta"/>
    <n v="-5.05"/>
    <s v="EUR"/>
    <n v="5324.1"/>
    <s v="EUR"/>
    <s v="4940197133530195 LA SANTA                 SANTA COLOMA ES"/>
    <x v="4"/>
    <x v="1"/>
  </r>
  <r>
    <s v="18/07/2025"/>
    <s v="18/07/2025"/>
    <x v="3"/>
    <s v="Farmacia jordi bomcompte"/>
    <s v="Pago con tarjeta"/>
    <n v="-2.04"/>
    <s v="EUR"/>
    <n v="5329.15"/>
    <s v="EUR"/>
    <s v="4940197133530195 FARMACIA JORDI BOMCOMPTE SANTA COLOMA ES"/>
    <x v="9"/>
    <x v="6"/>
  </r>
  <r>
    <s v="18/07/2025"/>
    <s v="18/07/2025"/>
    <x v="3"/>
    <s v="Fruteria izquierdo"/>
    <s v="Pago con tarjeta"/>
    <n v="-4.0599999999999996"/>
    <s v="EUR"/>
    <n v="5331.19"/>
    <s v="EUR"/>
    <s v="4940197133530195 FRUTERIA IZQUIERDO       SANTA COLOMA ES"/>
    <x v="11"/>
    <x v="5"/>
  </r>
  <r>
    <s v="18/07/2025"/>
    <s v="18/07/2025"/>
    <x v="3"/>
    <s v="La botiga mes que gossos"/>
    <s v="Pago con tarjeta"/>
    <n v="-23.9"/>
    <s v="EUR"/>
    <n v="5335.25"/>
    <s v="EUR"/>
    <s v="4940197133530195 LA BOTIGA MES QUE GOSSOS SANTA COLOMA ES"/>
    <x v="7"/>
    <x v="5"/>
  </r>
  <r>
    <s v="14/07/2025"/>
    <s v="17/07/2025"/>
    <x v="3"/>
    <s v="Paypal *itunesappst apple"/>
    <s v="Pago con tarjeta"/>
    <n v="-2.99"/>
    <s v="EUR"/>
    <n v="5359.15"/>
    <s v="EUR"/>
    <s v="4940197133530195 PAYPAL *ITUNESAPPST APPLE"/>
    <x v="15"/>
    <x v="1"/>
  </r>
  <r>
    <s v="10/07/2025"/>
    <s v="17/07/2025"/>
    <x v="3"/>
    <s v="Vueling airlwlkw3q"/>
    <s v="Pago con tarjeta"/>
    <n v="185.54"/>
    <s v="EUR"/>
    <n v="5362.14"/>
    <s v="EUR"/>
    <s v="4940197133530195 Vueling AirlWLKW3Q"/>
    <x v="28"/>
    <x v="1"/>
  </r>
  <r>
    <s v="14/07/2025"/>
    <s v="16/07/2025"/>
    <x v="3"/>
    <s v="Glovo 14jul bnn6k4cl"/>
    <s v="Pago con tarjeta"/>
    <n v="-23.34"/>
    <s v="EUR"/>
    <n v="5176.6000000000004"/>
    <s v="EUR"/>
    <s v="4940197133530195 Glovo 14JUL BNN6K4CL"/>
    <x v="11"/>
    <x v="5"/>
  </r>
  <r>
    <s v="16/07/2025"/>
    <s v="16/07/2025"/>
    <x v="3"/>
    <s v="Cafeteria forn de pa dol"/>
    <s v="Pago con tarjeta"/>
    <n v="-3.2"/>
    <s v="EUR"/>
    <n v="5199.9399999999996"/>
    <s v="EUR"/>
    <s v="4940197133530195 CAFETERIA FORN DE PA DOL SANTA COLOMA ES"/>
    <x v="4"/>
    <x v="1"/>
  </r>
  <r>
    <s v="15/07/2025"/>
    <s v="15/07/2025"/>
    <x v="3"/>
    <s v="Brina"/>
    <s v="Pago con tarjeta"/>
    <n v="-6.8"/>
    <s v="EUR"/>
    <n v="5203.1400000000003"/>
    <s v="EUR"/>
    <s v="4940197133530195 BRINA                    BARCELONA    ES"/>
    <x v="4"/>
    <x v="1"/>
  </r>
  <r>
    <s v="15/07/2025"/>
    <s v="15/07/2025"/>
    <x v="3"/>
    <s v="Perfumeries san remo sl ("/>
    <s v="Pago con tarjeta"/>
    <n v="-8.5"/>
    <s v="EUR"/>
    <n v="5209.9399999999996"/>
    <s v="EUR"/>
    <s v="4940197133530195 PERFUMERIES SAN REMO SL (BARCELONA    ES"/>
    <x v="13"/>
    <x v="1"/>
  </r>
  <r>
    <s v="15/07/2025"/>
    <s v="15/07/2025"/>
    <x v="3"/>
    <s v="Santa gloria provenza 378"/>
    <s v="Pago con tarjeta"/>
    <n v="-4.8499999999999996"/>
    <s v="EUR"/>
    <n v="5218.4399999999996"/>
    <s v="EUR"/>
    <s v="4940197133530195 SANTA GLORIA PROVENZA 378BARCELONA    ES"/>
    <x v="4"/>
    <x v="1"/>
  </r>
  <r>
    <s v="10/07/2025"/>
    <s v="14/07/2025"/>
    <x v="3"/>
    <s v="Vueling airlwlkw3q"/>
    <s v="Pago con tarjeta"/>
    <n v="-185.54"/>
    <s v="EUR"/>
    <n v="5223.29"/>
    <s v="EUR"/>
    <s v="4940197133530195 Vueling AirlWLKW3Q"/>
    <x v="28"/>
    <x v="1"/>
  </r>
  <r>
    <s v="13/07/2025"/>
    <s v="14/07/2025"/>
    <x v="3"/>
    <s v="Vivari"/>
    <s v="Pago con tarjeta"/>
    <n v="-2"/>
    <s v="EUR"/>
    <n v="5408.83"/>
    <s v="EUR"/>
    <s v="4940197133530195 VIVARI                   SANTA COLOMA ES"/>
    <x v="4"/>
    <x v="1"/>
  </r>
  <r>
    <s v="12/07/2025"/>
    <s v="14/07/2025"/>
    <x v="3"/>
    <s v="Cerveceria thor"/>
    <s v="Pago con tarjeta"/>
    <n v="-11.45"/>
    <s v="EUR"/>
    <n v="5410.83"/>
    <s v="EUR"/>
    <s v="4940197133530195 CERVECERIA THOR          PLA, PASSATGEES"/>
    <x v="4"/>
    <x v="1"/>
  </r>
  <r>
    <s v="12/07/2025"/>
    <s v="14/07/2025"/>
    <x v="3"/>
    <s v="Grupo pfa espaãa"/>
    <s v="Pago con tarjeta"/>
    <n v="-3.48"/>
    <s v="EUR"/>
    <n v="5422.28"/>
    <s v="EUR"/>
    <s v="4940197133530195 GRUPO PFA ESPAAA         BARCELONA    ES"/>
    <x v="17"/>
    <x v="3"/>
  </r>
  <r>
    <s v="12/07/2025"/>
    <s v="14/07/2025"/>
    <x v="3"/>
    <s v="Expendiduria n.2"/>
    <s v="Pago con tarjeta"/>
    <n v="-6.3"/>
    <s v="EUR"/>
    <n v="5425.76"/>
    <s v="EUR"/>
    <s v="4940197133530195 EXPENDIDURIA N.2         SANTA COLOMA ES"/>
    <x v="10"/>
    <x v="0"/>
  </r>
  <r>
    <s v="11/07/2025"/>
    <s v="14/07/2025"/>
    <x v="3"/>
    <s v="Heladeria la jijonenca"/>
    <s v="Pago con tarjeta"/>
    <n v="-5.65"/>
    <s v="EUR"/>
    <n v="5432.06"/>
    <s v="EUR"/>
    <s v="4940197133530195 HELADERIA LA JIJONENCA   SANTA COLOMA ES"/>
    <x v="4"/>
    <x v="1"/>
  </r>
  <r>
    <s v="11/07/2025"/>
    <s v="11/07/2025"/>
    <x v="3"/>
    <s v="Consum b.gr.s.andreu"/>
    <s v="Pago con tarjeta"/>
    <n v="-38.36"/>
    <s v="EUR"/>
    <n v="5437.71"/>
    <s v="EUR"/>
    <s v="4940197133530195 CONSUM B.GR.S.ANDREU     BARCELONA    ES"/>
    <x v="11"/>
    <x v="5"/>
  </r>
  <r>
    <s v="10/07/2025"/>
    <s v="11/07/2025"/>
    <x v="3"/>
    <s v="Vueling airlines         el prat de lles"/>
    <s v="Compra: vueling airlines         el prat de lles"/>
    <n v="-185.54"/>
    <s v="EUR"/>
    <n v="5476.07"/>
    <s v="EUR"/>
    <s v="COMPRA: VUELING AIRLINES         EL PRAT DE LLES"/>
    <x v="28"/>
    <x v="1"/>
  </r>
  <r>
    <s v="09/07/2025"/>
    <s v="09/07/2025"/>
    <x v="3"/>
    <s v="Juana dog sant andreu pc1"/>
    <s v="Pago con tarjeta"/>
    <n v="-14.8"/>
    <s v="EUR"/>
    <n v="5661.61"/>
    <s v="EUR"/>
    <s v="4940197133530195 JUANA DOG SANT ANDREU PC1BARCELONA    ES"/>
    <x v="7"/>
    <x v="5"/>
  </r>
  <r>
    <s v="07/07/2025"/>
    <s v="09/07/2025"/>
    <x v="3"/>
    <s v="Zara.com"/>
    <s v="Pago con tarjeta"/>
    <n v="-40.869999999999997"/>
    <s v="EUR"/>
    <n v="5676.41"/>
    <s v="EUR"/>
    <s v="4940197133530195 Zara.com"/>
    <x v="13"/>
    <x v="1"/>
  </r>
  <r>
    <s v="09/07/2025"/>
    <s v="09/07/2025"/>
    <x v="3"/>
    <s v="Adeudo de vodafone"/>
    <s v="Adeudo nº 2025189001446603"/>
    <n v="-78.2"/>
    <s v="EUR"/>
    <n v="5717.28"/>
    <s v="EUR"/>
    <s v="N 2025189001446603 Vodafone Servicios, S.L.U.           CPVR"/>
    <x v="18"/>
    <x v="2"/>
  </r>
  <r>
    <s v="08/07/2025"/>
    <s v="08/07/2025"/>
    <x v="3"/>
    <s v="Biopassio"/>
    <s v="Pago con tarjeta"/>
    <n v="-5.57"/>
    <s v="EUR"/>
    <n v="5795.48"/>
    <s v="EUR"/>
    <s v="4940197133530195 BIOPASSIO                BARCELONA    ES"/>
    <x v="11"/>
    <x v="5"/>
  </r>
  <r>
    <s v="06/07/2025"/>
    <s v="08/07/2025"/>
    <x v="3"/>
    <s v="Deporvillage"/>
    <s v="Pago con tarjeta"/>
    <n v="-25.94"/>
    <s v="EUR"/>
    <n v="5801.05"/>
    <s v="EUR"/>
    <s v="4940197133530195 Deporvillage"/>
    <x v="13"/>
    <x v="1"/>
  </r>
  <r>
    <s v="06/07/2025"/>
    <s v="08/07/2025"/>
    <x v="3"/>
    <s v="Unipreus sl"/>
    <s v="Pago con tarjeta"/>
    <n v="-34.979999999999997"/>
    <s v="EUR"/>
    <n v="5826.99"/>
    <s v="EUR"/>
    <s v="4940197133530195 Unipreus SL"/>
    <x v="13"/>
    <x v="1"/>
  </r>
  <r>
    <s v="05/07/2025"/>
    <s v="07/07/2025"/>
    <x v="3"/>
    <s v="La botiga mes que gossos"/>
    <s v="Pago con tarjeta"/>
    <n v="-20.8"/>
    <s v="EUR"/>
    <n v="5861.97"/>
    <s v="EUR"/>
    <s v="4940197133530195 LA BOTIGA MES QUE GOSSOS"/>
    <x v="7"/>
    <x v="5"/>
  </r>
  <r>
    <s v="06/07/2025"/>
    <s v="07/07/2025"/>
    <x v="3"/>
    <s v="Bodega manelic"/>
    <s v="Pago con tarjeta"/>
    <n v="-2"/>
    <s v="EUR"/>
    <n v="5882.77"/>
    <s v="EUR"/>
    <s v="4940197133530195 BODEGA MANELIC           SANTA COLOMA ES"/>
    <x v="4"/>
    <x v="1"/>
  </r>
  <r>
    <s v="05/07/2025"/>
    <s v="07/07/2025"/>
    <x v="3"/>
    <s v="Cerveceria thor"/>
    <s v="Pago con tarjeta"/>
    <n v="-2.1"/>
    <s v="EUR"/>
    <n v="5884.77"/>
    <s v="EUR"/>
    <s v="4940197133530195 CERVECERIA THOR          SANTA COLOMA ES"/>
    <x v="4"/>
    <x v="1"/>
  </r>
  <r>
    <s v="05/07/2025"/>
    <s v="07/07/2025"/>
    <x v="3"/>
    <s v="Consum b.gr.s.andreu"/>
    <s v="Pago con tarjeta"/>
    <n v="-39.67"/>
    <s v="EUR"/>
    <n v="5886.87"/>
    <s v="EUR"/>
    <s v="4940197133530195 CONSUM B.GR.S.ANDREU     BARCELONA    ES"/>
    <x v="11"/>
    <x v="5"/>
  </r>
  <r>
    <s v="05/07/2025"/>
    <s v="07/07/2025"/>
    <x v="3"/>
    <s v="Eva"/>
    <s v="Pago con tarjeta"/>
    <n v="-18"/>
    <s v="EUR"/>
    <n v="5926.54"/>
    <s v="EUR"/>
    <s v="4940197133530195 EVA                      STA COLOMA GRES"/>
    <x v="32"/>
    <x v="1"/>
  </r>
  <r>
    <s v="05/07/2025"/>
    <s v="07/07/2025"/>
    <x v="3"/>
    <s v="Macxipa sant josep"/>
    <s v="Pago con tarjeta"/>
    <n v="-2.94"/>
    <s v="EUR"/>
    <n v="5944.54"/>
    <s v="EUR"/>
    <s v="4940197133530195 MACXIPA SANT JOSEP       STA. COLOMA  ES"/>
    <x v="4"/>
    <x v="1"/>
  </r>
  <r>
    <s v="04/07/2025"/>
    <s v="07/07/2025"/>
    <x v="3"/>
    <s v="Bar gavilan"/>
    <s v="Pago con tarjeta"/>
    <n v="-23.7"/>
    <s v="EUR"/>
    <n v="5947.48"/>
    <s v="EUR"/>
    <s v="4940197133530195 BAR GAVILAN              SANTA COLOMA ES"/>
    <x v="4"/>
    <x v="1"/>
  </r>
  <r>
    <s v="04/07/2025"/>
    <s v="07/07/2025"/>
    <x v="3"/>
    <s v="Bar gavilan"/>
    <s v="Pago con tarjeta"/>
    <n v="-3.9"/>
    <s v="EUR"/>
    <n v="5971.18"/>
    <s v="EUR"/>
    <s v="4940197133530195 BAR GAVILAN              SANTA COLOMA ES"/>
    <x v="4"/>
    <x v="1"/>
  </r>
  <r>
    <s v="02/07/2025"/>
    <s v="04/07/2025"/>
    <x v="3"/>
    <s v="Podimo aps"/>
    <s v="Pago con tarjeta"/>
    <n v="-0.99"/>
    <s v="EUR"/>
    <n v="5975.08"/>
    <s v="EUR"/>
    <s v="4940197133530195 Podimo ApS"/>
    <x v="19"/>
    <x v="1"/>
  </r>
  <r>
    <s v="04/07/2025"/>
    <s v="04/07/2025"/>
    <x v="3"/>
    <s v="Jomarcamps, s.l."/>
    <s v="Pago con tarjeta"/>
    <n v="-0.95"/>
    <s v="EUR"/>
    <n v="5976.07"/>
    <s v="EUR"/>
    <s v="4940197133530195 JOMARCAMPS, S.L.         STA. COLOMA DES"/>
    <x v="4"/>
    <x v="1"/>
  </r>
  <r>
    <s v="04/07/2025"/>
    <s v="04/07/2025"/>
    <x v="3"/>
    <s v="Bizum"/>
    <s v="Recibido: yule"/>
    <n v="72"/>
    <s v="EUR"/>
    <n v="5977.02"/>
    <s v="EUR"/>
    <s v="RECIBIDO: yule"/>
    <x v="20"/>
    <x v="1"/>
  </r>
  <r>
    <s v="05/07/2025"/>
    <s v="04/07/2025"/>
    <x v="3"/>
    <s v="Cuota mensual de fraccionamiento de gastos"/>
    <s v="Cuota préstamo"/>
    <n v="-92.48"/>
    <s v="EUR"/>
    <n v="5905.02"/>
    <s v="EUR"/>
    <s v="8123450000175812"/>
    <x v="23"/>
    <x v="3"/>
  </r>
  <r>
    <s v="04/07/2025"/>
    <s v="04/07/2025"/>
    <x v="3"/>
    <s v="Bbva plan estarseguro"/>
    <s v="Otros"/>
    <n v="-56.56"/>
    <s v="EUR"/>
    <n v="5997.5"/>
    <s v="EUR"/>
    <s v="BBVA PLAN ESTARSEGURO"/>
    <x v="21"/>
    <x v="3"/>
  </r>
  <r>
    <s v="03/07/2025"/>
    <s v="03/07/2025"/>
    <x v="3"/>
    <s v="Cred trinidad"/>
    <s v="Pago con tarjeta"/>
    <n v="-11"/>
    <s v="EUR"/>
    <n v="6054.06"/>
    <s v="EUR"/>
    <s v="4940197133530195 CRED TRINIDAD            BARCELONA    ES"/>
    <x v="14"/>
    <x v="7"/>
  </r>
  <r>
    <s v="03/07/2025"/>
    <s v="03/07/2025"/>
    <x v="3"/>
    <s v="Heladeria la jijonenca"/>
    <s v="Pago con tarjeta"/>
    <n v="-4.55"/>
    <s v="EUR"/>
    <n v="6065.06"/>
    <s v="EUR"/>
    <s v="4940197133530195 HELADERIA LA JIJONENCA   SANTA COLOMA ES"/>
    <x v="4"/>
    <x v="1"/>
  </r>
  <r>
    <s v="03/07/2025"/>
    <s v="03/07/2025"/>
    <x v="3"/>
    <s v="Adeudo ajuntament de barcelona"/>
    <s v="Adeudo nº 2025171000490986"/>
    <n v="-30.3"/>
    <s v="EUR"/>
    <n v="6069.61"/>
    <s v="EUR"/>
    <s v="N 2025171000490986 AJUNTAMENT DE BARCELONA"/>
    <x v="29"/>
    <x v="3"/>
  </r>
  <r>
    <s v="02/07/2025"/>
    <s v="03/07/2025"/>
    <x v="3"/>
    <s v="Bizum"/>
    <s v="Recibido: iphone mes de juliol"/>
    <n v="40"/>
    <s v="EUR"/>
    <n v="6099.91"/>
    <s v="EUR"/>
    <s v="RECIBIDO: iphone mes de juliol"/>
    <x v="18"/>
    <x v="2"/>
  </r>
  <r>
    <s v="01/07/2025"/>
    <s v="02/07/2025"/>
    <x v="3"/>
    <s v="Fundacion teaming"/>
    <s v="Pago con tarjeta"/>
    <n v="-9"/>
    <s v="EUR"/>
    <n v="6059.91"/>
    <s v="EUR"/>
    <s v="4940197133530195 FUNDACION TEAMING        SANT CUGAT DEES"/>
    <x v="24"/>
    <x v="0"/>
  </r>
  <r>
    <s v="01/07/2025"/>
    <s v="01/07/2025"/>
    <x v="3"/>
    <s v="Consum b.gr.s.andreu"/>
    <s v="Pago con tarjeta"/>
    <n v="-3.99"/>
    <s v="EUR"/>
    <n v="6068.91"/>
    <s v="EUR"/>
    <s v="4940197133530195 CONSUM B.GR.S.ANDREU     BARCELONA    ES"/>
    <x v="11"/>
    <x v="5"/>
  </r>
  <r>
    <s v="01/07/2025"/>
    <s v="01/07/2025"/>
    <x v="3"/>
    <s v="Brina"/>
    <s v="Pago con tarjeta"/>
    <n v="-6.8"/>
    <s v="EUR"/>
    <n v="6072.9"/>
    <s v="EUR"/>
    <s v="4940197133530195 BRINA                    BARCELONA    ES"/>
    <x v="4"/>
    <x v="1"/>
  </r>
  <r>
    <s v="01/07/2025"/>
    <s v="01/07/2025"/>
    <x v="3"/>
    <s v="Farm.ort reixach de pablo"/>
    <s v="Pago con tarjeta"/>
    <n v="-34.299999999999997"/>
    <s v="EUR"/>
    <n v="6079.7"/>
    <s v="EUR"/>
    <s v="4940197133530195 FARM.ORT REIXACH DE PABLOBARCELONA    ES"/>
    <x v="9"/>
    <x v="6"/>
  </r>
  <r>
    <s v="30/06/2025"/>
    <s v="01/07/2025"/>
    <x v="4"/>
    <s v="Netflix.com"/>
    <s v="Pago con tarjeta"/>
    <n v="-6.99"/>
    <s v="EUR"/>
    <n v="6114"/>
    <s v="EUR"/>
    <s v="4940197133530195 Netflix.com"/>
    <x v="1"/>
    <x v="1"/>
  </r>
  <r>
    <s v="01/07/2025"/>
    <s v="01/07/2025"/>
    <x v="3"/>
    <s v="Transferencia realizada"/>
    <s v="Patricia triano moto"/>
    <n v="-30"/>
    <s v="EUR"/>
    <n v="6120.99"/>
    <s v="EUR"/>
    <s v="PATRICIA TRIANO MOTO"/>
    <x v="25"/>
    <x v="7"/>
  </r>
  <r>
    <s v="01/07/2025"/>
    <s v="01/07/2025"/>
    <x v="3"/>
    <s v="Adeudo assessoria i finques fuster s.l."/>
    <s v="Adeudo nº 2025182000843548"/>
    <n v="-50"/>
    <s v="EUR"/>
    <n v="6150.99"/>
    <s v="EUR"/>
    <s v="N 2025182000843548 ASSESSORIA I FINQUES FUSTER S.L."/>
    <x v="26"/>
    <x v="3"/>
  </r>
  <r>
    <s v="01/07/2025"/>
    <s v="01/07/2025"/>
    <x v="3"/>
    <s v="Adeudo pilates 10 maragall"/>
    <s v="Adeudo nº 2025182000350644"/>
    <n v="-65"/>
    <s v="EUR"/>
    <n v="6200.99"/>
    <s v="EUR"/>
    <s v="N 2025182000350644 PILATES 10 Maragall"/>
    <x v="27"/>
    <x v="1"/>
  </r>
  <r>
    <s v="27/06/2025"/>
    <s v="30/06/2025"/>
    <x v="4"/>
    <s v="Casa del gusto"/>
    <s v="Pago con tarjeta"/>
    <n v="-14.84"/>
    <s v="EUR"/>
    <n v="6265.99"/>
    <s v="EUR"/>
    <s v="4940197133530195 CASA DEL GUSTO"/>
    <x v="4"/>
    <x v="1"/>
  </r>
  <r>
    <s v="28/06/2025"/>
    <s v="30/06/2025"/>
    <x v="4"/>
    <s v="Glovo 28jun b9mtnpn8"/>
    <s v="Pago con tarjeta"/>
    <n v="-52.24"/>
    <s v="EUR"/>
    <n v="6280.83"/>
    <s v="EUR"/>
    <s v="4940197133530195 Glovo 28JUN B9MTNPN8"/>
    <x v="11"/>
    <x v="5"/>
  </r>
  <r>
    <s v="30/06/2025"/>
    <s v="30/06/2025"/>
    <x v="4"/>
    <s v="Adeudo de aguas de barcelona"/>
    <s v="Adeudo nº 2025181003092033"/>
    <n v="-44.47"/>
    <s v="EUR"/>
    <n v="6333.07"/>
    <s v="EUR"/>
    <s v="N 2025181003092033 AIGUES DE BARCELONA"/>
    <x v="5"/>
    <x v="2"/>
  </r>
  <r>
    <s v="30/06/2025"/>
    <s v="30/06/2025"/>
    <x v="4"/>
    <s v="Cv sant andreu"/>
    <s v="Pago con tarjeta"/>
    <n v="-45"/>
    <s v="EUR"/>
    <n v="6377.54"/>
    <s v="EUR"/>
    <s v="4940197133530195 CV SANT ANDREU           BARCELONA    ES"/>
    <x v="7"/>
    <x v="5"/>
  </r>
  <r>
    <s v="30/06/2025"/>
    <s v="30/06/2025"/>
    <x v="4"/>
    <s v="Adeudo de endesa"/>
    <s v="Adeudo nº 2025178003440953"/>
    <n v="-52.62"/>
    <s v="EUR"/>
    <n v="6422.54"/>
    <s v="EUR"/>
    <s v="N 2025178003440953 ENERGIA XXI                          CPVR"/>
    <x v="2"/>
    <x v="2"/>
  </r>
  <r>
    <s v="30/06/2025"/>
    <s v="30/06/2025"/>
    <x v="4"/>
    <s v="Cargo por amortizacion de prestamo/credito"/>
    <s v=""/>
    <n v="-431.42"/>
    <s v="EUR"/>
    <n v="6475.16"/>
    <s v="EUR"/>
    <s v="0182-3247-22-0830147409"/>
    <x v="3"/>
    <x v="3"/>
  </r>
  <r>
    <s v="29/06/2025"/>
    <s v="30/06/2025"/>
    <x v="4"/>
    <s v="Expendeduria n. 8"/>
    <s v="Pago con tarjeta"/>
    <n v="-7.4"/>
    <s v="EUR"/>
    <n v="6906.58"/>
    <s v="EUR"/>
    <s v="4940197133530195 EXPENDEDURIA N. 8        STA COLOMA GRES"/>
    <x v="10"/>
    <x v="0"/>
  </r>
  <r>
    <s v="28/06/2025"/>
    <s v="30/06/2025"/>
    <x v="4"/>
    <s v="Ret. efectivo  a debito con tarj. en cajero. aut."/>
    <s v="Otros"/>
    <n v="-20"/>
    <s v="EUR"/>
    <n v="6913.98"/>
    <s v="EUR"/>
    <s v="4940197133530195 01820835 999"/>
    <x v="20"/>
    <x v="1"/>
  </r>
  <r>
    <s v="28/06/2025"/>
    <s v="30/06/2025"/>
    <x v="4"/>
    <s v="Pastisseria glass"/>
    <s v="Pago con tarjeta"/>
    <n v="-32"/>
    <s v="EUR"/>
    <n v="6933.98"/>
    <s v="EUR"/>
    <s v="4940197133530195 PASTISSERIA GLASS        SANTA COLOMA ES"/>
    <x v="4"/>
    <x v="1"/>
  </r>
  <r>
    <s v="28/06/2025"/>
    <s v="30/06/2025"/>
    <x v="4"/>
    <s v="Delicatessen argentina"/>
    <s v="Pago con tarjeta"/>
    <n v="-16.7"/>
    <s v="EUR"/>
    <n v="6965.98"/>
    <s v="EUR"/>
    <s v="4940197133530195 DELICATESSEN ARGENTINA   BARCELONA    ES"/>
    <x v="4"/>
    <x v="1"/>
  </r>
  <r>
    <s v="27/06/2025"/>
    <s v="27/06/2025"/>
    <x v="4"/>
    <s v="Suca'l sant andreu"/>
    <s v="Pago con tarjeta"/>
    <n v="-5.85"/>
    <s v="EUR"/>
    <n v="6982.68"/>
    <s v="EUR"/>
    <s v="4940197133530195 SUCA'L SANT ANDREU       BARCELONA    ES"/>
    <x v="4"/>
    <x v="1"/>
  </r>
  <r>
    <s v="27/06/2025"/>
    <s v="27/06/2025"/>
    <x v="4"/>
    <s v="Gasch xarcuters sl"/>
    <s v="Pago con tarjeta"/>
    <n v="-41.56"/>
    <s v="EUR"/>
    <n v="6988.53"/>
    <s v="EUR"/>
    <s v="4940197133530195 GASCH XARCUTERS SL       BARCELONA    ES"/>
    <x v="11"/>
    <x v="5"/>
  </r>
  <r>
    <s v="27/06/2025"/>
    <s v="27/06/2025"/>
    <x v="4"/>
    <s v="Varios servicio c. loterias"/>
    <s v="Otros"/>
    <n v="-10"/>
    <s v="EUR"/>
    <n v="7030.09"/>
    <s v="EUR"/>
    <s v="4940197133530195 TULOTERO                 MADRID       ES"/>
    <x v="22"/>
    <x v="1"/>
  </r>
  <r>
    <s v="24/06/2025"/>
    <s v="27/06/2025"/>
    <x v="4"/>
    <s v="Amazon* yw5xq8z45"/>
    <s v="Pago con tarjeta"/>
    <n v="-40.799999999999997"/>
    <s v="EUR"/>
    <n v="7040.09"/>
    <s v="EUR"/>
    <s v="4940197133530195 AMAZON* YW5XQ8Z45"/>
    <x v="13"/>
    <x v="1"/>
  </r>
  <r>
    <s v="27/06/2025"/>
    <s v="27/06/2025"/>
    <x v="4"/>
    <s v="Abono de nómina"/>
    <s v="Transferencia nomina"/>
    <n v="1867.53"/>
    <s v="EUR"/>
    <n v="7080.89"/>
    <s v="EUR"/>
    <s v="Transferencia nomina"/>
    <x v="6"/>
    <x v="4"/>
  </r>
  <r>
    <s v="27/06/2025"/>
    <s v="27/06/2025"/>
    <x v="4"/>
    <s v="T mobilitat. app"/>
    <s v="Pago con tarjeta"/>
    <n v="-12.55"/>
    <s v="EUR"/>
    <n v="5213.3599999999997"/>
    <s v="EUR"/>
    <s v="4940197133530195 T MOBILITAT. APP         HOSPITALET DEES"/>
    <x v="0"/>
    <x v="0"/>
  </r>
  <r>
    <s v="27/06/2025"/>
    <s v="27/06/2025"/>
    <x v="4"/>
    <s v="El raco del cafe"/>
    <s v="Pago con tarjeta"/>
    <n v="-5.75"/>
    <s v="EUR"/>
    <n v="5225.91"/>
    <s v="EUR"/>
    <s v="4940197133530195 EL RACO DEL CAFE         SANTA COLOMA ES"/>
    <x v="4"/>
    <x v="1"/>
  </r>
  <r>
    <s v="26/06/2025"/>
    <s v="26/06/2025"/>
    <x v="4"/>
    <s v="Swing"/>
    <s v="Pago con tarjeta"/>
    <n v="-22.99"/>
    <s v="EUR"/>
    <n v="5231.66"/>
    <s v="EUR"/>
    <s v="4940197133530195 SWING                    SANTA COLOMA ES"/>
    <x v="13"/>
    <x v="1"/>
  </r>
  <r>
    <s v="26/06/2025"/>
    <s v="26/06/2025"/>
    <x v="4"/>
    <s v="Bodega manelic"/>
    <s v="Pago con tarjeta"/>
    <n v="-2"/>
    <s v="EUR"/>
    <n v="5254.65"/>
    <s v="EUR"/>
    <s v="4940197133530195 BODEGA MANELIC           SANTA COLOMA ES"/>
    <x v="4"/>
    <x v="1"/>
  </r>
  <r>
    <s v="26/06/2025"/>
    <s v="26/06/2025"/>
    <x v="4"/>
    <s v="La font"/>
    <s v="Pago con tarjeta"/>
    <n v="-3.5"/>
    <s v="EUR"/>
    <n v="5256.65"/>
    <s v="EUR"/>
    <s v="4940197133530195 LA FONT                  BARCELONA    ES"/>
    <x v="4"/>
    <x v="1"/>
  </r>
  <r>
    <s v="26/06/2025"/>
    <s v="26/06/2025"/>
    <x v="4"/>
    <s v="Estanc 160"/>
    <s v="Pago con tarjeta"/>
    <n v="-1.3"/>
    <s v="EUR"/>
    <n v="5260.15"/>
    <s v="EUR"/>
    <s v="4940197133530195 ESTANC 160               BARCELONA    ES"/>
    <x v="10"/>
    <x v="0"/>
  </r>
  <r>
    <s v="25/06/2025"/>
    <s v="25/06/2025"/>
    <x v="4"/>
    <s v="Ret. efectivo  a debito con tarj. en cajero. aut."/>
    <s v="Otros"/>
    <n v="-40"/>
    <s v="EUR"/>
    <n v="5261.45"/>
    <s v="EUR"/>
    <s v="4940197133530195 01822392 999"/>
    <x v="20"/>
    <x v="1"/>
  </r>
  <r>
    <s v="25/06/2025"/>
    <s v="25/06/2025"/>
    <x v="4"/>
    <s v="Farmacia reixach - de pab"/>
    <s v="Pago con tarjeta"/>
    <n v="-1.22"/>
    <s v="EUR"/>
    <n v="5301.45"/>
    <s v="EUR"/>
    <s v="4940197133530195 FARMACIA REIXACH - DE PABBARCELONA    ES"/>
    <x v="9"/>
    <x v="6"/>
  </r>
  <r>
    <s v="23/06/2025"/>
    <s v="25/06/2025"/>
    <x v="4"/>
    <s v="Pp*spotify*p37ed1a58b"/>
    <s v="Pago con tarjeta"/>
    <n v="-10.99"/>
    <s v="EUR"/>
    <n v="5302.67"/>
    <s v="EUR"/>
    <s v="4940197133530195 PP*SPOTIFY*P37ED1A58B"/>
    <x v="8"/>
    <x v="1"/>
  </r>
  <r>
    <s v="24/06/2025"/>
    <s v="24/06/2025"/>
    <x v="4"/>
    <s v="Condis supermercat"/>
    <s v="Pago con tarjeta"/>
    <n v="-2.98"/>
    <s v="EUR"/>
    <n v="5313.66"/>
    <s v="EUR"/>
    <s v="4940197133530195 CONDIS SUPERMERCAT       STA. COLOMA DES"/>
    <x v="11"/>
    <x v="5"/>
  </r>
  <r>
    <s v="23/06/2025"/>
    <s v="23/06/2025"/>
    <x v="4"/>
    <s v="Brillant santa coloma s.l"/>
    <s v="Pago con tarjeta"/>
    <n v="-8.74"/>
    <s v="EUR"/>
    <n v="5316.64"/>
    <s v="EUR"/>
    <s v="4940197133530195 BRILLANT SANTA COLOMA S.LSANTA COLOMA ES"/>
    <x v="17"/>
    <x v="3"/>
  </r>
  <r>
    <s v="19/06/2025"/>
    <s v="23/06/2025"/>
    <x v="4"/>
    <s v="Amazon* 3z36h67r5"/>
    <s v="Pago con tarjeta"/>
    <n v="-18.989999999999998"/>
    <s v="EUR"/>
    <n v="5325.38"/>
    <s v="EUR"/>
    <s v="4940197133530195 AMAZON* 3Z36H67R5"/>
    <x v="13"/>
    <x v="1"/>
  </r>
  <r>
    <s v="22/06/2025"/>
    <s v="23/06/2025"/>
    <x v="4"/>
    <s v="J. sirvent"/>
    <s v="Pago con tarjeta"/>
    <n v="-6.55"/>
    <s v="EUR"/>
    <n v="5344.37"/>
    <s v="EUR"/>
    <s v="4940197133530195 J. SIRVENT               SANTA COLOMA ES"/>
    <x v="4"/>
    <x v="1"/>
  </r>
  <r>
    <s v="22/06/2025"/>
    <s v="23/06/2025"/>
    <x v="4"/>
    <s v="Bar perros al agua"/>
    <s v="Pago con tarjeta"/>
    <n v="-2.9"/>
    <s v="EUR"/>
    <n v="5350.92"/>
    <s v="EUR"/>
    <s v="4940197133530195 BAR PERROS AL AGUA       MATARO       ES"/>
    <x v="4"/>
    <x v="1"/>
  </r>
  <r>
    <s v="22/06/2025"/>
    <s v="23/06/2025"/>
    <x v="4"/>
    <s v="Bar perros al agua"/>
    <s v="Pago con tarjeta"/>
    <n v="-21.5"/>
    <s v="EUR"/>
    <n v="5353.82"/>
    <s v="EUR"/>
    <s v="4940197133530195 BAR PERROS AL AGUA       MATARO       ES"/>
    <x v="4"/>
    <x v="1"/>
  </r>
  <r>
    <s v="22/06/2025"/>
    <s v="23/06/2025"/>
    <x v="4"/>
    <s v="Petslovers"/>
    <s v="Pago con tarjeta"/>
    <n v="-14.95"/>
    <s v="EUR"/>
    <n v="5375.32"/>
    <s v="EUR"/>
    <s v="4940197133530195 PETSLOVERS               RUBI         ES"/>
    <x v="7"/>
    <x v="5"/>
  </r>
  <r>
    <s v="22/06/2025"/>
    <s v="23/06/2025"/>
    <x v="4"/>
    <s v="Macxipa sant josep"/>
    <s v="Pago con tarjeta"/>
    <n v="-2.77"/>
    <s v="EUR"/>
    <n v="5390.27"/>
    <s v="EUR"/>
    <s v="4940197133530195 MACXIPA SANT JOSEP       STA. COLOMA  ES"/>
    <x v="4"/>
    <x v="1"/>
  </r>
  <r>
    <s v="21/06/2025"/>
    <s v="23/06/2025"/>
    <x v="4"/>
    <s v="Port de mataro"/>
    <s v="Pago con tarjeta"/>
    <n v="-6.6"/>
    <s v="EUR"/>
    <n v="5393.04"/>
    <s v="EUR"/>
    <s v="4940197133530195 PORT DE MATARO           MATARO       ES"/>
    <x v="4"/>
    <x v="1"/>
  </r>
  <r>
    <s v="21/06/2025"/>
    <s v="23/06/2025"/>
    <x v="4"/>
    <s v="Chiringuito neptuno"/>
    <s v="Pago con tarjeta"/>
    <n v="-5.7"/>
    <s v="EUR"/>
    <n v="5399.64"/>
    <s v="EUR"/>
    <s v="4940197133530195 CHIRINGUITO NEPTUNO      MATARO       ES"/>
    <x v="4"/>
    <x v="1"/>
  </r>
  <r>
    <s v="21/06/2025"/>
    <s v="23/06/2025"/>
    <x v="4"/>
    <s v="Vivari"/>
    <s v="Pago con tarjeta"/>
    <n v="-6.3"/>
    <s v="EUR"/>
    <n v="5405.34"/>
    <s v="EUR"/>
    <s v="4940197133530195 VIVARI                   SANTA COLOMA ES"/>
    <x v="4"/>
    <x v="1"/>
  </r>
  <r>
    <s v="21/06/2025"/>
    <s v="23/06/2025"/>
    <x v="4"/>
    <s v="Bellmore"/>
    <s v="Pago con tarjeta"/>
    <n v="-2.9"/>
    <s v="EUR"/>
    <n v="5411.64"/>
    <s v="EUR"/>
    <s v="4940197133530195 BELLMORE                 BARCELONA    ES"/>
    <x v="4"/>
    <x v="1"/>
  </r>
  <r>
    <s v="20/06/2025"/>
    <s v="23/06/2025"/>
    <x v="4"/>
    <s v="J. sirvent"/>
    <s v="Pago con tarjeta"/>
    <n v="-4.55"/>
    <s v="EUR"/>
    <n v="5414.54"/>
    <s v="EUR"/>
    <s v="4940197133530195 J. SIRVENT               SANTA COLOMA ES"/>
    <x v="4"/>
    <x v="1"/>
  </r>
  <r>
    <s v="19/06/2025"/>
    <s v="19/06/2025"/>
    <x v="4"/>
    <s v="Consum b.gr.s.andreu"/>
    <s v="Pago con tarjeta"/>
    <n v="-41.72"/>
    <s v="EUR"/>
    <n v="5419.09"/>
    <s v="EUR"/>
    <s v="4940197133530195 CONSUM B.GR.S.ANDREU     BARCELONA    ES"/>
    <x v="11"/>
    <x v="5"/>
  </r>
  <r>
    <s v="19/06/2025"/>
    <s v="19/06/2025"/>
    <x v="4"/>
    <s v="Lidl bcn-gran de st an"/>
    <s v="Pago con tarjeta"/>
    <n v="-16.25"/>
    <s v="EUR"/>
    <n v="5460.81"/>
    <s v="EUR"/>
    <s v="4940197133530195 LIDL BCN-GRAN DE ST AN   BARCELONA    ES"/>
    <x v="11"/>
    <x v="5"/>
  </r>
  <r>
    <s v="19/06/2025"/>
    <s v="19/06/2025"/>
    <x v="4"/>
    <s v="Pastisseria aveda"/>
    <s v="Pago con tarjeta"/>
    <n v="-23"/>
    <s v="EUR"/>
    <n v="5477.06"/>
    <s v="EUR"/>
    <s v="4940197133530195 PASTISSERIA AVEDA        BARCELONA    ES"/>
    <x v="13"/>
    <x v="1"/>
  </r>
  <r>
    <s v="18/06/2025"/>
    <s v="18/06/2025"/>
    <x v="4"/>
    <s v="Cafeteria forn de pa dol"/>
    <s v="Pago con tarjeta"/>
    <n v="-3.6"/>
    <s v="EUR"/>
    <n v="5500.06"/>
    <s v="EUR"/>
    <s v="4940197133530195 CAFETERIA FORN DE PA DOL SANTA COLOMA ES"/>
    <x v="4"/>
    <x v="1"/>
  </r>
  <r>
    <s v="18/06/2025"/>
    <s v="18/06/2025"/>
    <x v="4"/>
    <s v="Fruteria izquierdo"/>
    <s v="Pago con tarjeta"/>
    <n v="-4.0599999999999996"/>
    <s v="EUR"/>
    <n v="5503.66"/>
    <s v="EUR"/>
    <s v="4940197133530195 FRUTERIA IZQUIERDO       SANTA COLOMA ES"/>
    <x v="11"/>
    <x v="5"/>
  </r>
  <r>
    <s v="18/06/2025"/>
    <s v="18/06/2025"/>
    <x v="4"/>
    <s v="Bar gavilan"/>
    <s v="Pago con tarjeta"/>
    <n v="-13.3"/>
    <s v="EUR"/>
    <n v="5507.72"/>
    <s v="EUR"/>
    <s v="4940197133530195 BAR GAVILAN              SANTA COLOMA ES"/>
    <x v="4"/>
    <x v="1"/>
  </r>
  <r>
    <s v="17/06/2025"/>
    <s v="17/06/2025"/>
    <x v="4"/>
    <s v="Brina"/>
    <s v="Pago con tarjeta"/>
    <n v="-6.8"/>
    <s v="EUR"/>
    <n v="5521.02"/>
    <s v="EUR"/>
    <s v="4940197133530195 BRINA                    BARCELONA    ES"/>
    <x v="4"/>
    <x v="1"/>
  </r>
  <r>
    <s v="17/06/2025"/>
    <s v="17/06/2025"/>
    <x v="4"/>
    <s v="Biopassio"/>
    <s v="Pago con tarjeta"/>
    <n v="-2.95"/>
    <s v="EUR"/>
    <n v="5527.82"/>
    <s v="EUR"/>
    <s v="4940197133530195 BIOPASSIO                BARCELONA    ES"/>
    <x v="11"/>
    <x v="5"/>
  </r>
  <r>
    <s v="17/06/2025"/>
    <s v="17/06/2025"/>
    <x v="4"/>
    <s v="L estanc de la merce"/>
    <s v="Pago con tarjeta"/>
    <n v="-8"/>
    <s v="EUR"/>
    <n v="5530.77"/>
    <s v="EUR"/>
    <s v="4940197133530195 L ESTANC DE LA MERCE     BARCELONA    ES"/>
    <x v="10"/>
    <x v="0"/>
  </r>
  <r>
    <s v="14/06/2025"/>
    <s v="17/06/2025"/>
    <x v="4"/>
    <s v="Paypal *itunesappst apple"/>
    <s v="Pago con tarjeta"/>
    <n v="-2.99"/>
    <s v="EUR"/>
    <n v="5538.77"/>
    <s v="EUR"/>
    <s v="4940197133530195 PAYPAL *ITUNESAPPST APPLE"/>
    <x v="15"/>
    <x v="1"/>
  </r>
  <r>
    <s v="15/06/2025"/>
    <s v="16/06/2025"/>
    <x v="4"/>
    <s v="J. sirvent"/>
    <s v="Pago con tarjeta"/>
    <n v="-6.5"/>
    <s v="EUR"/>
    <n v="5541.76"/>
    <s v="EUR"/>
    <s v="4940197133530195 J. SIRVENT               SANTA COLOMA ES"/>
    <x v="4"/>
    <x v="1"/>
  </r>
  <r>
    <s v="15/06/2025"/>
    <s v="16/06/2025"/>
    <x v="4"/>
    <s v="Macxipa sant josep"/>
    <s v="Pago con tarjeta"/>
    <n v="-4.26"/>
    <s v="EUR"/>
    <n v="5548.26"/>
    <s v="EUR"/>
    <s v="4940197133530195 MACXIPA SANT JOSEP       STA. COLOMA  ES"/>
    <x v="4"/>
    <x v="1"/>
  </r>
  <r>
    <s v="14/06/2025"/>
    <s v="16/06/2025"/>
    <x v="4"/>
    <s v="Bizum"/>
    <s v="Enviado: regal veli"/>
    <n v="-26"/>
    <s v="EUR"/>
    <n v="5552.52"/>
    <s v="EUR"/>
    <s v="ENVIADO: Regal Veli"/>
    <x v="12"/>
    <x v="4"/>
  </r>
  <r>
    <s v="14/06/2025"/>
    <s v="16/06/2025"/>
    <x v="4"/>
    <s v="Miscota santa coloma de g"/>
    <s v="Pago con tarjeta"/>
    <n v="-23.69"/>
    <s v="EUR"/>
    <n v="5578.52"/>
    <s v="EUR"/>
    <s v="4940197133530195 MISCOTA SANTA COLOMA DE GSTA. COLOMA DES"/>
    <x v="7"/>
    <x v="5"/>
  </r>
  <r>
    <s v="14/06/2025"/>
    <s v="16/06/2025"/>
    <x v="4"/>
    <s v="Eva"/>
    <s v="Pago con tarjeta"/>
    <n v="-49"/>
    <s v="EUR"/>
    <n v="5602.21"/>
    <s v="EUR"/>
    <s v="4940197133530195 EVA                      STA COLOMA GRES"/>
    <x v="32"/>
    <x v="1"/>
  </r>
  <r>
    <s v="14/06/2025"/>
    <s v="16/06/2025"/>
    <x v="4"/>
    <s v="Cred trinidad"/>
    <s v="Pago con tarjeta"/>
    <n v="-11.86"/>
    <s v="EUR"/>
    <n v="5651.21"/>
    <s v="EUR"/>
    <s v="4940197133530195 CRED TRINIDAD            BARCELONA    ES"/>
    <x v="14"/>
    <x v="7"/>
  </r>
  <r>
    <s v="14/06/2025"/>
    <s v="16/06/2025"/>
    <x v="4"/>
    <s v="Farmacia jordi bomcompte"/>
    <s v="Pago con tarjeta"/>
    <n v="-83.84"/>
    <s v="EUR"/>
    <n v="5663.07"/>
    <s v="EUR"/>
    <s v="4940197133530195 FARMACIA JORDI BOMCOMPTE SANTA COLOMA ES"/>
    <x v="9"/>
    <x v="6"/>
  </r>
  <r>
    <s v="11/06/2025"/>
    <s v="13/06/2025"/>
    <x v="4"/>
    <s v="Privalia"/>
    <s v="Pago con tarjeta"/>
    <n v="-61.95"/>
    <s v="EUR"/>
    <n v="5746.91"/>
    <s v="EUR"/>
    <s v="4940197133530195 PRIVALIA"/>
    <x v="13"/>
    <x v="1"/>
  </r>
  <r>
    <s v="13/06/2025"/>
    <s v="13/06/2025"/>
    <x v="4"/>
    <s v="Abono por fraccionamiento de gastos"/>
    <s v="Abono capital préstamo"/>
    <n v="272.55"/>
    <s v="EUR"/>
    <n v="5808.86"/>
    <s v="EUR"/>
    <s v="8123450000175812 01827013 908"/>
    <x v="23"/>
    <x v="3"/>
  </r>
  <r>
    <s v="12/06/2025"/>
    <s v="12/06/2025"/>
    <x v="4"/>
    <s v="Festival sonar dia"/>
    <s v="Pago con tarjeta"/>
    <n v="-100"/>
    <s v="EUR"/>
    <n v="5536.31"/>
    <s v="EUR"/>
    <s v="4940197133530195 FESTIVAL SONAR DIA       BARCELONA    ES"/>
    <x v="16"/>
    <x v="1"/>
  </r>
  <r>
    <s v="12/06/2025"/>
    <s v="12/06/2025"/>
    <x v="4"/>
    <s v="Bizum"/>
    <s v="Enviado: sonar"/>
    <n v="-110"/>
    <s v="EUR"/>
    <n v="5636.31"/>
    <s v="EUR"/>
    <s v="ENVIADO: Sonar"/>
    <x v="12"/>
    <x v="4"/>
  </r>
  <r>
    <s v="10/06/2025"/>
    <s v="10/06/2025"/>
    <x v="4"/>
    <s v="Kiwoko sant andreu"/>
    <s v="Pago con tarjeta"/>
    <n v="-32.68"/>
    <s v="EUR"/>
    <n v="5746.31"/>
    <s v="EUR"/>
    <s v="4940197133530195 KIWOKO SANT ANDREU       BARCELONA    ES"/>
    <x v="7"/>
    <x v="5"/>
  </r>
  <r>
    <s v="10/06/2025"/>
    <s v="10/06/2025"/>
    <x v="4"/>
    <s v="Ret. efectivo  a debito con tarj. en cajero. aut."/>
    <s v="Otros"/>
    <n v="-20"/>
    <s v="EUR"/>
    <n v="5778.99"/>
    <s v="EUR"/>
    <s v="4940197133530195 01821025 999"/>
    <x v="20"/>
    <x v="1"/>
  </r>
  <r>
    <s v="10/06/2025"/>
    <s v="10/06/2025"/>
    <x v="4"/>
    <s v="Brina"/>
    <s v="Pago con tarjeta"/>
    <n v="-3.1"/>
    <s v="EUR"/>
    <n v="5798.99"/>
    <s v="EUR"/>
    <s v="4940197133530195 BRINA                    BARCELONA    ES"/>
    <x v="4"/>
    <x v="1"/>
  </r>
  <r>
    <s v="10/06/2025"/>
    <s v="10/06/2025"/>
    <x v="4"/>
    <s v="Biopassio"/>
    <s v="Pago con tarjeta"/>
    <n v="-6.1"/>
    <s v="EUR"/>
    <n v="5802.09"/>
    <s v="EUR"/>
    <s v="4940197133530195 BIOPASSIO                BARCELONA    ES"/>
    <x v="11"/>
    <x v="5"/>
  </r>
  <r>
    <s v="10/06/2025"/>
    <s v="10/06/2025"/>
    <x v="4"/>
    <s v="Adeudo de vodafone"/>
    <s v="Adeudo nº 2025157001531593"/>
    <n v="-78.2"/>
    <s v="EUR"/>
    <n v="5808.19"/>
    <s v="EUR"/>
    <s v="N 2025157001531593 Vodafone                             CPVR"/>
    <x v="18"/>
    <x v="2"/>
  </r>
  <r>
    <s v="08/06/2025"/>
    <s v="09/06/2025"/>
    <x v="4"/>
    <s v="Farmacia jordi bomcompte"/>
    <s v="Pago con tarjeta"/>
    <n v="-172.55"/>
    <s v="EUR"/>
    <n v="5886.39"/>
    <s v="EUR"/>
    <s v="4940197133530195 FARMACIA JORDI BOMCOMPTE SANTA COLOMA ES"/>
    <x v="9"/>
    <x v="6"/>
  </r>
  <r>
    <s v="08/06/2025"/>
    <s v="09/06/2025"/>
    <x v="4"/>
    <s v="El trebol"/>
    <s v="Pago con tarjeta"/>
    <n v="-9.4"/>
    <s v="EUR"/>
    <n v="6058.94"/>
    <s v="EUR"/>
    <s v="4940197133530195 EL TREBOL                SANTA COLOMA ES"/>
    <x v="4"/>
    <x v="1"/>
  </r>
  <r>
    <s v="07/06/2025"/>
    <s v="09/06/2025"/>
    <x v="4"/>
    <s v="Bar bitacora"/>
    <s v="Pago con tarjeta"/>
    <n v="-2.5"/>
    <s v="EUR"/>
    <n v="6068.34"/>
    <s v="EUR"/>
    <s v="4940197133530195 BAR BITACORA             BARCELONA    ES"/>
    <x v="4"/>
    <x v="1"/>
  </r>
  <r>
    <s v="07/06/2025"/>
    <s v="09/06/2025"/>
    <x v="4"/>
    <s v="Smyrna"/>
    <s v="Pago con tarjeta"/>
    <n v="-3.3"/>
    <s v="EUR"/>
    <n v="6070.84"/>
    <s v="EUR"/>
    <s v="4940197133530195 SMYRNA                   BARCELONA    ES"/>
    <x v="16"/>
    <x v="1"/>
  </r>
  <r>
    <s v="07/06/2025"/>
    <s v="09/06/2025"/>
    <x v="4"/>
    <s v="Consum b.gr.s.andreu"/>
    <s v="Pago con tarjeta"/>
    <n v="-59.06"/>
    <s v="EUR"/>
    <n v="6074.14"/>
    <s v="EUR"/>
    <s v="4940197133530195 CONSUM B.GR.S.ANDREU     BARCELONA    ES"/>
    <x v="11"/>
    <x v="5"/>
  </r>
  <r>
    <s v="07/06/2025"/>
    <s v="09/06/2025"/>
    <x v="4"/>
    <s v="Bellmore"/>
    <s v="Pago con tarjeta"/>
    <n v="-2.9"/>
    <s v="EUR"/>
    <n v="6133.2"/>
    <s v="EUR"/>
    <s v="4940197133530195 BELLMORE                 BARCELONA    ES"/>
    <x v="4"/>
    <x v="1"/>
  </r>
  <r>
    <s v="06/06/2025"/>
    <s v="06/06/2025"/>
    <x v="4"/>
    <s v="Carobels"/>
    <s v="Pago con tarjeta"/>
    <n v="-4.59"/>
    <s v="EUR"/>
    <n v="6136.1"/>
    <s v="EUR"/>
    <s v="4940197133530195 CAROBELS                 SANTA COLOMA ES"/>
    <x v="13"/>
    <x v="1"/>
  </r>
  <r>
    <s v="03/06/2025"/>
    <s v="05/06/2025"/>
    <x v="4"/>
    <s v="Casa del gusto"/>
    <s v="Pago con tarjeta"/>
    <n v="-17.78"/>
    <s v="EUR"/>
    <n v="6140.69"/>
    <s v="EUR"/>
    <s v="4940197133530195 CASA DEL GUSTO"/>
    <x v="4"/>
    <x v="1"/>
  </r>
  <r>
    <s v="05/06/2025"/>
    <s v="05/06/2025"/>
    <x v="4"/>
    <s v="Adeudo assessoria i finques fuster s.l."/>
    <s v="Adeudo nº 2025156000902931"/>
    <n v="-50"/>
    <s v="EUR"/>
    <n v="6158.47"/>
    <s v="EUR"/>
    <s v="N 2025156000902931 ASSESSORIA I FINQUES FUSTER S.L."/>
    <x v="26"/>
    <x v="3"/>
  </r>
  <r>
    <s v="05/06/2025"/>
    <s v="05/06/2025"/>
    <x v="4"/>
    <s v="Adeudo de endesa"/>
    <s v="Adeudo nº 2025155002037956"/>
    <n v="-50.75"/>
    <s v="EUR"/>
    <n v="6208.47"/>
    <s v="EUR"/>
    <s v="N 2025155002037956 ENERGIA XXI                          CPVR"/>
    <x v="2"/>
    <x v="2"/>
  </r>
  <r>
    <s v="04/06/2025"/>
    <s v="04/06/2025"/>
    <x v="4"/>
    <s v="Bar cafeteria"/>
    <s v="Pago con tarjeta"/>
    <n v="-3.7"/>
    <s v="EUR"/>
    <n v="6259.22"/>
    <s v="EUR"/>
    <s v="4940197133530195 BAR CAFETERIA            SANTA COLOMA ES"/>
    <x v="4"/>
    <x v="1"/>
  </r>
  <r>
    <s v="04/06/2025"/>
    <s v="04/06/2025"/>
    <x v="4"/>
    <s v="El molino sabor de mi col"/>
    <s v="Pago con tarjeta"/>
    <n v="-2.4"/>
    <s v="EUR"/>
    <n v="6262.92"/>
    <s v="EUR"/>
    <s v="4940197133530195 EL MOLINO SABOR DE MI COLSANTA COLOMA ES"/>
    <x v="4"/>
    <x v="1"/>
  </r>
  <r>
    <s v="04/06/2025"/>
    <s v="04/06/2025"/>
    <x v="4"/>
    <s v="L estanc de la rambla"/>
    <s v="Pago con tarjeta"/>
    <n v="-6.3"/>
    <s v="EUR"/>
    <n v="6265.32"/>
    <s v="EUR"/>
    <s v="4940197133530195 L ESTANC DE LA RAMBLA    STA. COLOMA DES"/>
    <x v="10"/>
    <x v="0"/>
  </r>
  <r>
    <s v="04/06/2025"/>
    <s v="04/06/2025"/>
    <x v="4"/>
    <s v="Farmacia jordi bomcompte"/>
    <s v="Pago con tarjeta"/>
    <n v="-17.5"/>
    <s v="EUR"/>
    <n v="6271.62"/>
    <s v="EUR"/>
    <s v="4940197133530195 FARMACIA JORDI BOMCOMPTE SANTA COLOMA ES"/>
    <x v="9"/>
    <x v="6"/>
  </r>
  <r>
    <s v="04/06/2025"/>
    <s v="04/06/2025"/>
    <x v="4"/>
    <s v="Marta masi               madrid       es"/>
    <s v="Compra: marta masi"/>
    <n v="-54"/>
    <s v="EUR"/>
    <n v="6289.12"/>
    <s v="EUR"/>
    <s v="COMPRA: MARTA MASI"/>
    <x v="9"/>
    <x v="6"/>
  </r>
  <r>
    <s v="02/06/2025"/>
    <s v="04/06/2025"/>
    <x v="4"/>
    <s v="Podimo aps"/>
    <s v="Pago con tarjeta"/>
    <n v="-0.99"/>
    <s v="EUR"/>
    <n v="6343.12"/>
    <s v="EUR"/>
    <s v="4940197133530195 Podimo ApS"/>
    <x v="19"/>
    <x v="1"/>
  </r>
  <r>
    <s v="04/06/2025"/>
    <s v="04/06/2025"/>
    <x v="4"/>
    <s v="Bbva plan estarseguro"/>
    <s v="Otros"/>
    <n v="-56.8"/>
    <s v="EUR"/>
    <n v="6344.11"/>
    <s v="EUR"/>
    <s v="BBVA PLAN ESTARSEGURO"/>
    <x v="21"/>
    <x v="3"/>
  </r>
  <r>
    <s v="03/06/2025"/>
    <s v="04/06/2025"/>
    <x v="4"/>
    <s v="Varios servicio c. loterias"/>
    <s v="Otros"/>
    <n v="-10"/>
    <s v="EUR"/>
    <n v="6400.91"/>
    <s v="EUR"/>
    <s v="4940197133530195 TULOTERO                 MADRID       ES"/>
    <x v="22"/>
    <x v="1"/>
  </r>
  <r>
    <s v="03/06/2025"/>
    <s v="04/06/2025"/>
    <x v="4"/>
    <s v="Bar cafeteria"/>
    <s v="Pago con tarjeta"/>
    <n v="-3.7"/>
    <s v="EUR"/>
    <n v="6410.91"/>
    <s v="EUR"/>
    <s v="4940197133530195 BAR CAFETERIA            SANTA COLOMA ES"/>
    <x v="4"/>
    <x v="1"/>
  </r>
  <r>
    <s v="03/06/2025"/>
    <s v="03/06/2025"/>
    <x v="4"/>
    <s v="Adeudo ajuntament de barcelona"/>
    <s v="Adeudo nº 2025125002795019"/>
    <n v="-56.43"/>
    <s v="EUR"/>
    <n v="6414.61"/>
    <s v="EUR"/>
    <s v="N 2025125002795019 AJUNTAMENT DE BARCELONA"/>
    <x v="29"/>
    <x v="3"/>
  </r>
  <r>
    <s v="30/05/2025"/>
    <s v="02/06/2025"/>
    <x v="5"/>
    <s v="Netflix.com"/>
    <s v="Pago con tarjeta"/>
    <n v="-9.99"/>
    <s v="EUR"/>
    <n v="6471.04"/>
    <s v="EUR"/>
    <s v="4940197133530195 Netflix.com"/>
    <x v="1"/>
    <x v="1"/>
  </r>
  <r>
    <s v="02/06/2025"/>
    <s v="02/06/2025"/>
    <x v="4"/>
    <s v="Bizum"/>
    <s v="Recibido: iphone mes de juny"/>
    <n v="40"/>
    <s v="EUR"/>
    <n v="6481.03"/>
    <s v="EUR"/>
    <s v="RECIBIDO: iphone mes de Juny"/>
    <x v="18"/>
    <x v="2"/>
  </r>
  <r>
    <s v="02/06/2025"/>
    <s v="02/06/2025"/>
    <x v="4"/>
    <s v="Transferencia realizada"/>
    <s v="Patricia triano moto"/>
    <n v="-30"/>
    <s v="EUR"/>
    <n v="6441.03"/>
    <s v="EUR"/>
    <s v="PATRICIA TRIANO MOTO"/>
    <x v="25"/>
    <x v="7"/>
  </r>
  <r>
    <s v="02/06/2025"/>
    <s v="02/06/2025"/>
    <x v="4"/>
    <s v="Adeudo pilates 10 maragall"/>
    <s v="Adeudo nº 2025153000178413"/>
    <n v="-65"/>
    <s v="EUR"/>
    <n v="6471.03"/>
    <s v="EUR"/>
    <s v="N 2025153000178413 PILATES 10 Maragall"/>
    <x v="27"/>
    <x v="1"/>
  </r>
  <r>
    <s v="01/06/2025"/>
    <s v="02/06/2025"/>
    <x v="4"/>
    <s v="Fundacion teaming"/>
    <s v="Pago con tarjeta"/>
    <n v="-9"/>
    <s v="EUR"/>
    <n v="6536.03"/>
    <s v="EUR"/>
    <s v="4940197133530195 FUNDACION TEAMING        SANT CUGAT DEES"/>
    <x v="24"/>
    <x v="0"/>
  </r>
  <r>
    <s v="01/06/2025"/>
    <s v="02/06/2025"/>
    <x v="4"/>
    <s v="Bizum"/>
    <s v="Recibido: yule"/>
    <n v="72"/>
    <s v="EUR"/>
    <n v="6545.03"/>
    <s v="EUR"/>
    <s v="RECIBIDO: yule"/>
    <x v="20"/>
    <x v="1"/>
  </r>
  <r>
    <s v="01/06/2025"/>
    <s v="02/06/2025"/>
    <x v="4"/>
    <s v="Bar cafeteria"/>
    <s v="Pago con tarjeta"/>
    <n v="-7.8"/>
    <s v="EUR"/>
    <n v="6473.03"/>
    <s v="EUR"/>
    <s v="4940197133530195 BAR CAFETERIA            SANTA COLOMA ES"/>
    <x v="4"/>
    <x v="1"/>
  </r>
  <r>
    <s v="31/05/2025"/>
    <s v="02/06/2025"/>
    <x v="5"/>
    <s v="Bizum"/>
    <s v="Enviado: patri copa"/>
    <n v="-7"/>
    <s v="EUR"/>
    <n v="6480.83"/>
    <s v="EUR"/>
    <s v="ENVIADO: Patri copa"/>
    <x v="12"/>
    <x v="4"/>
  </r>
  <r>
    <s v="31/05/2025"/>
    <s v="02/06/2025"/>
    <x v="5"/>
    <s v="Bizum"/>
    <s v="Enviado: jordi"/>
    <n v="-7"/>
    <s v="EUR"/>
    <n v="6487.83"/>
    <s v="EUR"/>
    <s v="ENVIADO: Jordi"/>
    <x v="12"/>
    <x v="4"/>
  </r>
  <r>
    <s v="31/05/2025"/>
    <s v="02/06/2025"/>
    <x v="5"/>
    <s v="Bizum"/>
    <s v="Enviado: patri"/>
    <n v="-53"/>
    <s v="EUR"/>
    <n v="6494.83"/>
    <s v="EUR"/>
    <s v="ENVIADO: Patri"/>
    <x v="12"/>
    <x v="4"/>
  </r>
  <r>
    <s v="31/05/2025"/>
    <s v="02/06/2025"/>
    <x v="5"/>
    <s v="Clarel sant andreu"/>
    <s v="Pago con tarjeta"/>
    <n v="-6.49"/>
    <s v="EUR"/>
    <n v="6547.83"/>
    <s v="EUR"/>
    <s v="4940197133530195 CLAREL SANT ANDREU       BARCELONA    ES"/>
    <x v="11"/>
    <x v="5"/>
  </r>
  <r>
    <s v="31/05/2025"/>
    <s v="02/06/2025"/>
    <x v="5"/>
    <s v="Supermercats sandicar"/>
    <s v="Pago con tarjeta"/>
    <n v="-5.3"/>
    <s v="EUR"/>
    <n v="6554.32"/>
    <s v="EUR"/>
    <s v="4940197133530195 SUPERMERCATS SANDICAR    BARCELONA    ES"/>
    <x v="11"/>
    <x v="5"/>
  </r>
  <r>
    <s v="31/05/2025"/>
    <s v="02/06/2025"/>
    <x v="5"/>
    <s v="Lady nail"/>
    <s v="Pago con tarjeta"/>
    <n v="-17"/>
    <s v="EUR"/>
    <n v="6559.62"/>
    <s v="EUR"/>
    <s v="4940197133530195 LADY NAIL                BARCELONA    ES"/>
    <x v="32"/>
    <x v="1"/>
  </r>
  <r>
    <s v="31/05/2025"/>
    <s v="02/06/2025"/>
    <x v="5"/>
    <s v="Cargo por amortizacion de prestamo/credito"/>
    <s v=""/>
    <n v="-431.33"/>
    <s v="EUR"/>
    <n v="6576.62"/>
    <s v="EUR"/>
    <s v="0182-3247-22-0830147409"/>
    <x v="3"/>
    <x v="3"/>
  </r>
  <r>
    <s v="13/05/2025"/>
    <s v="30/05/2025"/>
    <x v="5"/>
    <s v="Temu.com"/>
    <s v="Pago con tarjeta"/>
    <n v="32.49"/>
    <s v="EUR"/>
    <n v="7007.95"/>
    <s v="EUR"/>
    <s v="4940197133530195 TEMU.COM"/>
    <x v="13"/>
    <x v="1"/>
  </r>
  <r>
    <s v="30/05/2025"/>
    <s v="30/05/2025"/>
    <x v="5"/>
    <s v="Rua taverna gastronomica"/>
    <s v="Pago con tarjeta"/>
    <n v="-14"/>
    <s v="EUR"/>
    <n v="6975.46"/>
    <s v="EUR"/>
    <s v="4940197133530195 RUA TAVERNA GASTRONOMICA BARCELONA    ES"/>
    <x v="4"/>
    <x v="1"/>
  </r>
  <r>
    <s v="29/05/2025"/>
    <s v="29/05/2025"/>
    <x v="5"/>
    <s v="Cafeteria forn de pa dol"/>
    <s v="Pago con tarjeta"/>
    <n v="-1.6"/>
    <s v="EUR"/>
    <n v="6989.46"/>
    <s v="EUR"/>
    <s v="4940197133530195 CAFETERIA FORN DE PA DOL SANTA COLOMA ES"/>
    <x v="4"/>
    <x v="1"/>
  </r>
  <r>
    <s v="29/05/2025"/>
    <s v="29/05/2025"/>
    <x v="5"/>
    <s v="Bodega manelic"/>
    <s v="Pago con tarjeta"/>
    <n v="-3.6"/>
    <s v="EUR"/>
    <n v="6991.06"/>
    <s v="EUR"/>
    <s v="4940197133530195 BODEGA MANELIC           SANTA COLOMA ES"/>
    <x v="4"/>
    <x v="1"/>
  </r>
  <r>
    <s v="29/05/2025"/>
    <s v="29/05/2025"/>
    <x v="5"/>
    <s v="Lidia sanchez"/>
    <s v="Pago con tarjeta"/>
    <n v="-80"/>
    <s v="EUR"/>
    <n v="6994.66"/>
    <s v="EUR"/>
    <s v="4940197133530195 LIDIA SANCHEZ            BADALONA     ES"/>
    <x v="33"/>
    <x v="1"/>
  </r>
  <r>
    <s v="29/05/2025"/>
    <s v="29/05/2025"/>
    <x v="5"/>
    <s v="Bizum"/>
    <s v="Enviado: yuleini"/>
    <n v="-30"/>
    <s v="EUR"/>
    <n v="7074.66"/>
    <s v="EUR"/>
    <s v="ENVIADO: Yuleini"/>
    <x v="20"/>
    <x v="1"/>
  </r>
  <r>
    <s v="28/05/2025"/>
    <s v="28/05/2025"/>
    <x v="5"/>
    <s v="J. sirvent"/>
    <s v="Pago con tarjeta"/>
    <n v="-4.55"/>
    <s v="EUR"/>
    <n v="7104.66"/>
    <s v="EUR"/>
    <s v="4940197133530195 J. SIRVENT               SANTA COLOMA ES"/>
    <x v="4"/>
    <x v="1"/>
  </r>
  <r>
    <s v="28/05/2025"/>
    <s v="28/05/2025"/>
    <x v="5"/>
    <s v="Farmacia reixach - de pab"/>
    <s v="Pago con tarjeta"/>
    <n v="-74"/>
    <s v="EUR"/>
    <n v="7109.21"/>
    <s v="EUR"/>
    <s v="4940197133530195 FARMACIA REIXACH - DE PABBARCELONA    ES"/>
    <x v="9"/>
    <x v="6"/>
  </r>
  <r>
    <s v="28/05/2025"/>
    <s v="28/05/2025"/>
    <x v="5"/>
    <s v="Abono de nómina"/>
    <s v="Transferencia nomina"/>
    <n v="1817.53"/>
    <s v="EUR"/>
    <n v="7183.21"/>
    <s v="EUR"/>
    <s v="Transferencia nomina"/>
    <x v="6"/>
    <x v="4"/>
  </r>
  <r>
    <s v="23/05/2025"/>
    <s v="26/05/2025"/>
    <x v="5"/>
    <s v="Pp*p370b0e141"/>
    <s v="Pago con tarjeta"/>
    <n v="-10.99"/>
    <s v="EUR"/>
    <n v="5365.68"/>
    <s v="EUR"/>
    <s v="4940197133530195 PP*P370B0E141"/>
    <x v="8"/>
    <x v="1"/>
  </r>
  <r>
    <s v="24/05/2025"/>
    <s v="26/05/2025"/>
    <x v="5"/>
    <s v="Don martin"/>
    <s v="Pago con tarjeta"/>
    <n v="-52.4"/>
    <s v="EUR"/>
    <n v="5376.67"/>
    <s v="EUR"/>
    <s v="4940197133530195 DON MARTIN               SANTA COLOMA ES"/>
    <x v="4"/>
    <x v="1"/>
  </r>
  <r>
    <s v="24/05/2025"/>
    <s v="26/05/2025"/>
    <x v="5"/>
    <s v="Frankingfurt"/>
    <s v="Pago con tarjeta"/>
    <n v="-6.5"/>
    <s v="EUR"/>
    <n v="5429.07"/>
    <s v="EUR"/>
    <s v="4940197133530195 FRANKINGFURT             STA. COLOMA DES"/>
    <x v="4"/>
    <x v="1"/>
  </r>
  <r>
    <s v="24/05/2025"/>
    <s v="26/05/2025"/>
    <x v="5"/>
    <s v="Consum b.gr.s.andreu"/>
    <s v="Pago con tarjeta"/>
    <n v="-31.77"/>
    <s v="EUR"/>
    <n v="5435.57"/>
    <s v="EUR"/>
    <s v="4940197133530195 CONSUM B.GR.S.ANDREU     BARCELONA    ES"/>
    <x v="11"/>
    <x v="5"/>
  </r>
  <r>
    <s v="24/05/2025"/>
    <s v="26/05/2025"/>
    <x v="5"/>
    <s v="Juana dog sant andreu pc1"/>
    <s v="Pago con tarjeta"/>
    <n v="-24.2"/>
    <s v="EUR"/>
    <n v="5467.34"/>
    <s v="EUR"/>
    <s v="4940197133530195 JUANA DOG SANT ANDREU PC1BARCELONA    ES"/>
    <x v="7"/>
    <x v="5"/>
  </r>
  <r>
    <s v="24/05/2025"/>
    <s v="26/05/2025"/>
    <x v="5"/>
    <s v="La cantonada d'olesa"/>
    <s v="Pago con tarjeta"/>
    <n v="-2.8"/>
    <s v="EUR"/>
    <n v="5491.54"/>
    <s v="EUR"/>
    <s v="4940197133530195 LA CANTONADA D'OLESA     BARCELONA    ES"/>
    <x v="4"/>
    <x v="1"/>
  </r>
  <r>
    <s v="23/05/2025"/>
    <s v="26/05/2025"/>
    <x v="5"/>
    <s v="J. sirvent"/>
    <s v="Pago con tarjeta"/>
    <n v="-4.55"/>
    <s v="EUR"/>
    <n v="5494.34"/>
    <s v="EUR"/>
    <s v="4940197133530195 J. SIRVENT               SANTA COLOMA ES"/>
    <x v="4"/>
    <x v="1"/>
  </r>
  <r>
    <s v="23/05/2025"/>
    <s v="23/05/2025"/>
    <x v="5"/>
    <s v="Gran de sant andreu"/>
    <s v="Pago con tarjeta"/>
    <n v="-5.9"/>
    <s v="EUR"/>
    <n v="5498.89"/>
    <s v="EUR"/>
    <s v="4940197133530195 GRAN DE SANT ANDREU      BARCELONA    ES"/>
    <x v="4"/>
    <x v="1"/>
  </r>
  <r>
    <s v="23/05/2025"/>
    <s v="23/05/2025"/>
    <x v="5"/>
    <s v="Farmacia reixach - de pab"/>
    <s v="Pago con tarjeta"/>
    <n v="-3.26"/>
    <s v="EUR"/>
    <n v="5504.79"/>
    <s v="EUR"/>
    <s v="4940197133530195 FARMACIA REIXACH - DE PABBARCELONA    ES"/>
    <x v="9"/>
    <x v="6"/>
  </r>
  <r>
    <s v="22/05/2025"/>
    <s v="22/05/2025"/>
    <x v="5"/>
    <s v="Razzmatazz"/>
    <s v="Pago con tarjeta"/>
    <n v="-40"/>
    <s v="EUR"/>
    <n v="5508.05"/>
    <s v="EUR"/>
    <s v="4940197133530195 RAZZMATAZZ               BARCELONA    ES"/>
    <x v="16"/>
    <x v="1"/>
  </r>
  <r>
    <s v="21/05/2025"/>
    <s v="21/05/2025"/>
    <x v="5"/>
    <s v="Casa arana"/>
    <s v="Pago con tarjeta"/>
    <n v="-10.8"/>
    <s v="EUR"/>
    <n v="5548.05"/>
    <s v="EUR"/>
    <s v="4940197133530195 CASA ARANA               BARCELONA    ES"/>
    <x v="4"/>
    <x v="1"/>
  </r>
  <r>
    <s v="21/05/2025"/>
    <s v="21/05/2025"/>
    <x v="5"/>
    <s v="Estanc st andreu"/>
    <s v="Pago con tarjeta"/>
    <n v="-10.8"/>
    <s v="EUR"/>
    <n v="5558.85"/>
    <s v="EUR"/>
    <s v="4940197133530195 ESTANC ST ANDREU         BARCELONA    ES"/>
    <x v="10"/>
    <x v="0"/>
  </r>
  <r>
    <s v="19/05/2025"/>
    <s v="21/05/2025"/>
    <x v="5"/>
    <s v="Sp ecoalf"/>
    <s v="Pago con tarjeta"/>
    <n v="-93.4"/>
    <s v="EUR"/>
    <n v="5569.65"/>
    <s v="EUR"/>
    <s v="4940197133530195 SP ECOALF"/>
    <x v="13"/>
    <x v="1"/>
  </r>
  <r>
    <s v="20/05/2025"/>
    <s v="21/05/2025"/>
    <x v="5"/>
    <s v="El asador colomense s.l."/>
    <s v="Pago con tarjeta"/>
    <n v="-25.7"/>
    <s v="EUR"/>
    <n v="5663.05"/>
    <s v="EUR"/>
    <s v="4940197133530195 EL ASADOR COLOMENSE S.L. STA. COLOMA DES"/>
    <x v="4"/>
    <x v="1"/>
  </r>
  <r>
    <s v="20/05/2025"/>
    <s v="20/05/2025"/>
    <x v="5"/>
    <s v="Bizum"/>
    <s v="Enviado: patri - regalo bb carmen"/>
    <n v="-6.75"/>
    <s v="EUR"/>
    <n v="5688.75"/>
    <s v="EUR"/>
    <s v="ENVIADO: Patri - Regalo bb Carmen"/>
    <x v="12"/>
    <x v="4"/>
  </r>
  <r>
    <s v="17/05/2025"/>
    <s v="19/05/2025"/>
    <x v="5"/>
    <s v="Sumup  *associacio ame"/>
    <s v="Pago con tarjeta"/>
    <n v="-40"/>
    <s v="EUR"/>
    <n v="5695.5"/>
    <s v="EUR"/>
    <s v="4940197133530195 SumUp  *Associacio AME"/>
    <x v="13"/>
    <x v="1"/>
  </r>
  <r>
    <s v="15/05/2025"/>
    <s v="19/05/2025"/>
    <x v="5"/>
    <s v="Glovo 15may bkfxatbn"/>
    <s v="Pago con tarjeta"/>
    <n v="-20.7"/>
    <s v="EUR"/>
    <n v="5735.5"/>
    <s v="EUR"/>
    <s v="4940197133530195 Glovo 15MAY BKFXATBN"/>
    <x v="11"/>
    <x v="5"/>
  </r>
  <r>
    <s v="13/05/2025"/>
    <s v="19/05/2025"/>
    <x v="5"/>
    <s v="Levis online shop"/>
    <s v="Pago con tarjeta"/>
    <n v="-79"/>
    <s v="EUR"/>
    <n v="5756.2"/>
    <s v="EUR"/>
    <s v="4940197133530195 Levis Online Shop"/>
    <x v="13"/>
    <x v="1"/>
  </r>
  <r>
    <s v="19/05/2025"/>
    <s v="19/05/2025"/>
    <x v="5"/>
    <s v="Transferencia recibida"/>
    <s v="Aeat            apl:declaracion i.r.p.f            24mod:100inf:expediente agencia tributaria       exp:2024dev10052810593p           aeat"/>
    <n v="973.39"/>
    <s v="EUR"/>
    <n v="5835.2"/>
    <s v="EUR"/>
    <s v="DECLARACION I.R.P.F"/>
    <x v="34"/>
    <x v="4"/>
  </r>
  <r>
    <s v="17/05/2025"/>
    <s v="19/05/2025"/>
    <x v="5"/>
    <s v="Kiwoko sant andreu"/>
    <s v="Pago con tarjeta"/>
    <n v="-26.98"/>
    <s v="EUR"/>
    <n v="4861.8100000000004"/>
    <s v="EUR"/>
    <s v="4940197133530195 KIWOKO SANT ANDREU       BARCELONA    ES"/>
    <x v="7"/>
    <x v="5"/>
  </r>
  <r>
    <s v="17/05/2025"/>
    <s v="19/05/2025"/>
    <x v="5"/>
    <s v="Acciona motosharing"/>
    <s v="Pago con tarjeta"/>
    <n v="-8.66"/>
    <s v="EUR"/>
    <n v="4888.79"/>
    <s v="EUR"/>
    <s v="4940197133530195 ACCIONA MOTOSHARING      ALCOBENDAS   ES"/>
    <x v="0"/>
    <x v="0"/>
  </r>
  <r>
    <s v="17/05/2025"/>
    <s v="19/05/2025"/>
    <x v="5"/>
    <s v="Kiwoko sant andreu"/>
    <s v="Pago con tarjeta"/>
    <n v="-59.64"/>
    <s v="EUR"/>
    <n v="4897.45"/>
    <s v="EUR"/>
    <s v="4940197133530195 KIWOKO SANT ANDREU       BARCELONA    ES"/>
    <x v="7"/>
    <x v="5"/>
  </r>
  <r>
    <s v="17/05/2025"/>
    <s v="19/05/2025"/>
    <x v="5"/>
    <s v="Consum b.gr.s.andreu"/>
    <s v="Pago con tarjeta"/>
    <n v="-9.41"/>
    <s v="EUR"/>
    <n v="4957.09"/>
    <s v="EUR"/>
    <s v="4940197133530195 CONSUM B.GR.S.ANDREU     BARCELONA    ES"/>
    <x v="11"/>
    <x v="5"/>
  </r>
  <r>
    <s v="14/05/2025"/>
    <s v="16/05/2025"/>
    <x v="5"/>
    <s v="Paypal *itunesappst ap"/>
    <s v="Pago con tarjeta"/>
    <n v="-2.99"/>
    <s v="EUR"/>
    <n v="4966.5"/>
    <s v="EUR"/>
    <s v="4940197133530195 PAYPAL *ITUNESAPPST AP"/>
    <x v="15"/>
    <x v="1"/>
  </r>
  <r>
    <s v="15/05/2025"/>
    <s v="16/05/2025"/>
    <x v="5"/>
    <s v="Cred trinidad"/>
    <s v="Pago con tarjeta"/>
    <n v="-11"/>
    <s v="EUR"/>
    <n v="4969.49"/>
    <s v="EUR"/>
    <s v="4940197133530195 CRED TRINIDAD            BARCELONA    ES"/>
    <x v="14"/>
    <x v="7"/>
  </r>
  <r>
    <s v="13/05/2025"/>
    <s v="15/05/2025"/>
    <x v="5"/>
    <s v="Casa del gusto"/>
    <s v="Pago con tarjeta"/>
    <n v="-8.8000000000000007"/>
    <s v="EUR"/>
    <n v="4980.49"/>
    <s v="EUR"/>
    <s v="4940197133530195 CASA DEL GUSTO"/>
    <x v="4"/>
    <x v="1"/>
  </r>
  <r>
    <s v="13/05/2025"/>
    <s v="15/05/2025"/>
    <x v="5"/>
    <s v="Temu.com"/>
    <s v="Pago con tarjeta"/>
    <n v="-44.99"/>
    <s v="EUR"/>
    <n v="4989.29"/>
    <s v="EUR"/>
    <s v="4940197133530195 TEMU.COM"/>
    <x v="13"/>
    <x v="1"/>
  </r>
  <r>
    <s v="14/05/2025"/>
    <s v="14/05/2025"/>
    <x v="5"/>
    <s v="Fenomenail"/>
    <s v="Pago con tarjeta"/>
    <n v="-35"/>
    <s v="EUR"/>
    <n v="5034.28"/>
    <s v="EUR"/>
    <s v="4940197133530195 FENOMENAIL               BARCELONA    ES"/>
    <x v="32"/>
    <x v="1"/>
  </r>
  <r>
    <s v="13/05/2025"/>
    <s v="13/05/2025"/>
    <x v="5"/>
    <s v="Perfumeries san remo sl ("/>
    <s v="Pago con tarjeta"/>
    <n v="-9.9499999999999993"/>
    <s v="EUR"/>
    <n v="5069.28"/>
    <s v="EUR"/>
    <s v="4940197133530195 PERFUMERIES SAN REMO SL (BARCELONA    ES"/>
    <x v="11"/>
    <x v="5"/>
  </r>
  <r>
    <s v="13/05/2025"/>
    <s v="13/05/2025"/>
    <x v="5"/>
    <s v="Biopassio"/>
    <s v="Pago con tarjeta"/>
    <n v="-6.36"/>
    <s v="EUR"/>
    <n v="5079.2299999999996"/>
    <s v="EUR"/>
    <s v="4940197133530195 BIOPASSIO                BARCELONA    ES"/>
    <x v="11"/>
    <x v="5"/>
  </r>
  <r>
    <s v="11/05/2025"/>
    <s v="13/05/2025"/>
    <x v="5"/>
    <s v="Sp thedooglife"/>
    <s v="Pago con tarjeta"/>
    <n v="-44.32"/>
    <s v="EUR"/>
    <n v="5085.59"/>
    <s v="EUR"/>
    <s v="4940197133530195 SP THEDOOGLIFE"/>
    <x v="7"/>
    <x v="5"/>
  </r>
  <r>
    <s v="08/05/2025"/>
    <s v="12/05/2025"/>
    <x v="5"/>
    <s v="Amazon* rh0144xj4"/>
    <s v="Pago con tarjeta"/>
    <n v="8.8800000000000008"/>
    <s v="EUR"/>
    <n v="5129.91"/>
    <s v="EUR"/>
    <s v="4940197133530195 AMAZON* RH0144XJ4"/>
    <x v="13"/>
    <x v="1"/>
  </r>
  <r>
    <s v="11/05/2025"/>
    <s v="12/05/2025"/>
    <x v="5"/>
    <s v="El forn del barri"/>
    <s v="Pago con tarjeta"/>
    <n v="-1.4"/>
    <s v="EUR"/>
    <n v="5121.03"/>
    <s v="EUR"/>
    <s v="4940197133530195 EL FORN DEL BARRI        SANTA COLOMA ES"/>
    <x v="4"/>
    <x v="1"/>
  </r>
  <r>
    <s v="11/05/2025"/>
    <s v="12/05/2025"/>
    <x v="5"/>
    <s v="Virutas dinaf"/>
    <s v="Pago con tarjeta"/>
    <n v="-27.98"/>
    <s v="EUR"/>
    <n v="5122.43"/>
    <s v="EUR"/>
    <s v="4940197133530195 VIRUTAS DINAF            L'HOSPITALET ES"/>
    <x v="13"/>
    <x v="1"/>
  </r>
  <r>
    <s v="10/05/2025"/>
    <s v="12/05/2025"/>
    <x v="5"/>
    <s v="Condis supermercat"/>
    <s v="Pago con tarjeta"/>
    <n v="-3.25"/>
    <s v="EUR"/>
    <n v="5150.41"/>
    <s v="EUR"/>
    <s v="4940197133530195 CONDIS SUPERMERCAT       STA. COLOMA DES"/>
    <x v="11"/>
    <x v="5"/>
  </r>
  <r>
    <s v="10/05/2025"/>
    <s v="12/05/2025"/>
    <x v="5"/>
    <s v="Fruiteria bona"/>
    <s v="Pago con tarjeta"/>
    <n v="-7.77"/>
    <s v="EUR"/>
    <n v="5153.66"/>
    <s v="EUR"/>
    <s v="4940197133530195 FRUITERIA BONA           SANTA COLOMA ES"/>
    <x v="11"/>
    <x v="5"/>
  </r>
  <r>
    <s v="10/05/2025"/>
    <s v="12/05/2025"/>
    <x v="5"/>
    <s v="Bombay"/>
    <s v="Pago con tarjeta"/>
    <n v="-33"/>
    <s v="EUR"/>
    <n v="5161.43"/>
    <s v="EUR"/>
    <s v="4940197133530195 BOMBAY                   SANTA COLOMA ES"/>
    <x v="4"/>
    <x v="1"/>
  </r>
  <r>
    <s v="10/05/2025"/>
    <s v="12/05/2025"/>
    <x v="5"/>
    <s v="Consum b.gr.s.andreu"/>
    <s v="Pago con tarjeta"/>
    <n v="-42.9"/>
    <s v="EUR"/>
    <n v="5194.43"/>
    <s v="EUR"/>
    <s v="4940197133530195 CONSUM B.GR.S.ANDREU     BARCELONA    ES"/>
    <x v="11"/>
    <x v="5"/>
  </r>
  <r>
    <s v="09/05/2025"/>
    <s v="12/05/2025"/>
    <x v="5"/>
    <s v="Brina"/>
    <s v="Pago con tarjeta"/>
    <n v="-11.1"/>
    <s v="EUR"/>
    <n v="5237.33"/>
    <s v="EUR"/>
    <s v="4940197133530195 BRINA                    BARCELONA    ES"/>
    <x v="4"/>
    <x v="1"/>
  </r>
  <r>
    <s v="08/05/2025"/>
    <s v="09/05/2025"/>
    <x v="5"/>
    <s v="Bizum"/>
    <s v="Recibido: birra amaia"/>
    <n v="15"/>
    <s v="EUR"/>
    <n v="5248.43"/>
    <s v="EUR"/>
    <s v="RECIBIDO: birra amaia"/>
    <x v="12"/>
    <x v="4"/>
  </r>
  <r>
    <s v="08/05/2025"/>
    <s v="08/05/2025"/>
    <x v="5"/>
    <s v="Adeudo de vodafone"/>
    <s v="Adeudo nº 2025126002603547"/>
    <n v="-78.2"/>
    <s v="EUR"/>
    <n v="5233.43"/>
    <s v="EUR"/>
    <s v="N 2025126002603547 Vodafone                             CPVR"/>
    <x v="18"/>
    <x v="2"/>
  </r>
  <r>
    <s v="07/05/2025"/>
    <s v="07/05/2025"/>
    <x v="5"/>
    <s v="Traspaso desde cuenta"/>
    <s v="Yule"/>
    <n v="72"/>
    <s v="EUR"/>
    <n v="5311.63"/>
    <s v="EUR"/>
    <s v="YULE"/>
    <x v="20"/>
    <x v="1"/>
  </r>
  <r>
    <s v="06/05/2025"/>
    <s v="07/05/2025"/>
    <x v="5"/>
    <s v="Varios servicio c. loterias"/>
    <s v="Otros"/>
    <n v="-10"/>
    <s v="EUR"/>
    <n v="5239.63"/>
    <s v="EUR"/>
    <s v="4940197133530195 TULOTERO                 MADRID       ES"/>
    <x v="22"/>
    <x v="1"/>
  </r>
  <r>
    <s v="04/05/2025"/>
    <s v="06/05/2025"/>
    <x v="5"/>
    <s v="Arbitrade ae barcelona"/>
    <s v="Pago con tarjeta"/>
    <n v="-2.2000000000000002"/>
    <s v="EUR"/>
    <n v="5249.63"/>
    <s v="EUR"/>
    <s v="4940197133530195 ARBITRADE AE BARCELONA"/>
    <x v="4"/>
    <x v="1"/>
  </r>
  <r>
    <s v="04/05/2025"/>
    <s v="06/05/2025"/>
    <x v="5"/>
    <s v="Bbva plan estarseguro"/>
    <s v="Otros"/>
    <n v="-56.83"/>
    <s v="EUR"/>
    <n v="5251.83"/>
    <s v="EUR"/>
    <s v="BBVA PLAN ESTARSEGURO"/>
    <x v="21"/>
    <x v="3"/>
  </r>
  <r>
    <s v="05/05/2025"/>
    <s v="05/05/2025"/>
    <x v="5"/>
    <s v="Bizum"/>
    <s v="Recibido: iphone mes de maig"/>
    <n v="40"/>
    <s v="EUR"/>
    <n v="5308.66"/>
    <s v="EUR"/>
    <s v="RECIBIDO: Iphone mes de Maig"/>
    <x v="18"/>
    <x v="2"/>
  </r>
  <r>
    <s v="03/05/2025"/>
    <s v="05/05/2025"/>
    <x v="5"/>
    <s v="Vueling airlamuqrx"/>
    <s v="Pago con tarjeta"/>
    <n v="-4"/>
    <s v="EUR"/>
    <n v="5268.66"/>
    <s v="EUR"/>
    <s v="4940197133530195 Vueling AirlAMUQRX"/>
    <x v="28"/>
    <x v="1"/>
  </r>
  <r>
    <s v="01/05/2025"/>
    <s v="05/05/2025"/>
    <x v="5"/>
    <s v="Caffe dei barbareschi"/>
    <s v="Pago con tarjeta"/>
    <n v="-2.5"/>
    <s v="EUR"/>
    <n v="5272.66"/>
    <s v="EUR"/>
    <s v="4940197133530195 CAFFE DEI BARBARESCHI"/>
    <x v="4"/>
    <x v="1"/>
  </r>
  <r>
    <s v="02/05/2025"/>
    <s v="05/05/2025"/>
    <x v="5"/>
    <s v="I grande parrucchieri di"/>
    <s v="Pago con tarjeta"/>
    <n v="-40"/>
    <s v="EUR"/>
    <n v="5275.16"/>
    <s v="EUR"/>
    <s v="4940197133530195 I GRANDE PARRUCCHIERI DI"/>
    <x v="13"/>
    <x v="1"/>
  </r>
  <r>
    <s v="02/05/2025"/>
    <s v="05/05/2025"/>
    <x v="5"/>
    <s v="Revolut**4215*"/>
    <s v="Pago con tarjeta"/>
    <n v="-300"/>
    <s v="EUR"/>
    <n v="5315.16"/>
    <s v="EUR"/>
    <s v="4940197133530195 Revolut**4215*"/>
    <x v="28"/>
    <x v="1"/>
  </r>
  <r>
    <s v="05/05/2025"/>
    <s v="05/05/2025"/>
    <x v="5"/>
    <s v="Cuota mensual de fraccionamiento de gastos"/>
    <s v="Cuota préstamo"/>
    <n v="-83.97"/>
    <s v="EUR"/>
    <n v="5615.16"/>
    <s v="EUR"/>
    <s v="8123450000175812"/>
    <x v="23"/>
    <x v="3"/>
  </r>
  <r>
    <s v="30/04/2025"/>
    <s v="02/05/2025"/>
    <x v="6"/>
    <s v="Suisse pompei"/>
    <s v="Pago con tarjeta"/>
    <n v="-4"/>
    <s v="EUR"/>
    <n v="5699.13"/>
    <s v="EUR"/>
    <s v="4940197133530195 SUISSE POMPEI"/>
    <x v="4"/>
    <x v="1"/>
  </r>
  <r>
    <s v="30/04/2025"/>
    <s v="02/05/2025"/>
    <x v="6"/>
    <s v="Suisse pompei"/>
    <s v="Pago con tarjeta"/>
    <n v="-6"/>
    <s v="EUR"/>
    <n v="5703.13"/>
    <s v="EUR"/>
    <s v="4940197133530195 SUISSE POMPEI"/>
    <x v="4"/>
    <x v="1"/>
  </r>
  <r>
    <s v="30/04/2025"/>
    <s v="02/05/2025"/>
    <x v="6"/>
    <s v="Netflix.com"/>
    <s v="Pago con tarjeta"/>
    <n v="-9.99"/>
    <s v="EUR"/>
    <n v="5709.13"/>
    <s v="EUR"/>
    <s v="4940197133530195 Netflix.com"/>
    <x v="1"/>
    <x v="1"/>
  </r>
  <r>
    <s v="02/05/2025"/>
    <s v="02/05/2025"/>
    <x v="5"/>
    <s v="Transferencia realizada"/>
    <s v="Patricia triano moto"/>
    <n v="-30"/>
    <s v="EUR"/>
    <n v="5719.12"/>
    <s v="EUR"/>
    <s v="PATRICIA TRIANO MOTO"/>
    <x v="25"/>
    <x v="7"/>
  </r>
  <r>
    <s v="02/05/2025"/>
    <s v="02/05/2025"/>
    <x v="5"/>
    <s v="Adeudo assessoria i finques fuster s.l."/>
    <s v="Adeudo nº 2025122000080625"/>
    <n v="-50"/>
    <s v="EUR"/>
    <n v="5749.12"/>
    <s v="EUR"/>
    <s v="N 2025122000080625 ASSESSORIA I FINQUES FUSTER S.L."/>
    <x v="26"/>
    <x v="3"/>
  </r>
  <r>
    <s v="02/05/2025"/>
    <s v="02/05/2025"/>
    <x v="5"/>
    <s v="Adeudo pilates 10 maragall"/>
    <s v="Adeudo nº 2025122000144509"/>
    <n v="-65"/>
    <s v="EUR"/>
    <n v="5799.12"/>
    <s v="EUR"/>
    <s v="N 2025122000144509 PILATES 10 Maragall"/>
    <x v="27"/>
    <x v="1"/>
  </r>
  <r>
    <s v="01/05/2025"/>
    <s v="02/05/2025"/>
    <x v="5"/>
    <s v="Fundacion teaming"/>
    <s v="Pago con tarjeta"/>
    <n v="-9"/>
    <s v="EUR"/>
    <n v="5864.12"/>
    <s v="EUR"/>
    <s v="4940197133530195 FUNDACION TEAMING        SANT CUGAT DEES"/>
    <x v="24"/>
    <x v="0"/>
  </r>
  <r>
    <s v="28/04/2025"/>
    <s v="30/04/2025"/>
    <x v="6"/>
    <s v="Vueling airlamuqrx"/>
    <s v="Pago con tarjeta"/>
    <n v="-26"/>
    <s v="EUR"/>
    <n v="5873.12"/>
    <s v="EUR"/>
    <s v="4940197133530195 Vueling AirlAMUQRX"/>
    <x v="28"/>
    <x v="1"/>
  </r>
  <r>
    <s v="30/04/2025"/>
    <s v="30/04/2025"/>
    <x v="6"/>
    <s v="Adeudo de aguas de barcelona"/>
    <s v="Adeudo nº 2025120002944823"/>
    <n v="-43.58"/>
    <s v="EUR"/>
    <n v="5899.12"/>
    <s v="EUR"/>
    <s v="N 2025120002944823 AIGUES DE BARCELONA"/>
    <x v="5"/>
    <x v="2"/>
  </r>
  <r>
    <s v="30/04/2025"/>
    <s v="30/04/2025"/>
    <x v="6"/>
    <s v="Cargo por amortizacion de prestamo/credito"/>
    <s v=""/>
    <n v="-431.25"/>
    <s v="EUR"/>
    <n v="5942.7"/>
    <s v="EUR"/>
    <s v="0182-3247-22-0830147409"/>
    <x v="3"/>
    <x v="3"/>
  </r>
  <r>
    <s v="29/04/2025"/>
    <s v="29/04/2025"/>
    <x v="6"/>
    <s v="T1006 enrique tomas"/>
    <s v="Pago con tarjeta"/>
    <n v="-52.55"/>
    <s v="EUR"/>
    <n v="6373.95"/>
    <s v="EUR"/>
    <s v="4940197133530195 T1006 ENRIQUE TOMAS      EL PRAT DE LLES"/>
    <x v="4"/>
    <x v="1"/>
  </r>
  <r>
    <s v="29/04/2025"/>
    <s v="29/04/2025"/>
    <x v="6"/>
    <s v="Adeudo de endesa"/>
    <s v="Adeudo nº 2025119003019518"/>
    <n v="-73.959999999999994"/>
    <s v="EUR"/>
    <n v="6426.5"/>
    <s v="EUR"/>
    <s v="N 2025119003019518 ENERGIA XXI                          CPVR"/>
    <x v="2"/>
    <x v="2"/>
  </r>
  <r>
    <s v="29/04/2025"/>
    <s v="29/04/2025"/>
    <x v="6"/>
    <s v="Abono de nómina"/>
    <s v="Transferencia nomina"/>
    <n v="1867.53"/>
    <s v="EUR"/>
    <n v="6500.46"/>
    <s v="EUR"/>
    <s v="Transferencia nomina"/>
    <x v="6"/>
    <x v="4"/>
  </r>
  <r>
    <s v="28/04/2025"/>
    <s v="28/04/2025"/>
    <x v="6"/>
    <s v="Consum b.gr.s.andreu"/>
    <s v="Pago con tarjeta"/>
    <n v="-30.98"/>
    <s v="EUR"/>
    <n v="4632.93"/>
    <s v="EUR"/>
    <s v="4940197133530195 CONSUM B.GR.S.ANDREU     BARCELONA    ES"/>
    <x v="11"/>
    <x v="5"/>
  </r>
  <r>
    <s v="27/04/2025"/>
    <s v="28/04/2025"/>
    <x v="6"/>
    <s v="Ret. efectivo  a debito con tarj. en cajero. aut."/>
    <s v="Otros"/>
    <n v="-60"/>
    <s v="EUR"/>
    <n v="4663.91"/>
    <s v="EUR"/>
    <s v="4940197133530195 01821025 999"/>
    <x v="20"/>
    <x v="1"/>
  </r>
  <r>
    <s v="27/04/2025"/>
    <s v="28/04/2025"/>
    <x v="6"/>
    <s v="Hyde park"/>
    <s v="Pago con tarjeta"/>
    <n v="-4.5"/>
    <s v="EUR"/>
    <n v="4723.91"/>
    <s v="EUR"/>
    <s v="4940197133530195 HYDE PARK                BARCELONA    ES"/>
    <x v="4"/>
    <x v="1"/>
  </r>
  <r>
    <s v="27/04/2025"/>
    <s v="28/04/2025"/>
    <x v="6"/>
    <s v="Bizum"/>
    <s v="Enviado: regalo amaia"/>
    <n v="-16.46"/>
    <s v="EUR"/>
    <n v="4728.41"/>
    <s v="EUR"/>
    <s v="ENVIADO: Regalo Amaia"/>
    <x v="12"/>
    <x v="4"/>
  </r>
  <r>
    <s v="27/04/2025"/>
    <s v="28/04/2025"/>
    <x v="6"/>
    <s v="T mobilitat. app"/>
    <s v="Pago con tarjeta"/>
    <n v="-12.55"/>
    <s v="EUR"/>
    <n v="4744.87"/>
    <s v="EUR"/>
    <s v="4940197133530195 T MOBILITAT. APP         HOSPITALET DEES"/>
    <x v="0"/>
    <x v="0"/>
  </r>
  <r>
    <s v="26/04/2025"/>
    <s v="28/04/2025"/>
    <x v="6"/>
    <s v="Magic"/>
    <s v="Pago con tarjeta"/>
    <n v="-16"/>
    <s v="EUR"/>
    <n v="4757.42"/>
    <s v="EUR"/>
    <s v="4940197133530195 MAGIC                    BARCELONA    ES"/>
    <x v="13"/>
    <x v="1"/>
  </r>
  <r>
    <s v="26/04/2025"/>
    <s v="28/04/2025"/>
    <x v="6"/>
    <s v="La bodegueta st andreu"/>
    <s v="Pago con tarjeta"/>
    <n v="-50.5"/>
    <s v="EUR"/>
    <n v="4773.42"/>
    <s v="EUR"/>
    <s v="4940197133530195 LA BODEGUETA ST ANDREU   BARCELONA    ES"/>
    <x v="4"/>
    <x v="1"/>
  </r>
  <r>
    <s v="26/04/2025"/>
    <s v="28/04/2025"/>
    <x v="6"/>
    <s v="Macxipa sant josep"/>
    <s v="Pago con tarjeta"/>
    <n v="-0.8"/>
    <s v="EUR"/>
    <n v="4823.92"/>
    <s v="EUR"/>
    <s v="4940197133530195 MACXIPA SANT JOSEP       STA. COLOMA  ES"/>
    <x v="4"/>
    <x v="1"/>
  </r>
  <r>
    <s v="26/04/2025"/>
    <s v="28/04/2025"/>
    <x v="6"/>
    <s v="Lidia sanchez"/>
    <s v="Pago con tarjeta"/>
    <n v="-90"/>
    <s v="EUR"/>
    <n v="4824.72"/>
    <s v="EUR"/>
    <s v="4940197133530195 LIDIA SANCHEZ            BADALONA     ES"/>
    <x v="33"/>
    <x v="1"/>
  </r>
  <r>
    <s v="25/04/2025"/>
    <s v="28/04/2025"/>
    <x v="6"/>
    <s v="Cerveceria thor"/>
    <s v="Pago con tarjeta"/>
    <n v="-9.5"/>
    <s v="EUR"/>
    <n v="4914.72"/>
    <s v="EUR"/>
    <s v="4940197133530195 CERVECERIA THOR          SANTA COLOMA ES"/>
    <x v="4"/>
    <x v="1"/>
  </r>
  <r>
    <s v="25/04/2025"/>
    <s v="25/04/2025"/>
    <x v="6"/>
    <s v="Vetmont"/>
    <s v="Pago con tarjeta"/>
    <n v="-43.5"/>
    <s v="EUR"/>
    <n v="4924.22"/>
    <s v="EUR"/>
    <s v="4940197133530195 VETMONT                  BARCELONA    ES"/>
    <x v="7"/>
    <x v="5"/>
  </r>
  <r>
    <s v="23/04/2025"/>
    <s v="25/04/2025"/>
    <x v="6"/>
    <s v="Pp*p361d5ffb9"/>
    <s v="Pago con tarjeta"/>
    <n v="-10.99"/>
    <s v="EUR"/>
    <n v="4967.72"/>
    <s v="EUR"/>
    <s v="4940197133530195 PP*P361D5FFB9"/>
    <x v="8"/>
    <x v="1"/>
  </r>
  <r>
    <s v="25/04/2025"/>
    <s v="25/04/2025"/>
    <x v="6"/>
    <s v="Kiwoko fabra"/>
    <s v="Pago con tarjeta"/>
    <n v="-28.69"/>
    <s v="EUR"/>
    <n v="4978.71"/>
    <s v="EUR"/>
    <s v="4940197133530195 KIWOKO FABRA             BARCELONA    ES"/>
    <x v="7"/>
    <x v="5"/>
  </r>
  <r>
    <s v="25/04/2025"/>
    <s v="25/04/2025"/>
    <x v="6"/>
    <s v="Blo nail salon"/>
    <s v="Pago con tarjeta"/>
    <n v="-42"/>
    <s v="EUR"/>
    <n v="5007.3999999999996"/>
    <s v="EUR"/>
    <s v="4940197133530195 BLO NAIL SALON           BARCELONA    ES"/>
    <x v="32"/>
    <x v="1"/>
  </r>
  <r>
    <s v="24/04/2025"/>
    <s v="24/04/2025"/>
    <x v="6"/>
    <s v="Dgere"/>
    <s v="Pago con tarjeta"/>
    <n v="-6.5"/>
    <s v="EUR"/>
    <n v="5049.3999999999996"/>
    <s v="EUR"/>
    <s v="4940197133530195 DGERE                    SANTA COLOMA ES"/>
    <x v="4"/>
    <x v="1"/>
  </r>
  <r>
    <s v="22/04/2025"/>
    <s v="24/04/2025"/>
    <x v="6"/>
    <s v="Amzn mktp es*ra7uw3q54"/>
    <s v="Pago con tarjeta"/>
    <n v="-32.99"/>
    <s v="EUR"/>
    <n v="5055.8999999999996"/>
    <s v="EUR"/>
    <s v="4940197133530195 AMZN Mktp ES*RA7UW3Q54"/>
    <x v="4"/>
    <x v="1"/>
  </r>
  <r>
    <s v="23/04/2025"/>
    <s v="24/04/2025"/>
    <x v="6"/>
    <s v="Norarealfood sl"/>
    <s v="Pago con tarjeta"/>
    <n v="-8.9499999999999993"/>
    <s v="EUR"/>
    <n v="5088.8900000000003"/>
    <s v="EUR"/>
    <s v="4940197133530195 NORAREALFOOD SL          BARCELONA    ES"/>
    <x v="4"/>
    <x v="1"/>
  </r>
  <r>
    <s v="23/04/2025"/>
    <s v="23/04/2025"/>
    <x v="6"/>
    <s v="Bizum"/>
    <s v="Enviado: yuleini"/>
    <n v="-32"/>
    <s v="EUR"/>
    <n v="5097.84"/>
    <s v="EUR"/>
    <s v="ENVIADO: Yuleini"/>
    <x v="20"/>
    <x v="1"/>
  </r>
  <r>
    <s v="22/04/2025"/>
    <s v="23/04/2025"/>
    <x v="6"/>
    <s v="Bizum"/>
    <s v="Recibido: bizum"/>
    <n v="35"/>
    <s v="EUR"/>
    <n v="5129.84"/>
    <s v="EUR"/>
    <s v="RECIBIDO: Bizum"/>
    <x v="12"/>
    <x v="4"/>
  </r>
  <r>
    <s v="16/04/2025"/>
    <s v="21/04/2025"/>
    <x v="6"/>
    <s v="Paypal *tradeinnret"/>
    <s v="Pago con tarjeta"/>
    <n v="-10.48"/>
    <s v="EUR"/>
    <n v="5094.84"/>
    <s v="EUR"/>
    <s v="4940197133530195 PAYPAL *TRADEINNRET"/>
    <x v="13"/>
    <x v="1"/>
  </r>
  <r>
    <s v="20/04/2025"/>
    <s v="21/04/2025"/>
    <x v="6"/>
    <s v="El asador colomense s.l."/>
    <s v="Pago con tarjeta"/>
    <n v="-3.2"/>
    <s v="EUR"/>
    <n v="5105.32"/>
    <s v="EUR"/>
    <s v="4940197133530195 EL ASADOR COLOMENSE S.L. STA. COLOMA DES"/>
    <x v="4"/>
    <x v="1"/>
  </r>
  <r>
    <s v="19/04/2025"/>
    <s v="21/04/2025"/>
    <x v="6"/>
    <s v="Mac donals sta coloma"/>
    <s v="Pago con tarjeta"/>
    <n v="-7.77"/>
    <s v="EUR"/>
    <n v="5108.5200000000004"/>
    <s v="EUR"/>
    <s v="4940197133530195 MAC DONALS STA COLOMA    STA. COLOMA DES"/>
    <x v="4"/>
    <x v="1"/>
  </r>
  <r>
    <s v="19/04/2025"/>
    <s v="21/04/2025"/>
    <x v="6"/>
    <s v="Chocolat"/>
    <s v="Pago con tarjeta"/>
    <n v="-42.49"/>
    <s v="EUR"/>
    <n v="5116.29"/>
    <s v="EUR"/>
    <s v="4940197133530195 CHOCOLAT                 BARCELONA    ES"/>
    <x v="13"/>
    <x v="1"/>
  </r>
  <r>
    <s v="19/04/2025"/>
    <s v="21/04/2025"/>
    <x v="6"/>
    <s v="Grupo pfa espaãa"/>
    <s v="Pago con tarjeta"/>
    <n v="-9.06"/>
    <s v="EUR"/>
    <n v="5158.78"/>
    <s v="EUR"/>
    <s v="4940197133530195 GRUPO PFA ESPAAA         BARCELONA    ES"/>
    <x v="11"/>
    <x v="5"/>
  </r>
  <r>
    <s v="19/04/2025"/>
    <s v="21/04/2025"/>
    <x v="6"/>
    <s v="Expendiduria n.2"/>
    <s v="Pago con tarjeta"/>
    <n v="-10.9"/>
    <s v="EUR"/>
    <n v="5167.84"/>
    <s v="EUR"/>
    <s v="4940197133530195 EXPENDIDURIA N.2         SANTA COLOMA ES"/>
    <x v="10"/>
    <x v="0"/>
  </r>
  <r>
    <s v="15/04/2025"/>
    <s v="17/04/2025"/>
    <x v="6"/>
    <s v="La casa del gusto"/>
    <s v="Pago con tarjeta"/>
    <n v="-30.17"/>
    <s v="EUR"/>
    <n v="5178.74"/>
    <s v="EUR"/>
    <s v="4940197133530195 LA CASA DEL GUSTO"/>
    <x v="11"/>
    <x v="5"/>
  </r>
  <r>
    <s v="14/04/2025"/>
    <s v="16/04/2025"/>
    <x v="6"/>
    <s v="Cooltra"/>
    <s v="Pago con tarjeta"/>
    <n v="-7.6"/>
    <s v="EUR"/>
    <n v="5208.91"/>
    <s v="EUR"/>
    <s v="4940197133530195 COOLTRA"/>
    <x v="0"/>
    <x v="0"/>
  </r>
  <r>
    <s v="14/04/2025"/>
    <s v="16/04/2025"/>
    <x v="6"/>
    <s v="Amazon* rh0144xj4"/>
    <s v="Pago con tarjeta"/>
    <n v="-66.83"/>
    <s v="EUR"/>
    <n v="5216.51"/>
    <s v="EUR"/>
    <s v="4940197133530195 AMAZON* RH0144XJ4"/>
    <x v="13"/>
    <x v="1"/>
  </r>
  <r>
    <s v="14/04/2025"/>
    <s v="16/04/2025"/>
    <x v="6"/>
    <s v="Paypal *itunesappst ap"/>
    <s v="Pago con tarjeta"/>
    <n v="-2.99"/>
    <s v="EUR"/>
    <n v="5283.34"/>
    <s v="EUR"/>
    <s v="4940197133530195 PAYPAL *ITUNESAPPST AP"/>
    <x v="15"/>
    <x v="1"/>
  </r>
  <r>
    <s v="15/04/2025"/>
    <s v="16/04/2025"/>
    <x v="6"/>
    <s v="Bizum"/>
    <s v="Solicitud recibida: napoles"/>
    <n v="307.39999999999998"/>
    <s v="EUR"/>
    <n v="5286.33"/>
    <s v="EUR"/>
    <s v="SOLICITUD RECIBIDA: Napoles"/>
    <x v="12"/>
    <x v="4"/>
  </r>
  <r>
    <s v="15/04/2025"/>
    <s v="16/04/2025"/>
    <x v="6"/>
    <s v="Bizum"/>
    <s v="Enviado: napoles"/>
    <n v="-615.4"/>
    <s v="EUR"/>
    <n v="4978.93"/>
    <s v="EUR"/>
    <s v="ENVIADO: Napoles"/>
    <x v="28"/>
    <x v="1"/>
  </r>
  <r>
    <s v="14/04/2025"/>
    <s v="14/04/2025"/>
    <x v="6"/>
    <s v="Bizum"/>
    <s v="Enviado: papa patri"/>
    <n v="-72"/>
    <s v="EUR"/>
    <n v="5594.33"/>
    <s v="EUR"/>
    <s v="ENVIADO: Papa patri"/>
    <x v="12"/>
    <x v="4"/>
  </r>
  <r>
    <s v="13/04/2025"/>
    <s v="14/04/2025"/>
    <x v="6"/>
    <s v="Mac donals sta coloma"/>
    <s v="Pago con tarjeta"/>
    <n v="-4.71"/>
    <s v="EUR"/>
    <n v="5666.33"/>
    <s v="EUR"/>
    <s v="4940197133530195 MAC DONALS STA COLOMA    STA. COLOMA DES"/>
    <x v="4"/>
    <x v="1"/>
  </r>
  <r>
    <s v="12/04/2025"/>
    <s v="14/04/2025"/>
    <x v="6"/>
    <s v="Consum b.gr.s.andreu"/>
    <s v="Pago con tarjeta"/>
    <n v="-35.76"/>
    <s v="EUR"/>
    <n v="5671.04"/>
    <s v="EUR"/>
    <s v="4940197133530195 CONSUM B.GR.S.ANDREU     BARCELONA    ES"/>
    <x v="11"/>
    <x v="5"/>
  </r>
  <r>
    <s v="12/04/2025"/>
    <s v="14/04/2025"/>
    <x v="6"/>
    <s v="Jj marino"/>
    <s v="Pago con tarjeta"/>
    <n v="-3.3"/>
    <s v="EUR"/>
    <n v="5706.8"/>
    <s v="EUR"/>
    <s v="4940197133530195 JJ MARINO                STA. COLOMA  ES"/>
    <x v="4"/>
    <x v="1"/>
  </r>
  <r>
    <s v="12/04/2025"/>
    <s v="14/04/2025"/>
    <x v="6"/>
    <s v="Farmacia jordi bomcompte"/>
    <s v="Pago con tarjeta"/>
    <n v="-28"/>
    <s v="EUR"/>
    <n v="5710.1"/>
    <s v="EUR"/>
    <s v="4940197133530195 FARMACIA JORDI BOMCOMPTE SANTA COLOMA ES"/>
    <x v="9"/>
    <x v="6"/>
  </r>
  <r>
    <s v="12/04/2025"/>
    <s v="14/04/2025"/>
    <x v="6"/>
    <s v="Druni sta coloma gramenet"/>
    <s v="Pago con tarjeta"/>
    <n v="-21.88"/>
    <s v="EUR"/>
    <n v="5738.1"/>
    <s v="EUR"/>
    <s v="4940197133530195 DRUNI STA COLOMA GRAMENETSANTA COLOMA ES"/>
    <x v="13"/>
    <x v="1"/>
  </r>
  <r>
    <s v="11/04/2025"/>
    <s v="14/04/2025"/>
    <x v="6"/>
    <s v="Casa donoso gourmet"/>
    <s v="Pago con tarjeta"/>
    <n v="-42.4"/>
    <s v="EUR"/>
    <n v="5759.98"/>
    <s v="EUR"/>
    <s v="4940197133530195 CASA DONOSO GOURMET      BARCELONA    ES"/>
    <x v="4"/>
    <x v="1"/>
  </r>
  <r>
    <s v="11/04/2025"/>
    <s v="11/04/2025"/>
    <x v="6"/>
    <s v="Kiwoko sant andreu"/>
    <s v="Pago con tarjeta"/>
    <n v="-19.52"/>
    <s v="EUR"/>
    <n v="5802.38"/>
    <s v="EUR"/>
    <s v="4940197133530195 KIWOKO SANT ANDREU       BARCELONA    ES"/>
    <x v="7"/>
    <x v="5"/>
  </r>
  <r>
    <s v="11/04/2025"/>
    <s v="11/04/2025"/>
    <x v="6"/>
    <s v="Acciona motosharing"/>
    <s v="Pago con tarjeta"/>
    <n v="-2.54"/>
    <s v="EUR"/>
    <n v="5821.9"/>
    <s v="EUR"/>
    <s v="4940197133530195 ACCIONA MOTOSHARING      ALCOBENDAS   ES"/>
    <x v="0"/>
    <x v="0"/>
  </r>
  <r>
    <s v="10/04/2025"/>
    <s v="10/04/2025"/>
    <x v="6"/>
    <s v="Cerveceria thor"/>
    <s v="Pago con tarjeta"/>
    <n v="-5.6"/>
    <s v="EUR"/>
    <n v="5824.44"/>
    <s v="EUR"/>
    <s v="4940197133530195 CERVECERIA THOR          SANTA COLOMA ES"/>
    <x v="4"/>
    <x v="1"/>
  </r>
  <r>
    <s v="09/04/2025"/>
    <s v="09/04/2025"/>
    <x v="6"/>
    <s v="Cred trinidad"/>
    <s v="Pago con tarjeta"/>
    <n v="-12"/>
    <s v="EUR"/>
    <n v="5830.04"/>
    <s v="EUR"/>
    <s v="4940197133530195 CRED TRINIDAD            BARCELONA    ES"/>
    <x v="14"/>
    <x v="7"/>
  </r>
  <r>
    <s v="09/04/2025"/>
    <s v="09/04/2025"/>
    <x v="6"/>
    <s v="Bar cafeteria"/>
    <s v="Pago con tarjeta"/>
    <n v="-6.1"/>
    <s v="EUR"/>
    <n v="5842.04"/>
    <s v="EUR"/>
    <s v="4940197133530195 BAR CAFETERIA            SANTA COLOMA ES"/>
    <x v="4"/>
    <x v="1"/>
  </r>
  <r>
    <s v="09/04/2025"/>
    <s v="09/04/2025"/>
    <x v="6"/>
    <s v="Adeudo de vodafone"/>
    <s v="Adeudo nº 2025097002267076"/>
    <n v="-78.2"/>
    <s v="EUR"/>
    <n v="5848.14"/>
    <s v="EUR"/>
    <s v="N 2025097002267076 Vodafone                             CPVR"/>
    <x v="18"/>
    <x v="2"/>
  </r>
  <r>
    <s v="08/04/2025"/>
    <s v="09/04/2025"/>
    <x v="6"/>
    <s v="Varios servicio c. loterias"/>
    <s v="Otros"/>
    <n v="-10"/>
    <s v="EUR"/>
    <n v="5926.34"/>
    <s v="EUR"/>
    <s v="4940197133530195 TULOTERO                 MADRID       ES"/>
    <x v="22"/>
    <x v="1"/>
  </r>
  <r>
    <s v="08/04/2025"/>
    <s v="08/04/2025"/>
    <x v="6"/>
    <s v="Ret. efectivo  a debito con tarj. en cajero. aut."/>
    <s v="Otros"/>
    <n v="-100"/>
    <s v="EUR"/>
    <n v="5936.34"/>
    <s v="EUR"/>
    <s v="4940197133530195 01821025 999"/>
    <x v="20"/>
    <x v="1"/>
  </r>
  <r>
    <s v="07/04/2025"/>
    <s v="07/04/2025"/>
    <x v="6"/>
    <s v="Bar gavilan"/>
    <s v="Pago con tarjeta"/>
    <n v="-17.100000000000001"/>
    <s v="EUR"/>
    <n v="6036.34"/>
    <s v="EUR"/>
    <s v="4940197133530195 BAR GAVILAN              SANTA COLOMA ES"/>
    <x v="4"/>
    <x v="1"/>
  </r>
  <r>
    <s v="07/04/2025"/>
    <s v="07/04/2025"/>
    <x v="6"/>
    <s v="Estanco santa coloma"/>
    <s v="Pago con tarjeta"/>
    <n v="-7.3"/>
    <s v="EUR"/>
    <n v="6053.44"/>
    <s v="EUR"/>
    <s v="4940197133530195 ESTANCO SANTA COLOMA     SANTA COLOMA ES"/>
    <x v="10"/>
    <x v="0"/>
  </r>
  <r>
    <s v="06/04/2025"/>
    <s v="07/04/2025"/>
    <x v="6"/>
    <s v="Mac donals sta coloma"/>
    <s v="Pago con tarjeta"/>
    <n v="-3.51"/>
    <s v="EUR"/>
    <n v="6060.74"/>
    <s v="EUR"/>
    <s v="4940197133530195 MAC DONALS STA COLOMA    STA. COLOMA DES"/>
    <x v="4"/>
    <x v="1"/>
  </r>
  <r>
    <s v="05/04/2025"/>
    <s v="07/04/2025"/>
    <x v="6"/>
    <s v="Slow barcelona"/>
    <s v="Pago con tarjeta"/>
    <n v="-56"/>
    <s v="EUR"/>
    <n v="6064.25"/>
    <s v="EUR"/>
    <s v="4940197133530195 SLOW BARCELONA           BARCELONA    ES"/>
    <x v="16"/>
    <x v="1"/>
  </r>
  <r>
    <s v="05/04/2025"/>
    <s v="07/04/2025"/>
    <x v="6"/>
    <s v="Bizum"/>
    <s v="Enviado: farmacia"/>
    <n v="-70"/>
    <s v="EUR"/>
    <n v="6120.25"/>
    <s v="EUR"/>
    <s v="ENVIADO: Farmacia"/>
    <x v="12"/>
    <x v="4"/>
  </r>
  <r>
    <s v="05/04/2025"/>
    <s v="07/04/2025"/>
    <x v="6"/>
    <s v="Ruta n2"/>
    <s v="Pago con tarjeta"/>
    <n v="-6.2"/>
    <s v="EUR"/>
    <n v="6190.25"/>
    <s v="EUR"/>
    <s v="4940197133530195 RUTA N2                  BADALONA     ES"/>
    <x v="4"/>
    <x v="1"/>
  </r>
  <r>
    <s v="04/04/2025"/>
    <s v="07/04/2025"/>
    <x v="6"/>
    <s v="4 latas poblenou"/>
    <s v="Pago con tarjeta"/>
    <n v="-10.8"/>
    <s v="EUR"/>
    <n v="6196.45"/>
    <s v="EUR"/>
    <s v="4940197133530195 4 LATAS POBLENOU         BARCELONA    ES"/>
    <x v="4"/>
    <x v="1"/>
  </r>
  <r>
    <s v="04/04/2025"/>
    <s v="07/04/2025"/>
    <x v="6"/>
    <s v="Bizum"/>
    <s v="Recibido: iphone mes de abril"/>
    <n v="40"/>
    <s v="EUR"/>
    <n v="6207.25"/>
    <s v="EUR"/>
    <s v="RECIBIDO: iphone mes de abril"/>
    <x v="18"/>
    <x v="2"/>
  </r>
  <r>
    <s v="05/04/2025"/>
    <s v="04/04/2025"/>
    <x v="6"/>
    <s v="Cuota mensual de fraccionamiento de gastos"/>
    <s v="Cuota préstamo"/>
    <n v="-83.93"/>
    <s v="EUR"/>
    <n v="6167.25"/>
    <s v="EUR"/>
    <s v="8123450000175812"/>
    <x v="23"/>
    <x v="3"/>
  </r>
  <r>
    <s v="04/04/2025"/>
    <s v="04/04/2025"/>
    <x v="6"/>
    <s v="Bbva plan estarseguro"/>
    <s v="Otros"/>
    <n v="-56.83"/>
    <s v="EUR"/>
    <n v="6251.18"/>
    <s v="EUR"/>
    <s v="BBVA PLAN ESTARSEGURO"/>
    <x v="21"/>
    <x v="3"/>
  </r>
  <r>
    <s v="03/04/2025"/>
    <s v="03/04/2025"/>
    <x v="6"/>
    <s v="Consum b.gr.s.andreu"/>
    <s v="Pago con tarjeta"/>
    <n v="-39.200000000000003"/>
    <s v="EUR"/>
    <n v="6308.01"/>
    <s v="EUR"/>
    <s v="4940197133530195 CONSUM B.GR.S.ANDREU     BARCELONA    ES"/>
    <x v="11"/>
    <x v="5"/>
  </r>
  <r>
    <s v="03/04/2025"/>
    <s v="03/04/2025"/>
    <x v="6"/>
    <s v="El mes natural"/>
    <s v="Pago con tarjeta"/>
    <n v="-8.58"/>
    <s v="EUR"/>
    <n v="6347.21"/>
    <s v="EUR"/>
    <s v="4940197133530195 EL MES NATURAL           BARCELONA    ES"/>
    <x v="11"/>
    <x v="5"/>
  </r>
  <r>
    <s v="01/04/2025"/>
    <s v="02/04/2025"/>
    <x v="6"/>
    <s v="Fundacion teaming"/>
    <s v="Pago con tarjeta"/>
    <n v="-9"/>
    <s v="EUR"/>
    <n v="6355.79"/>
    <s v="EUR"/>
    <s v="4940197133530195 FUNDACION TEAMING        SANT CUGAT DEES"/>
    <x v="24"/>
    <x v="0"/>
  </r>
  <r>
    <s v="01/04/2025"/>
    <s v="01/04/2025"/>
    <x v="6"/>
    <s v="Farmacia reixach - de pab"/>
    <s v="Pago con tarjeta"/>
    <n v="-29.9"/>
    <s v="EUR"/>
    <n v="6364.79"/>
    <s v="EUR"/>
    <s v="4940197133530195 FARMACIA REIXACH - DE PABBARCELONA    ES"/>
    <x v="9"/>
    <x v="6"/>
  </r>
  <r>
    <s v="01/04/2025"/>
    <s v="01/04/2025"/>
    <x v="6"/>
    <s v="Bizum"/>
    <s v="Recibido: yule"/>
    <n v="72"/>
    <s v="EUR"/>
    <n v="6394.69"/>
    <s v="EUR"/>
    <s v="RECIBIDO: yule"/>
    <x v="20"/>
    <x v="1"/>
  </r>
  <r>
    <s v="01/04/2025"/>
    <s v="01/04/2025"/>
    <x v="6"/>
    <s v="Adeudo assessoria i finques fuster s.l."/>
    <s v="Adeudo nº 2025091000550116"/>
    <n v="-50"/>
    <s v="EUR"/>
    <n v="6322.69"/>
    <s v="EUR"/>
    <s v="N 2025091000550116 ASSESSORIA I FINQUES FUSTER S.L."/>
    <x v="26"/>
    <x v="3"/>
  </r>
  <r>
    <s v="01/04/2025"/>
    <s v="01/04/2025"/>
    <x v="6"/>
    <s v="Adeudo pilates 10 maragall"/>
    <s v="Adeudo nº 2025091000251719"/>
    <n v="-65"/>
    <s v="EUR"/>
    <n v="6372.69"/>
    <s v="EUR"/>
    <s v="N 2025091000251719 PILATES 10 Maragall"/>
    <x v="27"/>
    <x v="1"/>
  </r>
  <r>
    <s v="01/04/2025"/>
    <s v="01/04/2025"/>
    <x v="6"/>
    <s v="Transferencia realizada"/>
    <s v="Patricia triano moto"/>
    <n v="-30"/>
    <s v="EUR"/>
    <n v="6437.69"/>
    <s v="EUR"/>
    <s v="PATRICIA TRIANO MOTO"/>
    <x v="25"/>
    <x v="7"/>
  </r>
  <r>
    <s v="29/03/2025"/>
    <s v="31/03/2025"/>
    <x v="7"/>
    <s v="Netflix.com"/>
    <s v="Pago con tarjeta"/>
    <n v="-9.99"/>
    <s v="EUR"/>
    <n v="6467.69"/>
    <s v="EUR"/>
    <s v="4940197133530195 NETFLIX.COM"/>
    <x v="1"/>
    <x v="1"/>
  </r>
  <r>
    <s v="31/03/2025"/>
    <s v="31/03/2025"/>
    <x v="7"/>
    <s v="Cargo por amortizacion de prestamo/credito"/>
    <s v=""/>
    <n v="-431.17"/>
    <s v="EUR"/>
    <n v="6477.68"/>
    <s v="EUR"/>
    <s v="0182-3247-22-0830147409"/>
    <x v="3"/>
    <x v="3"/>
  </r>
  <r>
    <s v="28/03/2025"/>
    <s v="28/03/2025"/>
    <x v="7"/>
    <s v="Adeudo de endesa"/>
    <s v="Adeudo nº 2025087002696222"/>
    <n v="-93.59"/>
    <s v="EUR"/>
    <n v="6908.85"/>
    <s v="EUR"/>
    <s v="N 2025087002696222 ENERGIA XXI                          CPVR"/>
    <x v="2"/>
    <x v="2"/>
  </r>
  <r>
    <s v="28/03/2025"/>
    <s v="28/03/2025"/>
    <x v="7"/>
    <s v="Turris panem sl"/>
    <s v="Pago con tarjeta"/>
    <n v="-4.45"/>
    <s v="EUR"/>
    <n v="7002.44"/>
    <s v="EUR"/>
    <s v="4940197133530195 TURRIS PANEM SL          BADALONA     ES"/>
    <x v="4"/>
    <x v="1"/>
  </r>
  <r>
    <s v="27/03/2025"/>
    <s v="27/03/2025"/>
    <x v="7"/>
    <s v="Kiwoko sant andreu"/>
    <s v="Pago con tarjeta"/>
    <n v="-72.17"/>
    <s v="EUR"/>
    <n v="7006.89"/>
    <s v="EUR"/>
    <s v="4940197133530195 KIWOKO SANT ANDREU       BARCELONA    ES"/>
    <x v="7"/>
    <x v="5"/>
  </r>
  <r>
    <s v="27/03/2025"/>
    <s v="27/03/2025"/>
    <x v="7"/>
    <s v="Bizum"/>
    <s v="Recibido: bizum"/>
    <n v="79"/>
    <s v="EUR"/>
    <n v="7079.06"/>
    <s v="EUR"/>
    <s v="RECIBIDO: Bizum"/>
    <x v="12"/>
    <x v="4"/>
  </r>
  <r>
    <s v="27/03/2025"/>
    <s v="27/03/2025"/>
    <x v="7"/>
    <s v="Bizum"/>
    <s v="Enviado: robo pompeia"/>
    <n v="-158"/>
    <s v="EUR"/>
    <n v="7000.06"/>
    <s v="EUR"/>
    <s v="ENVIADO: Robo pompeia"/>
    <x v="12"/>
    <x v="4"/>
  </r>
  <r>
    <s v="27/03/2025"/>
    <s v="27/03/2025"/>
    <x v="7"/>
    <s v="Abono de nómina"/>
    <s v="Transferencia nomina"/>
    <n v="1867.53"/>
    <s v="EUR"/>
    <n v="7158.06"/>
    <s v="EUR"/>
    <s v="Transferencia nomina"/>
    <x v="6"/>
    <x v="4"/>
  </r>
  <r>
    <s v="26/03/2025"/>
    <s v="26/03/2025"/>
    <x v="7"/>
    <s v="Acciona motosharing"/>
    <s v="Pago con tarjeta"/>
    <n v="-6.86"/>
    <s v="EUR"/>
    <n v="5290.53"/>
    <s v="EUR"/>
    <s v="4940197133530195 ACCIONA MOTOSHARING      ALCOBENDAS   ES"/>
    <x v="0"/>
    <x v="0"/>
  </r>
  <r>
    <s v="25/03/2025"/>
    <s v="25/03/2025"/>
    <x v="7"/>
    <s v="Granier"/>
    <s v="Pago con tarjeta"/>
    <n v="-2.95"/>
    <s v="EUR"/>
    <n v="5297.39"/>
    <s v="EUR"/>
    <s v="4940197133530195 GRANIER                  BARCELONA    ES"/>
    <x v="4"/>
    <x v="1"/>
  </r>
  <r>
    <s v="25/03/2025"/>
    <s v="25/03/2025"/>
    <x v="7"/>
    <s v="Acciona motosharing"/>
    <s v="Pago con tarjeta"/>
    <n v="-6.85"/>
    <s v="EUR"/>
    <n v="5300.34"/>
    <s v="EUR"/>
    <s v="4940197133530195 ACCIONA MOTOSHARING      ALCOBENDAS   ES"/>
    <x v="0"/>
    <x v="0"/>
  </r>
  <r>
    <s v="23/03/2025"/>
    <s v="25/03/2025"/>
    <x v="7"/>
    <s v="Justeat"/>
    <s v="Pago con tarjeta"/>
    <n v="-25.55"/>
    <s v="EUR"/>
    <n v="5307.19"/>
    <s v="EUR"/>
    <s v="4940197133530195 JustEat"/>
    <x v="4"/>
    <x v="1"/>
  </r>
  <r>
    <s v="23/03/2025"/>
    <s v="25/03/2025"/>
    <x v="7"/>
    <s v="Paypal *p352f77290"/>
    <s v="Pago con tarjeta"/>
    <n v="-10.99"/>
    <s v="EUR"/>
    <n v="5332.74"/>
    <s v="EUR"/>
    <s v="4940197133530195 PAYPAL *P352F77290"/>
    <x v="8"/>
    <x v="1"/>
  </r>
  <r>
    <s v="25/03/2025"/>
    <s v="25/03/2025"/>
    <x v="7"/>
    <s v="Bizum"/>
    <s v="Enviado: patri - regalo thais"/>
    <n v="-2.67"/>
    <s v="EUR"/>
    <n v="5343.73"/>
    <s v="EUR"/>
    <s v="ENVIADO: Patri - Regalo Thais"/>
    <x v="12"/>
    <x v="4"/>
  </r>
  <r>
    <s v="24/03/2025"/>
    <s v="24/03/2025"/>
    <x v="7"/>
    <s v="Consum b.gr.s.andreu"/>
    <s v="Pago con tarjeta"/>
    <n v="-27.5"/>
    <s v="EUR"/>
    <n v="5346.4"/>
    <s v="EUR"/>
    <s v="4940197133530195 CONSUM B.GR.S.ANDREU     BARCELONA    ES"/>
    <x v="11"/>
    <x v="5"/>
  </r>
  <r>
    <s v="20/03/2025"/>
    <s v="24/03/2025"/>
    <x v="7"/>
    <s v="Santa coloma de gramane"/>
    <s v="Pago con tarjeta"/>
    <n v="-51.5"/>
    <s v="EUR"/>
    <n v="5373.9"/>
    <s v="EUR"/>
    <s v="4940197133530195 SANTA COLOMA DE GRAMANE"/>
    <x v="13"/>
    <x v="1"/>
  </r>
  <r>
    <s v="24/03/2025"/>
    <s v="24/03/2025"/>
    <x v="7"/>
    <s v="Lidl bcn-gran de st an"/>
    <s v="Pago con tarjeta"/>
    <n v="-10.47"/>
    <s v="EUR"/>
    <n v="5425.4"/>
    <s v="EUR"/>
    <s v="4940197133530195 LIDL BCN-GRAN DE ST AN   BARCELONA    ES"/>
    <x v="11"/>
    <x v="5"/>
  </r>
  <r>
    <s v="23/03/2025"/>
    <s v="24/03/2025"/>
    <x v="7"/>
    <s v="Bizum"/>
    <s v="Enviado: anazon"/>
    <n v="-100"/>
    <s v="EUR"/>
    <n v="5435.87"/>
    <s v="EUR"/>
    <s v="ENVIADO: Anazon"/>
    <x v="12"/>
    <x v="4"/>
  </r>
  <r>
    <s v="22/03/2025"/>
    <s v="24/03/2025"/>
    <x v="7"/>
    <s v="El asador colomense s.l."/>
    <s v="Pago con tarjeta"/>
    <n v="-48.9"/>
    <s v="EUR"/>
    <n v="5535.87"/>
    <s v="EUR"/>
    <s v="4940197133530195 EL ASADOR COLOMENSE S.L. STA. COLOMA DES"/>
    <x v="4"/>
    <x v="1"/>
  </r>
  <r>
    <s v="21/03/2025"/>
    <s v="21/03/2025"/>
    <x v="7"/>
    <s v="Itv la maquinista caracas"/>
    <s v="Pago con tarjeta"/>
    <n v="-21.29"/>
    <s v="EUR"/>
    <n v="5584.77"/>
    <s v="EUR"/>
    <s v="4940197133530195 ITV LA MAQUINISTA CARACASBARCELONA    ES"/>
    <x v="35"/>
    <x v="7"/>
  </r>
  <r>
    <s v="20/03/2025"/>
    <s v="20/03/2025"/>
    <x v="7"/>
    <s v="Farmacia"/>
    <s v="Pago con tarjeta"/>
    <n v="-15.7"/>
    <s v="EUR"/>
    <n v="5606.06"/>
    <s v="EUR"/>
    <s v="4940197133530195 FARMACIA                 BARCELONA    ES"/>
    <x v="9"/>
    <x v="6"/>
  </r>
  <r>
    <s v="19/03/2025"/>
    <s v="19/03/2025"/>
    <x v="7"/>
    <s v="Macxipa avda. generalitat"/>
    <s v="Pago con tarjeta"/>
    <n v="-4.4000000000000004"/>
    <s v="EUR"/>
    <n v="5621.76"/>
    <s v="EUR"/>
    <s v="4940197133530195 MACXIPA AVDA. GENERALITATSTA. COLOMA  ES"/>
    <x v="4"/>
    <x v="1"/>
  </r>
  <r>
    <s v="19/03/2025"/>
    <s v="19/03/2025"/>
    <x v="7"/>
    <s v="Expendiduria 11-santa col"/>
    <s v="Pago con tarjeta"/>
    <n v="-8.4"/>
    <s v="EUR"/>
    <n v="5626.16"/>
    <s v="EUR"/>
    <s v="4940197133530195 EXPENDIDURIA 11-SANTA COLSTA. COLOMA DES"/>
    <x v="10"/>
    <x v="0"/>
  </r>
  <r>
    <s v="18/03/2025"/>
    <s v="18/03/2025"/>
    <x v="7"/>
    <s v="Transferencia realizada"/>
    <s v="De patri triano regalo boda ryj"/>
    <n v="-200"/>
    <s v="EUR"/>
    <n v="5634.56"/>
    <s v="EUR"/>
    <s v="DE PATRI TRIANO REGALO BODA RYJ"/>
    <x v="12"/>
    <x v="4"/>
  </r>
  <r>
    <s v="15/03/2025"/>
    <s v="17/03/2025"/>
    <x v="7"/>
    <s v="Amzn mktp es*ri9qs20v4"/>
    <s v="Pago con tarjeta"/>
    <n v="-27.99"/>
    <s v="EUR"/>
    <n v="5834.56"/>
    <s v="EUR"/>
    <s v="4940197133530195 AMZN Mktp ES*RI9QS20V4"/>
    <x v="13"/>
    <x v="1"/>
  </r>
  <r>
    <s v="14/03/2025"/>
    <s v="17/03/2025"/>
    <x v="7"/>
    <s v="Paypal *itunesappst ap"/>
    <s v="Pago con tarjeta"/>
    <n v="-2.99"/>
    <s v="EUR"/>
    <n v="5862.55"/>
    <s v="EUR"/>
    <s v="4940197133530195 PAYPAL *ITUNESAPPST AP"/>
    <x v="15"/>
    <x v="1"/>
  </r>
  <r>
    <s v="15/03/2025"/>
    <s v="17/03/2025"/>
    <x v="7"/>
    <s v="Santa coloma de gramane"/>
    <s v="Pago con tarjeta"/>
    <n v="-22.99"/>
    <s v="EUR"/>
    <n v="5865.54"/>
    <s v="EUR"/>
    <s v="4940197133530195 SANTA COLOMA DE GRAMANE"/>
    <x v="13"/>
    <x v="1"/>
  </r>
  <r>
    <s v="17/03/2025"/>
    <s v="17/03/2025"/>
    <x v="7"/>
    <s v="Macxipa torras i bages"/>
    <s v="Pago con tarjeta"/>
    <n v="-1.95"/>
    <s v="EUR"/>
    <n v="5888.53"/>
    <s v="EUR"/>
    <s v="4940197133530195 MACXIPA TORRAS I BAGES   BARCELONA    ES"/>
    <x v="4"/>
    <x v="1"/>
  </r>
  <r>
    <s v="16/03/2025"/>
    <s v="17/03/2025"/>
    <x v="7"/>
    <s v="Farmacia jordi bomcompte"/>
    <s v="Pago con tarjeta"/>
    <n v="-24.95"/>
    <s v="EUR"/>
    <n v="5890.48"/>
    <s v="EUR"/>
    <s v="4940197133530195 FARMACIA JORDI BOMCOMPTE SANTA COLOMA ES"/>
    <x v="9"/>
    <x v="6"/>
  </r>
  <r>
    <s v="16/03/2025"/>
    <s v="17/03/2025"/>
    <x v="7"/>
    <s v="Macxipa avda. generalitat"/>
    <s v="Pago con tarjeta"/>
    <n v="-1.64"/>
    <s v="EUR"/>
    <n v="5915.43"/>
    <s v="EUR"/>
    <s v="4940197133530195 MACXIPA AVDA. GENERALITATSTA. COLOMA  ES"/>
    <x v="4"/>
    <x v="1"/>
  </r>
  <r>
    <s v="15/03/2025"/>
    <s v="17/03/2025"/>
    <x v="7"/>
    <s v="Meridiana forn del passei"/>
    <s v="Pago con tarjeta"/>
    <n v="-1.25"/>
    <s v="EUR"/>
    <n v="5917.07"/>
    <s v="EUR"/>
    <s v="4940197133530195 MERIDIANA FORN DEL PASSEIBARCELONA    ES"/>
    <x v="4"/>
    <x v="1"/>
  </r>
  <r>
    <s v="11/03/2025"/>
    <s v="13/03/2025"/>
    <x v="7"/>
    <s v="Amzn mktp es*rb0wg6sq4"/>
    <s v="Pago con tarjeta"/>
    <n v="-42.49"/>
    <s v="EUR"/>
    <n v="5918.32"/>
    <s v="EUR"/>
    <s v="4940197133530195 AMZN Mktp ES*RB0WG6SQ4"/>
    <x v="13"/>
    <x v="1"/>
  </r>
  <r>
    <s v="12/03/2025"/>
    <s v="12/03/2025"/>
    <x v="7"/>
    <s v="Consum b.gr.s.andreu"/>
    <s v="Pago con tarjeta"/>
    <n v="-55.48"/>
    <s v="EUR"/>
    <n v="5960.81"/>
    <s v="EUR"/>
    <s v="4940197133530195 CONSUM B.GR.S.ANDREU     BARCELONA    ES"/>
    <x v="11"/>
    <x v="5"/>
  </r>
  <r>
    <s v="12/03/2025"/>
    <s v="12/03/2025"/>
    <x v="7"/>
    <s v="Bizum"/>
    <s v="Recibido: yule"/>
    <n v="72"/>
    <s v="EUR"/>
    <n v="6016.29"/>
    <s v="EUR"/>
    <s v="RECIBIDO: YULE"/>
    <x v="20"/>
    <x v="1"/>
  </r>
  <r>
    <s v="11/03/2025"/>
    <s v="12/03/2025"/>
    <x v="7"/>
    <s v="Varios servicio c. loterias"/>
    <s v="Otros"/>
    <n v="-10"/>
    <s v="EUR"/>
    <n v="5944.29"/>
    <s v="EUR"/>
    <s v="4940197133530195 TULOTERO                 MADRID       ES"/>
    <x v="22"/>
    <x v="1"/>
  </r>
  <r>
    <s v="10/03/2025"/>
    <s v="10/03/2025"/>
    <x v="7"/>
    <s v="Adeudo de vodafone"/>
    <s v="Adeudo nº 2025065001538559"/>
    <n v="-78.2"/>
    <s v="EUR"/>
    <n v="5954.29"/>
    <s v="EUR"/>
    <s v="N 2025065001538559 Vodafone                             CPVR"/>
    <x v="18"/>
    <x v="2"/>
  </r>
  <r>
    <s v="09/03/2025"/>
    <s v="10/03/2025"/>
    <x v="7"/>
    <s v="L'arrosseria xativa"/>
    <s v="Pago con tarjeta"/>
    <n v="-28"/>
    <s v="EUR"/>
    <n v="6032.49"/>
    <s v="EUR"/>
    <s v="4940197133530195 L'ARROSSERIA XATIVA      BARCELONA    ES"/>
    <x v="4"/>
    <x v="1"/>
  </r>
  <r>
    <s v="09/03/2025"/>
    <s v="10/03/2025"/>
    <x v="7"/>
    <s v="The vegan corner"/>
    <s v="Pago con tarjeta"/>
    <n v="-16"/>
    <s v="EUR"/>
    <n v="6060.49"/>
    <s v="EUR"/>
    <s v="4940197133530195 THE VEGAN CORNER         BARCELONA    ES"/>
    <x v="4"/>
    <x v="1"/>
  </r>
  <r>
    <s v="09/03/2025"/>
    <s v="10/03/2025"/>
    <x v="7"/>
    <s v="T mobilitat. app"/>
    <s v="Pago con tarjeta"/>
    <n v="-12.55"/>
    <s v="EUR"/>
    <n v="6076.49"/>
    <s v="EUR"/>
    <s v="4940197133530195 T MOBILITAT. APP         HOSPITALET DEES"/>
    <x v="0"/>
    <x v="0"/>
  </r>
  <r>
    <s v="08/03/2025"/>
    <s v="10/03/2025"/>
    <x v="7"/>
    <s v="Macxipa santa anna"/>
    <s v="Pago con tarjeta"/>
    <n v="-1.6"/>
    <s v="EUR"/>
    <n v="6089.04"/>
    <s v="EUR"/>
    <s v="4940197133530195 MACXIPA SANTA ANNA       STA. COLOMA  ES"/>
    <x v="4"/>
    <x v="1"/>
  </r>
  <r>
    <s v="06/03/2025"/>
    <s v="06/03/2025"/>
    <x v="7"/>
    <s v="Kiwoko sant andreu"/>
    <s v="Pago con tarjeta"/>
    <n v="-8.5"/>
    <s v="EUR"/>
    <n v="6090.64"/>
    <s v="EUR"/>
    <s v="4940197133530195 KIWOKO SANT ANDREU       BARCELONA    ES"/>
    <x v="7"/>
    <x v="5"/>
  </r>
  <r>
    <s v="05/03/2025"/>
    <s v="05/03/2025"/>
    <x v="7"/>
    <s v="Bizum"/>
    <s v="Recibido: iphone mes de marc"/>
    <n v="40"/>
    <s v="EUR"/>
    <n v="6099.14"/>
    <s v="EUR"/>
    <s v="RECIBIDO: iphone mes de marc"/>
    <x v="18"/>
    <x v="2"/>
  </r>
  <r>
    <s v="05/03/2025"/>
    <s v="05/03/2025"/>
    <x v="7"/>
    <s v="Adeudo de endesa"/>
    <s v="Adeudo nº 2025063002577256"/>
    <n v="-120.61"/>
    <s v="EUR"/>
    <n v="6059.14"/>
    <s v="EUR"/>
    <s v="N 2025063002577256 ENERGIA XXI                          CPVR"/>
    <x v="2"/>
    <x v="2"/>
  </r>
  <r>
    <s v="05/03/2025"/>
    <s v="05/03/2025"/>
    <x v="7"/>
    <s v="Cuota mensual de fraccionamiento de gastos"/>
    <s v="Cuota préstamo"/>
    <n v="-83.93"/>
    <s v="EUR"/>
    <n v="6179.75"/>
    <s v="EUR"/>
    <s v="8123450000175812"/>
    <x v="23"/>
    <x v="3"/>
  </r>
  <r>
    <s v="04/03/2025"/>
    <s v="05/03/2025"/>
    <x v="7"/>
    <s v="Bbva plan estarseguro"/>
    <s v="Otros"/>
    <n v="-55.51"/>
    <s v="EUR"/>
    <n v="6263.68"/>
    <s v="EUR"/>
    <s v="BBVA PLAN ESTARSEGURO"/>
    <x v="21"/>
    <x v="3"/>
  </r>
  <r>
    <s v="04/03/2025"/>
    <s v="04/03/2025"/>
    <x v="7"/>
    <s v="Casa arana"/>
    <s v="Pago con tarjeta"/>
    <n v="-13.75"/>
    <s v="EUR"/>
    <n v="6319.19"/>
    <s v="EUR"/>
    <s v="4940197133530195 CASA ARANA               BARCELONA    ES"/>
    <x v="4"/>
    <x v="1"/>
  </r>
  <r>
    <s v="28/02/2025"/>
    <s v="03/03/2025"/>
    <x v="8"/>
    <s v="Netflix.com"/>
    <s v="Pago con tarjeta"/>
    <n v="-9.99"/>
    <s v="EUR"/>
    <n v="6332.94"/>
    <s v="EUR"/>
    <s v="4940197133530195 NETFLIX.COM"/>
    <x v="1"/>
    <x v="1"/>
  </r>
  <r>
    <s v="28/02/2025"/>
    <s v="03/03/2025"/>
    <x v="8"/>
    <s v="Paypal *thedooglife"/>
    <s v="Pago con tarjeta"/>
    <n v="-41.7"/>
    <s v="EUR"/>
    <n v="6342.93"/>
    <s v="EUR"/>
    <s v="4940197133530195 PAYPAL *THEDOOGLIFE"/>
    <x v="7"/>
    <x v="5"/>
  </r>
  <r>
    <s v="03/03/2025"/>
    <s v="03/03/2025"/>
    <x v="7"/>
    <s v="Transferencia realizada"/>
    <s v="Patricia triano moto"/>
    <n v="-30"/>
    <s v="EUR"/>
    <n v="6384.63"/>
    <s v="EUR"/>
    <s v="PATRICIA TRIANO MOTO"/>
    <x v="25"/>
    <x v="7"/>
  </r>
  <r>
    <s v="03/03/2025"/>
    <s v="03/03/2025"/>
    <x v="7"/>
    <s v="Adeudo assessoria i finques fuster s.l."/>
    <s v="Adeudo nº 2025062001427075"/>
    <n v="-50"/>
    <s v="EUR"/>
    <n v="6414.63"/>
    <s v="EUR"/>
    <s v="N 2025062001427075 ASSESSORIA I FINQUES FUSTER S.L."/>
    <x v="26"/>
    <x v="3"/>
  </r>
  <r>
    <s v="03/03/2025"/>
    <s v="03/03/2025"/>
    <x v="7"/>
    <s v="Adeudo pilates 10 maragall"/>
    <s v="Adeudo nº 2025062000528823"/>
    <n v="-65"/>
    <s v="EUR"/>
    <n v="6464.63"/>
    <s v="EUR"/>
    <s v="N 2025062000528823 PILATES 10 Maragall"/>
    <x v="27"/>
    <x v="1"/>
  </r>
  <r>
    <s v="03/03/2025"/>
    <s v="03/03/2025"/>
    <x v="7"/>
    <s v="Adeudo ajuntament de barcelona"/>
    <s v="Adeudo nº 2025038000839357"/>
    <n v="-56.43"/>
    <s v="EUR"/>
    <n v="6529.63"/>
    <s v="EUR"/>
    <s v="N 2025038000839357 AJUNTAMENT DE BARCELONA"/>
    <x v="29"/>
    <x v="3"/>
  </r>
  <r>
    <s v="01/03/2025"/>
    <s v="03/03/2025"/>
    <x v="7"/>
    <s v="Fundacion teaming"/>
    <s v="Pago con tarjeta"/>
    <n v="-9"/>
    <s v="EUR"/>
    <n v="6586.06"/>
    <s v="EUR"/>
    <s v="4940197133530195 FUNDACION TEAMING        SANT CUGAT DEES"/>
    <x v="24"/>
    <x v="0"/>
  </r>
  <r>
    <s v="01/03/2025"/>
    <s v="03/03/2025"/>
    <x v="7"/>
    <s v="Pastadei"/>
    <s v="Pago con tarjeta"/>
    <n v="-26.81"/>
    <s v="EUR"/>
    <n v="6595.06"/>
    <s v="EUR"/>
    <s v="4940197133530195 PASTADEI                 BARCELONA    ES"/>
    <x v="11"/>
    <x v="5"/>
  </r>
  <r>
    <s v="01/03/2025"/>
    <s v="03/03/2025"/>
    <x v="7"/>
    <s v="Farmacia"/>
    <s v="Pago con tarjeta"/>
    <n v="-3.26"/>
    <s v="EUR"/>
    <n v="6621.87"/>
    <s v="EUR"/>
    <s v="4940197133530195 FARMACIA                 BARCELONA    ES"/>
    <x v="9"/>
    <x v="6"/>
  </r>
  <r>
    <s v="28/02/2025"/>
    <s v="28/02/2025"/>
    <x v="8"/>
    <s v="Adeudo de aguas de barcelona"/>
    <s v="Adeudo nº 2025059002878453"/>
    <n v="-44.2"/>
    <s v="EUR"/>
    <n v="6625.13"/>
    <s v="EUR"/>
    <s v="N 2025059002878453 AIGUES DE BARCELONA"/>
    <x v="5"/>
    <x v="2"/>
  </r>
  <r>
    <s v="28/02/2025"/>
    <s v="28/02/2025"/>
    <x v="8"/>
    <s v="Cargo por amortizacion de prestamo/credito"/>
    <s v=""/>
    <n v="-431.09"/>
    <s v="EUR"/>
    <n v="6669.33"/>
    <s v="EUR"/>
    <s v="0182-3247-22-0830147409"/>
    <x v="3"/>
    <x v="3"/>
  </r>
  <r>
    <s v="27/02/2025"/>
    <s v="27/02/2025"/>
    <x v="8"/>
    <s v="Consum b.gr.s.andreu"/>
    <s v="Pago con tarjeta"/>
    <n v="-23.76"/>
    <s v="EUR"/>
    <n v="7100.42"/>
    <s v="EUR"/>
    <s v="4940197133530195 CONSUM B.GR.S.ANDREU     BARCELONA    ES"/>
    <x v="11"/>
    <x v="5"/>
  </r>
  <r>
    <s v="27/02/2025"/>
    <s v="27/02/2025"/>
    <x v="8"/>
    <s v="Lidl bcn-gran de st an"/>
    <s v="Pago con tarjeta"/>
    <n v="-17.149999999999999"/>
    <s v="EUR"/>
    <n v="7124.18"/>
    <s v="EUR"/>
    <s v="4940197133530195 LIDL BCN-GRAN DE ST AN   BARCELONA    ES"/>
    <x v="11"/>
    <x v="5"/>
  </r>
  <r>
    <s v="27/02/2025"/>
    <s v="27/02/2025"/>
    <x v="8"/>
    <s v="L?estanc de la merce"/>
    <s v="Pago con tarjeta"/>
    <n v="-7.5"/>
    <s v="EUR"/>
    <n v="7141.33"/>
    <s v="EUR"/>
    <s v="4940197133530195 L?ESTANC DE LA MERCE     BARCELONA    ES"/>
    <x v="10"/>
    <x v="0"/>
  </r>
  <r>
    <s v="26/02/2025"/>
    <s v="26/02/2025"/>
    <x v="8"/>
    <s v="Agricola marcilla sl"/>
    <s v="Pago con tarjeta"/>
    <n v="-16"/>
    <s v="EUR"/>
    <n v="7148.83"/>
    <s v="EUR"/>
    <s v="4940197133530195 AGRICOLA MARCILLA SL     BARCELONA    ES"/>
    <x v="11"/>
    <x v="5"/>
  </r>
  <r>
    <s v="26/02/2025"/>
    <s v="26/02/2025"/>
    <x v="8"/>
    <s v="El mes natural"/>
    <s v="Pago con tarjeta"/>
    <n v="-8.58"/>
    <s v="EUR"/>
    <n v="7164.83"/>
    <s v="EUR"/>
    <s v="4940197133530195 EL MES NATURAL           BARCELONA    ES"/>
    <x v="11"/>
    <x v="5"/>
  </r>
  <r>
    <s v="26/02/2025"/>
    <s v="26/02/2025"/>
    <x v="8"/>
    <s v="Abono de nómina"/>
    <s v="Transferencia nomina"/>
    <n v="1867.53"/>
    <s v="EUR"/>
    <n v="7173.41"/>
    <s v="EUR"/>
    <s v="Transferencia nomina"/>
    <x v="6"/>
    <x v="4"/>
  </r>
  <r>
    <s v="25/02/2025"/>
    <s v="25/02/2025"/>
    <x v="8"/>
    <s v="Kiwoko sant andreu"/>
    <s v="Pago con tarjeta"/>
    <n v="-47.63"/>
    <s v="EUR"/>
    <n v="5305.88"/>
    <s v="EUR"/>
    <s v="4940197133530195 KIWOKO SANT ANDREU       BARCELONA    ES"/>
    <x v="7"/>
    <x v="5"/>
  </r>
  <r>
    <s v="25/02/2025"/>
    <s v="25/02/2025"/>
    <x v="8"/>
    <s v="Cred trinidad"/>
    <s v="Pago con tarjeta"/>
    <n v="-12.35"/>
    <s v="EUR"/>
    <n v="5353.51"/>
    <s v="EUR"/>
    <s v="4940197133530195 CRED TRINIDAD            BARCELONA    ES"/>
    <x v="14"/>
    <x v="7"/>
  </r>
  <r>
    <s v="23/02/2025"/>
    <s v="25/02/2025"/>
    <x v="8"/>
    <s v="Paypal *p344b045cd"/>
    <s v="Pago con tarjeta"/>
    <n v="-10.99"/>
    <s v="EUR"/>
    <n v="5365.86"/>
    <s v="EUR"/>
    <s v="4940197133530195 PAYPAL *P344B045CD"/>
    <x v="8"/>
    <x v="1"/>
  </r>
  <r>
    <s v="24/02/2025"/>
    <s v="24/02/2025"/>
    <x v="8"/>
    <s v="Bizum"/>
    <s v="Recibido: bizum"/>
    <n v="200"/>
    <s v="EUR"/>
    <n v="5376.85"/>
    <s v="EUR"/>
    <s v="RECIBIDO: Bizum"/>
    <x v="12"/>
    <x v="4"/>
  </r>
  <r>
    <s v="22/02/2025"/>
    <s v="24/02/2025"/>
    <x v="8"/>
    <s v="Condis"/>
    <s v="Pago con tarjeta"/>
    <n v="-12.63"/>
    <s v="EUR"/>
    <n v="5176.8500000000004"/>
    <s v="EUR"/>
    <s v="4940197133530195 CONDIS                   STA. COLOMA DES"/>
    <x v="11"/>
    <x v="5"/>
  </r>
  <r>
    <s v="22/02/2025"/>
    <s v="24/02/2025"/>
    <x v="8"/>
    <s v="Bizum"/>
    <s v="Enviado: cooper"/>
    <n v="-200"/>
    <s v="EUR"/>
    <n v="5189.4799999999996"/>
    <s v="EUR"/>
    <s v="ENVIADO: Cooper"/>
    <x v="12"/>
    <x v="4"/>
  </r>
  <r>
    <s v="15/02/2025"/>
    <s v="19/02/2025"/>
    <x v="8"/>
    <s v="Paypal *zooplus se"/>
    <s v="Pago con tarjeta"/>
    <n v="-27.2"/>
    <s v="EUR"/>
    <n v="5389.48"/>
    <s v="EUR"/>
    <s v="4940197133530195 PAYPAL *ZOOPLUS SE"/>
    <x v="7"/>
    <x v="5"/>
  </r>
  <r>
    <s v="16/02/2025"/>
    <s v="18/02/2025"/>
    <x v="8"/>
    <s v="Amzn mktp es*rt57i9i14"/>
    <s v="Pago con tarjeta"/>
    <n v="-17.989999999999998"/>
    <s v="EUR"/>
    <n v="5416.68"/>
    <s v="EUR"/>
    <s v="4940197133530195 AMZN Mktp ES*RT57I9I14"/>
    <x v="13"/>
    <x v="1"/>
  </r>
  <r>
    <s v="18/02/2025"/>
    <s v="18/02/2025"/>
    <x v="8"/>
    <s v="Consum on line 0378 b alc"/>
    <s v="Pago con tarjeta"/>
    <n v="-62.41"/>
    <s v="EUR"/>
    <n v="5434.67"/>
    <s v="EUR"/>
    <s v="4940197133530195 CONSUM ON LINE 0378 B ALCSILLA        ES"/>
    <x v="11"/>
    <x v="5"/>
  </r>
  <r>
    <s v="18/02/2025"/>
    <s v="18/02/2025"/>
    <x v="8"/>
    <s v="Consum on line 0378 b alc"/>
    <s v="Pago con tarjeta"/>
    <n v="-0.41"/>
    <s v="EUR"/>
    <n v="5497.08"/>
    <s v="EUR"/>
    <s v="4940197133530195 CONSUM ON LINE 0378 B ALCSILLA        ES"/>
    <x v="11"/>
    <x v="5"/>
  </r>
  <r>
    <s v="17/02/2025"/>
    <s v="17/02/2025"/>
    <x v="8"/>
    <s v="La botiga de la pepi"/>
    <s v="Pago con tarjeta"/>
    <n v="-69"/>
    <s v="EUR"/>
    <n v="5497.49"/>
    <s v="EUR"/>
    <s v="4940197133530195 LA BOTIGA DE LA PEPI     BARCELONA    ES"/>
    <x v="7"/>
    <x v="5"/>
  </r>
  <r>
    <s v="17/02/2025"/>
    <s v="17/02/2025"/>
    <x v="8"/>
    <s v="Perfumeries san remo sl ("/>
    <s v="Pago con tarjeta"/>
    <n v="-51.28"/>
    <s v="EUR"/>
    <n v="5566.49"/>
    <s v="EUR"/>
    <s v="4940197133530195 PERFUMERIES SAN REMO SL (BARCELONA    ES"/>
    <x v="13"/>
    <x v="1"/>
  </r>
  <r>
    <s v="15/02/2025"/>
    <s v="17/02/2025"/>
    <x v="8"/>
    <s v="Amazon* rt4rj1se4"/>
    <s v="Pago con tarjeta"/>
    <n v="-8.8000000000000007"/>
    <s v="EUR"/>
    <n v="5617.77"/>
    <s v="EUR"/>
    <s v="4940197133530195 AMAZON* RT4RJ1SE4"/>
    <x v="13"/>
    <x v="1"/>
  </r>
  <r>
    <s v="14/02/2025"/>
    <s v="17/02/2025"/>
    <x v="8"/>
    <s v="Paypal *itunesappst ap"/>
    <s v="Pago con tarjeta"/>
    <n v="-2.99"/>
    <s v="EUR"/>
    <n v="5626.57"/>
    <s v="EUR"/>
    <s v="4940197133530195 PAYPAL *ITUNESAPPST AP"/>
    <x v="15"/>
    <x v="1"/>
  </r>
  <r>
    <s v="15/02/2025"/>
    <s v="17/02/2025"/>
    <x v="8"/>
    <s v="Santa coloma de gramane"/>
    <s v="Pago con tarjeta"/>
    <n v="-20.99"/>
    <s v="EUR"/>
    <n v="5629.56"/>
    <s v="EUR"/>
    <s v="4940197133530195 SANTA COLOMA DE GRAMANE"/>
    <x v="13"/>
    <x v="1"/>
  </r>
  <r>
    <s v="14/02/2025"/>
    <s v="14/02/2025"/>
    <x v="8"/>
    <s v="Ferreteria rabii hannou"/>
    <s v="Pago con tarjeta"/>
    <n v="-13"/>
    <s v="EUR"/>
    <n v="5650.55"/>
    <s v="EUR"/>
    <s v="4940197133530195 FERRETERIA RABII HANNOU  SANTA COLOMA ES"/>
    <x v="17"/>
    <x v="3"/>
  </r>
  <r>
    <s v="14/02/2025"/>
    <s v="14/02/2025"/>
    <x v="8"/>
    <s v="Tutti frutti"/>
    <s v="Pago con tarjeta"/>
    <n v="-0.8"/>
    <s v="EUR"/>
    <n v="5663.55"/>
    <s v="EUR"/>
    <s v="4940197133530195 TUTTI FRUTTI             SANTA COLOMA ES"/>
    <x v="13"/>
    <x v="1"/>
  </r>
  <r>
    <s v="14/02/2025"/>
    <s v="14/02/2025"/>
    <x v="8"/>
    <s v="Lidia sanchez"/>
    <s v="Pago con tarjeta"/>
    <n v="-30"/>
    <s v="EUR"/>
    <n v="5664.35"/>
    <s v="EUR"/>
    <s v="4940197133530195 LIDIA SANCHEZ            BADALONA     ES"/>
    <x v="33"/>
    <x v="1"/>
  </r>
  <r>
    <s v="14/02/2025"/>
    <s v="14/02/2025"/>
    <x v="8"/>
    <s v="Varios servicio c. loterias"/>
    <s v="Otros"/>
    <n v="-10"/>
    <s v="EUR"/>
    <n v="5694.35"/>
    <s v="EUR"/>
    <s v="4940197133530195 TULOTERO                 MADRID       ES"/>
    <x v="22"/>
    <x v="1"/>
  </r>
  <r>
    <s v="13/02/2025"/>
    <s v="13/02/2025"/>
    <x v="8"/>
    <s v="Estanc 160"/>
    <s v="Pago con tarjeta"/>
    <n v="-7.9"/>
    <s v="EUR"/>
    <n v="5704.35"/>
    <s v="EUR"/>
    <s v="4940197133530195 ESTANC 160               BARCELONA    ES"/>
    <x v="10"/>
    <x v="0"/>
  </r>
  <r>
    <s v="12/02/2025"/>
    <s v="12/02/2025"/>
    <x v="8"/>
    <s v="Macxipa gran sant andreu"/>
    <s v="Pago con tarjeta"/>
    <n v="-1.6"/>
    <s v="EUR"/>
    <n v="5712.25"/>
    <s v="EUR"/>
    <s v="4940197133530195 MACXIPA GRAN SANT ANDREU BARCELONA    ES"/>
    <x v="4"/>
    <x v="1"/>
  </r>
  <r>
    <s v="12/02/2025"/>
    <s v="12/02/2025"/>
    <x v="8"/>
    <s v="Varios servicio c. loterias"/>
    <s v="Otros"/>
    <n v="-10"/>
    <s v="EUR"/>
    <n v="5713.85"/>
    <s v="EUR"/>
    <s v="4940197133530195 TULOTERO                 MADRID       ES"/>
    <x v="22"/>
    <x v="1"/>
  </r>
  <r>
    <s v="11/02/2025"/>
    <s v="11/02/2025"/>
    <x v="8"/>
    <s v="Casa arana"/>
    <s v="Pago con tarjeta"/>
    <n v="-10"/>
    <s v="EUR"/>
    <n v="5723.85"/>
    <s v="EUR"/>
    <s v="4940197133530195 CASA ARANA               BARCELONA    ES"/>
    <x v="4"/>
    <x v="1"/>
  </r>
  <r>
    <s v="10/02/2025"/>
    <s v="10/02/2025"/>
    <x v="8"/>
    <s v="Adeudo de vodafone"/>
    <s v="Adeudo nº 2025037001554894"/>
    <n v="-78.2"/>
    <s v="EUR"/>
    <n v="5733.85"/>
    <s v="EUR"/>
    <s v="N 2025037001554894 Vodafone                             CPVR"/>
    <x v="18"/>
    <x v="2"/>
  </r>
  <r>
    <s v="08/02/2025"/>
    <s v="10/02/2025"/>
    <x v="8"/>
    <s v="El aroma"/>
    <s v="Pago con tarjeta"/>
    <n v="-4.8"/>
    <s v="EUR"/>
    <n v="5812.05"/>
    <s v="EUR"/>
    <s v="4940197133530195 EL AROMA                 SANTA COLOMA ES"/>
    <x v="4"/>
    <x v="1"/>
  </r>
  <r>
    <s v="08/02/2025"/>
    <s v="10/02/2025"/>
    <x v="8"/>
    <s v="Lidia sanchez"/>
    <s v="Pago con tarjeta"/>
    <n v="-45"/>
    <s v="EUR"/>
    <n v="5816.85"/>
    <s v="EUR"/>
    <s v="4940197133530195 LIDIA SANCHEZ            BADALONA     ES"/>
    <x v="33"/>
    <x v="1"/>
  </r>
  <r>
    <s v="07/02/2025"/>
    <s v="07/02/2025"/>
    <x v="8"/>
    <s v="Adeudo de endesa"/>
    <s v="Adeudo nº 2025037001412147"/>
    <n v="-126.11"/>
    <s v="EUR"/>
    <n v="5861.85"/>
    <s v="EUR"/>
    <s v="N 2025037001412147 ENERGIA XXI                          CPVR"/>
    <x v="2"/>
    <x v="2"/>
  </r>
  <r>
    <s v="06/02/2025"/>
    <s v="06/02/2025"/>
    <x v="8"/>
    <s v="Consum b.gr.s.andreu"/>
    <s v="Pago con tarjeta"/>
    <n v="-43.69"/>
    <s v="EUR"/>
    <n v="5987.96"/>
    <s v="EUR"/>
    <s v="4940197133530195 CONSUM B.GR.S.ANDREU     BARCELONA    ES"/>
    <x v="11"/>
    <x v="5"/>
  </r>
  <r>
    <s v="05/02/2025"/>
    <s v="05/02/2025"/>
    <x v="8"/>
    <s v="Cuota mensual de fraccionamiento de gastos"/>
    <s v="Cuota préstamo"/>
    <n v="-83.93"/>
    <s v="EUR"/>
    <n v="6031.65"/>
    <s v="EUR"/>
    <s v="8123450000175812"/>
    <x v="23"/>
    <x v="3"/>
  </r>
  <r>
    <s v="04/02/2025"/>
    <s v="05/02/2025"/>
    <x v="8"/>
    <s v="Bbva plan estarseguro"/>
    <s v="Otros"/>
    <n v="-55.54"/>
    <s v="EUR"/>
    <n v="6115.58"/>
    <s v="EUR"/>
    <s v="BBVA PLAN ESTARSEGURO"/>
    <x v="21"/>
    <x v="3"/>
  </r>
  <r>
    <s v="04/02/2025"/>
    <s v="04/02/2025"/>
    <x v="8"/>
    <s v="Kiwoko sant andreu"/>
    <s v="Pago con tarjeta"/>
    <n v="-15.99"/>
    <s v="EUR"/>
    <n v="6171.12"/>
    <s v="EUR"/>
    <s v="4940197133530195 KIWOKO SANT ANDREU       BARCELONA    ES"/>
    <x v="7"/>
    <x v="5"/>
  </r>
  <r>
    <s v="04/02/2025"/>
    <s v="04/02/2025"/>
    <x v="8"/>
    <s v="Kiwoko sant andreu"/>
    <s v="Pago con tarjeta"/>
    <n v="-30.49"/>
    <s v="EUR"/>
    <n v="6187.11"/>
    <s v="EUR"/>
    <s v="4940197133530195 KIWOKO SANT ANDREU       BARCELONA    ES"/>
    <x v="7"/>
    <x v="5"/>
  </r>
  <r>
    <s v="04/02/2025"/>
    <s v="04/02/2025"/>
    <x v="8"/>
    <s v="Bizum"/>
    <s v="Recibido: iphone mes de gener"/>
    <n v="40"/>
    <s v="EUR"/>
    <n v="6217.6"/>
    <s v="EUR"/>
    <s v="RECIBIDO: iphone mes de gener"/>
    <x v="18"/>
    <x v="2"/>
  </r>
  <r>
    <s v="03/02/2025"/>
    <s v="03/02/2025"/>
    <x v="8"/>
    <s v="Macxipa gran sant andreu"/>
    <s v="Pago con tarjeta"/>
    <n v="-1.6"/>
    <s v="EUR"/>
    <n v="6177.6"/>
    <s v="EUR"/>
    <s v="4940197133530195 MACXIPA GRAN SANT ANDREU BARCELONA    ES"/>
    <x v="4"/>
    <x v="1"/>
  </r>
  <r>
    <s v="03/02/2025"/>
    <s v="03/02/2025"/>
    <x v="8"/>
    <s v="Mascotas 1000"/>
    <s v="Pago con tarjeta"/>
    <n v="-3.39"/>
    <s v="EUR"/>
    <n v="6179.2"/>
    <s v="EUR"/>
    <s v="4940197133530195 MASCOTAS 1000            BARCELONA    ES"/>
    <x v="7"/>
    <x v="5"/>
  </r>
  <r>
    <s v="03/02/2025"/>
    <s v="03/02/2025"/>
    <x v="8"/>
    <s v="Beths sant andreu"/>
    <s v="Pago con tarjeta"/>
    <n v="-31"/>
    <s v="EUR"/>
    <n v="6182.59"/>
    <s v="EUR"/>
    <s v="4940197133530195 BETHS SANT ANDREU        BARCELONA    ES"/>
    <x v="13"/>
    <x v="1"/>
  </r>
  <r>
    <s v="03/02/2025"/>
    <s v="03/02/2025"/>
    <x v="8"/>
    <s v="Transferencia realizada"/>
    <s v="Patricia triano moto"/>
    <n v="-30"/>
    <s v="EUR"/>
    <n v="6213.59"/>
    <s v="EUR"/>
    <s v="PATRICIA TRIANO MOTO"/>
    <x v="25"/>
    <x v="7"/>
  </r>
  <r>
    <s v="03/02/2025"/>
    <s v="03/02/2025"/>
    <x v="8"/>
    <s v="Adeudo assessoria i finques fuster s.l."/>
    <s v="Adeudo nº 2025034000414789"/>
    <n v="-50"/>
    <s v="EUR"/>
    <n v="6243.59"/>
    <s v="EUR"/>
    <s v="N 2025034000414789 ASSESSORIA I FINQUES FUSTER S.L."/>
    <x v="26"/>
    <x v="3"/>
  </r>
  <r>
    <s v="03/02/2025"/>
    <s v="03/02/2025"/>
    <x v="8"/>
    <s v="Adeudo pilates 10 maragall"/>
    <s v="Adeudo nº 2025034000192447"/>
    <n v="-65"/>
    <s v="EUR"/>
    <n v="6293.59"/>
    <s v="EUR"/>
    <s v="N 2025034000192447 PILATES 10 Maragall"/>
    <x v="27"/>
    <x v="1"/>
  </r>
  <r>
    <s v="02/02/2025"/>
    <s v="03/02/2025"/>
    <x v="8"/>
    <s v="Bizum"/>
    <s v="Enviado: comida"/>
    <n v="-40"/>
    <s v="EUR"/>
    <n v="6358.59"/>
    <s v="EUR"/>
    <s v="ENVIADO: Comida"/>
    <x v="12"/>
    <x v="4"/>
  </r>
  <r>
    <s v="02/02/2025"/>
    <s v="03/02/2025"/>
    <x v="8"/>
    <s v="Bizum"/>
    <s v="Recibido: reste juleini"/>
    <n v="42"/>
    <s v="EUR"/>
    <n v="6398.59"/>
    <s v="EUR"/>
    <s v="RECIBIDO: reste Juleini"/>
    <x v="12"/>
    <x v="4"/>
  </r>
  <r>
    <s v="01/02/2025"/>
    <s v="03/02/2025"/>
    <x v="8"/>
    <s v="Fundacion teaming"/>
    <s v="Pago con tarjeta"/>
    <n v="-9"/>
    <s v="EUR"/>
    <n v="6356.59"/>
    <s v="EUR"/>
    <s v="4940197133530195 FUNDACION TEAMING        SANT CUGAT DEES"/>
    <x v="24"/>
    <x v="0"/>
  </r>
  <r>
    <s v="31/01/2025"/>
    <s v="31/01/2025"/>
    <x v="9"/>
    <s v="L estanc de la merce"/>
    <s v="Pago con tarjeta"/>
    <n v="-7.5"/>
    <s v="EUR"/>
    <n v="6365.59"/>
    <s v="EUR"/>
    <s v="4940197133530195 L ESTANC DE LA MERCE     BARCELONA    ES"/>
    <x v="10"/>
    <x v="0"/>
  </r>
  <r>
    <s v="31/01/2025"/>
    <s v="31/01/2025"/>
    <x v="9"/>
    <s v="Vetmont"/>
    <s v="Pago con tarjeta"/>
    <n v="-43.5"/>
    <s v="EUR"/>
    <n v="6373.09"/>
    <s v="EUR"/>
    <s v="4940197133530195 VETMONT                  BARCELONA    ES"/>
    <x v="7"/>
    <x v="5"/>
  </r>
  <r>
    <s v="31/01/2025"/>
    <s v="31/01/2025"/>
    <x v="9"/>
    <s v="Farmacia"/>
    <s v="Pago con tarjeta"/>
    <n v="-3.26"/>
    <s v="EUR"/>
    <n v="6416.59"/>
    <s v="EUR"/>
    <s v="4940197133530195 FARMACIA                 BARCELONA    ES"/>
    <x v="9"/>
    <x v="6"/>
  </r>
  <r>
    <s v="29/01/2025"/>
    <s v="31/01/2025"/>
    <x v="9"/>
    <s v="Netflix.com"/>
    <s v="Pago con tarjeta"/>
    <n v="-9.99"/>
    <s v="EUR"/>
    <n v="6419.85"/>
    <s v="EUR"/>
    <s v="4940197133530195 NETFLIX.COM"/>
    <x v="1"/>
    <x v="1"/>
  </r>
  <r>
    <s v="24/01/2025"/>
    <s v="31/01/2025"/>
    <x v="9"/>
    <s v="Sa *sub astrolinetoday"/>
    <s v="Pago con tarjeta"/>
    <n v="-48.39"/>
    <s v="EUR"/>
    <n v="6429.84"/>
    <s v="EUR"/>
    <s v="4940197133530195 SA *sub astrolinetoday"/>
    <x v="13"/>
    <x v="1"/>
  </r>
  <r>
    <s v="31/01/2025"/>
    <s v="31/01/2025"/>
    <x v="9"/>
    <s v="Cargo por amortizacion de prestamo/credito"/>
    <s v=""/>
    <n v="-431.01"/>
    <s v="EUR"/>
    <n v="6478.23"/>
    <s v="EUR"/>
    <s v="0182-3247-22-0830147409"/>
    <x v="3"/>
    <x v="3"/>
  </r>
  <r>
    <s v="28/01/2025"/>
    <s v="30/01/2025"/>
    <x v="9"/>
    <s v="Lovi premium start"/>
    <s v="Pago con tarjeta"/>
    <n v="29.99"/>
    <s v="EUR"/>
    <n v="6909.24"/>
    <s v="EUR"/>
    <s v="4940197133530195 LOVI PREMIUM START"/>
    <x v="13"/>
    <x v="1"/>
  </r>
  <r>
    <s v="28/01/2025"/>
    <s v="30/01/2025"/>
    <x v="9"/>
    <s v="Lovi_ai_scanner"/>
    <s v="Pago con tarjeta"/>
    <n v="19.989999999999998"/>
    <s v="EUR"/>
    <n v="6879.25"/>
    <s v="EUR"/>
    <s v="4940197133530195 LOVI_AI_SCANNER"/>
    <x v="13"/>
    <x v="1"/>
  </r>
  <r>
    <s v="28/01/2025"/>
    <s v="28/01/2025"/>
    <x v="9"/>
    <s v="Consum b.gr.s.andreu"/>
    <s v="Pago con tarjeta"/>
    <n v="-41.88"/>
    <s v="EUR"/>
    <n v="6859.26"/>
    <s v="EUR"/>
    <s v="4940197133530195 CONSUM B.GR.S.ANDREU     BARCELONA    ES"/>
    <x v="11"/>
    <x v="5"/>
  </r>
  <r>
    <s v="28/01/2025"/>
    <s v="28/01/2025"/>
    <x v="9"/>
    <s v="El mes natural"/>
    <s v="Pago con tarjeta"/>
    <n v="-9.99"/>
    <s v="EUR"/>
    <n v="6901.14"/>
    <s v="EUR"/>
    <s v="4940197133530195 EL MES NATURAL           BARCELONA    ES"/>
    <x v="11"/>
    <x v="5"/>
  </r>
  <r>
    <s v="26/01/2025"/>
    <s v="27/01/2025"/>
    <x v="9"/>
    <s v="Lovi_ai_scanner"/>
    <s v="Pago con tarjeta"/>
    <n v="-19.989999999999998"/>
    <s v="EUR"/>
    <n v="6911.13"/>
    <s v="EUR"/>
    <s v="4940197133530195 LOVI_AI_SCANNER"/>
    <x v="13"/>
    <x v="1"/>
  </r>
  <r>
    <s v="23/01/2025"/>
    <s v="27/01/2025"/>
    <x v="9"/>
    <s v="Pp*p3373e718b"/>
    <s v="Pago con tarjeta"/>
    <n v="-10.99"/>
    <s v="EUR"/>
    <n v="6931.12"/>
    <s v="EUR"/>
    <s v="4940197133530195 PP*P3373E718B"/>
    <x v="13"/>
    <x v="1"/>
  </r>
  <r>
    <s v="26/01/2025"/>
    <s v="27/01/2025"/>
    <x v="9"/>
    <s v="Lovi premium start"/>
    <s v="Pago con tarjeta"/>
    <n v="-29.99"/>
    <s v="EUR"/>
    <n v="6942.11"/>
    <s v="EUR"/>
    <s v="4940197133530195 LOVI PREMIUM START"/>
    <x v="13"/>
    <x v="1"/>
  </r>
  <r>
    <s v="27/01/2025"/>
    <s v="27/01/2025"/>
    <x v="9"/>
    <s v="Abono de nómina"/>
    <s v="Transferencia nomina"/>
    <n v="1867.53"/>
    <s v="EUR"/>
    <n v="6972.1"/>
    <s v="EUR"/>
    <s v="Transferencia nomina"/>
    <x v="6"/>
    <x v="4"/>
  </r>
  <r>
    <s v="25/01/2025"/>
    <s v="27/01/2025"/>
    <x v="9"/>
    <s v="L'andreuenc"/>
    <s v="Pago con tarjeta"/>
    <n v="-154"/>
    <s v="EUR"/>
    <n v="5104.57"/>
    <s v="EUR"/>
    <s v="4940197133530195 L'ANDREUENC              BARCELONA    ES"/>
    <x v="4"/>
    <x v="1"/>
  </r>
  <r>
    <s v="24/01/2025"/>
    <s v="24/01/2025"/>
    <x v="9"/>
    <s v="La sirena sta coloma de g"/>
    <s v="Pago con tarjeta"/>
    <n v="-4.99"/>
    <s v="EUR"/>
    <n v="5258.57"/>
    <s v="EUR"/>
    <s v="4940197133530195 LA SIRENA STA COLOMA DE GSANTA COLOMA ES"/>
    <x v="11"/>
    <x v="5"/>
  </r>
  <r>
    <s v="24/01/2025"/>
    <s v="24/01/2025"/>
    <x v="9"/>
    <s v="Bizum"/>
    <s v="Recibido: cumple iaia"/>
    <n v="50"/>
    <s v="EUR"/>
    <n v="5263.56"/>
    <s v="EUR"/>
    <s v="RECIBIDO: cumple iaia"/>
    <x v="12"/>
    <x v="4"/>
  </r>
  <r>
    <s v="23/01/2025"/>
    <s v="24/01/2025"/>
    <x v="9"/>
    <s v="Casa arana"/>
    <s v="Pago con tarjeta"/>
    <n v="-95.3"/>
    <s v="EUR"/>
    <n v="5213.5600000000004"/>
    <s v="EUR"/>
    <s v="4940197133530195 CASA ARANA               BARCELONA    ES"/>
    <x v="4"/>
    <x v="1"/>
  </r>
  <r>
    <s v="21/01/2025"/>
    <s v="23/01/2025"/>
    <x v="9"/>
    <s v="Sa *v sub astrolinetod"/>
    <s v="Pago con tarjeta"/>
    <n v="-1.21"/>
    <s v="EUR"/>
    <n v="5308.86"/>
    <s v="EUR"/>
    <s v="4940197133530195 SA *V sub astrolinetod"/>
    <x v="13"/>
    <x v="1"/>
  </r>
  <r>
    <s v="23/01/2025"/>
    <s v="23/01/2025"/>
    <x v="9"/>
    <s v="Bizum"/>
    <s v="Recibido: cumple patri"/>
    <n v="30"/>
    <s v="EUR"/>
    <n v="5310.07"/>
    <s v="EUR"/>
    <s v="RECIBIDO: Cumple Patri"/>
    <x v="12"/>
    <x v="4"/>
  </r>
  <r>
    <s v="23/01/2025"/>
    <s v="23/01/2025"/>
    <x v="9"/>
    <s v="Varios servicio c. loterias"/>
    <s v="Otros"/>
    <n v="-10"/>
    <s v="EUR"/>
    <n v="5280.07"/>
    <s v="EUR"/>
    <s v="4940197133530195 TULOTERO                 MADRID       ES"/>
    <x v="22"/>
    <x v="1"/>
  </r>
  <r>
    <s v="21/01/2025"/>
    <s v="21/01/2025"/>
    <x v="9"/>
    <s v="Consum b.gr.s.andreu"/>
    <s v="Pago con tarjeta"/>
    <n v="-3.65"/>
    <s v="EUR"/>
    <n v="5290.07"/>
    <s v="EUR"/>
    <s v="4940197133530195 CONSUM B.GR.S.ANDREU     BARCELONA    ES"/>
    <x v="11"/>
    <x v="5"/>
  </r>
  <r>
    <s v="21/01/2025"/>
    <s v="21/01/2025"/>
    <x v="9"/>
    <s v="Consum b.gr.s.andreu"/>
    <s v="Pago con tarjeta"/>
    <n v="-23.21"/>
    <s v="EUR"/>
    <n v="5293.72"/>
    <s v="EUR"/>
    <s v="4940197133530195 CONSUM B.GR.S.ANDREU     BARCELONA    ES"/>
    <x v="11"/>
    <x v="5"/>
  </r>
  <r>
    <s v="21/01/2025"/>
    <s v="21/01/2025"/>
    <x v="9"/>
    <s v="Regaliz"/>
    <s v="Pago con tarjeta"/>
    <n v="-9"/>
    <s v="EUR"/>
    <n v="5316.93"/>
    <s v="EUR"/>
    <s v="4940197133530195 REGALIZ                  BARCELONA    ES"/>
    <x v="16"/>
    <x v="1"/>
  </r>
  <r>
    <s v="19/01/2025"/>
    <s v="20/01/2025"/>
    <x v="9"/>
    <s v="Bar punt de trobada braca"/>
    <s v="Pago con tarjeta"/>
    <n v="-3.8"/>
    <s v="EUR"/>
    <n v="5325.93"/>
    <s v="EUR"/>
    <s v="4940197133530195 BAR PUNT DE TROBADA BRACABARCELONA    ES"/>
    <x v="4"/>
    <x v="1"/>
  </r>
  <r>
    <s v="18/01/2025"/>
    <s v="20/01/2025"/>
    <x v="9"/>
    <s v="Consum b.gr.s.andreu"/>
    <s v="Pago con tarjeta"/>
    <n v="-9.52"/>
    <s v="EUR"/>
    <n v="5329.73"/>
    <s v="EUR"/>
    <s v="4940197133530195 CONSUM B.GR.S.ANDREU     BARCELONA    ES"/>
    <x v="11"/>
    <x v="5"/>
  </r>
  <r>
    <s v="18/01/2025"/>
    <s v="20/01/2025"/>
    <x v="9"/>
    <s v="Alam frutas verdures"/>
    <s v="Pago con tarjeta"/>
    <n v="-1.05"/>
    <s v="EUR"/>
    <n v="5339.25"/>
    <s v="EUR"/>
    <s v="4940197133530195 ALAM FRUTAS VERDURES     BARCELONA    ES"/>
    <x v="11"/>
    <x v="5"/>
  </r>
  <r>
    <s v="18/01/2025"/>
    <s v="20/01/2025"/>
    <x v="9"/>
    <s v="Caprabo 7724"/>
    <s v="Pago con tarjeta"/>
    <n v="-19.57"/>
    <s v="EUR"/>
    <n v="5340.3"/>
    <s v="EUR"/>
    <s v="4940197133530195 CAPRABO 7724             STA. COLOMA DES"/>
    <x v="11"/>
    <x v="5"/>
  </r>
  <r>
    <s v="17/01/2025"/>
    <s v="17/01/2025"/>
    <x v="9"/>
    <s v="Farmacia jordi bomcompte"/>
    <s v="Pago con tarjeta"/>
    <n v="-53.49"/>
    <s v="EUR"/>
    <n v="5359.87"/>
    <s v="EUR"/>
    <s v="4940197133530195 FARMACIA JORDI BOMCOMPTE SANTA COLOMA ES"/>
    <x v="9"/>
    <x v="6"/>
  </r>
  <r>
    <s v="14/01/2025"/>
    <s v="16/01/2025"/>
    <x v="9"/>
    <s v="Paypal *itunesappst ap"/>
    <s v="Pago con tarjeta"/>
    <n v="-2.99"/>
    <s v="EUR"/>
    <n v="5413.36"/>
    <s v="EUR"/>
    <s v="4940197133530195 PAYPAL *ITUNESAPPST AP"/>
    <x v="15"/>
    <x v="1"/>
  </r>
  <r>
    <s v="15/01/2025"/>
    <s v="15/01/2025"/>
    <x v="9"/>
    <s v="E.s. petrosos, s.c.c.l."/>
    <s v="Pago con tarjeta"/>
    <n v="-11.32"/>
    <s v="EUR"/>
    <n v="5416.35"/>
    <s v="EUR"/>
    <s v="4940197133530195 E.S. PETROSOS, S.C.C.L.  BARCELONA    ES"/>
    <x v="14"/>
    <x v="7"/>
  </r>
  <r>
    <s v="12/01/2025"/>
    <s v="13/01/2025"/>
    <x v="9"/>
    <s v="Okfarma.es"/>
    <s v="Pago con tarjeta"/>
    <n v="-64.28"/>
    <s v="EUR"/>
    <n v="5427.67"/>
    <s v="EUR"/>
    <s v="4940197133530195 OKFARMA.ES               CIUDAD REAL  ES"/>
    <x v="9"/>
    <x v="6"/>
  </r>
  <r>
    <s v="12/01/2025"/>
    <s v="13/01/2025"/>
    <x v="9"/>
    <s v="Super pegaso"/>
    <s v="Pago con tarjeta"/>
    <n v="-7.3"/>
    <s v="EUR"/>
    <n v="5491.95"/>
    <s v="EUR"/>
    <s v="4940197133530195 SUPER PEGASO             BARCELONA    ES"/>
    <x v="11"/>
    <x v="5"/>
  </r>
  <r>
    <s v="12/01/2025"/>
    <s v="13/01/2025"/>
    <x v="9"/>
    <s v="Pacifico"/>
    <s v="Pago con tarjeta"/>
    <n v="-19.3"/>
    <s v="EUR"/>
    <n v="5499.25"/>
    <s v="EUR"/>
    <s v="4940197133530195 PACIFICO                 BARCELONA    ES"/>
    <x v="4"/>
    <x v="1"/>
  </r>
  <r>
    <s v="11/01/2025"/>
    <s v="13/01/2025"/>
    <x v="9"/>
    <s v="Expendiduria n.2"/>
    <s v="Pago con tarjeta"/>
    <n v="-7.3"/>
    <s v="EUR"/>
    <n v="5518.55"/>
    <s v="EUR"/>
    <s v="4940197133530195 EXPENDIDURIA N.2         SANTA COLOMA ES"/>
    <x v="10"/>
    <x v="0"/>
  </r>
  <r>
    <s v="11/01/2025"/>
    <s v="13/01/2025"/>
    <x v="9"/>
    <s v="Suca'l sant andreu"/>
    <s v="Pago con tarjeta"/>
    <n v="-2.1"/>
    <s v="EUR"/>
    <n v="5525.85"/>
    <s v="EUR"/>
    <s v="4940197133530195 SUCA'L SANT ANDREU       BARCELONA    ES"/>
    <x v="4"/>
    <x v="1"/>
  </r>
  <r>
    <s v="11/01/2025"/>
    <s v="13/01/2025"/>
    <x v="9"/>
    <s v="Cofac sant andreu"/>
    <s v="Pago con tarjeta"/>
    <n v="-4.5"/>
    <s v="EUR"/>
    <n v="5527.95"/>
    <s v="EUR"/>
    <s v="4940197133530195 COFAC SANT ANDREU        BARCELONA    ES"/>
    <x v="17"/>
    <x v="3"/>
  </r>
  <r>
    <s v="10/01/2025"/>
    <s v="10/01/2025"/>
    <x v="9"/>
    <s v="Com. por emisión y mant.de una tarjeta de debito"/>
    <s v="Comisiones,gastos e inter. pagados"/>
    <n v="-35"/>
    <s v="EUR"/>
    <n v="5532.45"/>
    <s v="EUR"/>
    <s v="4940197133530195   CUOTA"/>
    <x v="36"/>
    <x v="8"/>
  </r>
  <r>
    <s v="10/01/2025"/>
    <s v="10/01/2025"/>
    <x v="9"/>
    <s v="Adeudo de vodafone"/>
    <s v="Adeudo nº 2025008001925341"/>
    <n v="-78.2"/>
    <s v="EUR"/>
    <n v="5567.45"/>
    <s v="EUR"/>
    <s v="N 2025008001925341 Vodafone                             CPVR"/>
    <x v="18"/>
    <x v="2"/>
  </r>
  <r>
    <s v="09/01/2025"/>
    <s v="09/01/2025"/>
    <x v="9"/>
    <s v="Kiwoko sant andreu"/>
    <s v="Pago con tarjeta"/>
    <n v="-8.5"/>
    <s v="EUR"/>
    <n v="5645.65"/>
    <s v="EUR"/>
    <s v="4940197133530195 KIWOKO SANT ANDREU       BARCELONA    ES"/>
    <x v="7"/>
    <x v="5"/>
  </r>
  <r>
    <s v="09/01/2025"/>
    <s v="09/01/2025"/>
    <x v="9"/>
    <s v="Consum b.gr.s.andreu"/>
    <s v="Pago con tarjeta"/>
    <n v="-35.299999999999997"/>
    <s v="EUR"/>
    <n v="5654.15"/>
    <s v="EUR"/>
    <s v="4940197133530195 CONSUM B.GR.S.ANDREU     BARCELONA    ES"/>
    <x v="11"/>
    <x v="5"/>
  </r>
  <r>
    <s v="09/01/2025"/>
    <s v="09/01/2025"/>
    <x v="9"/>
    <s v="El mes natural"/>
    <s v="Pago con tarjeta"/>
    <n v="-5.82"/>
    <s v="EUR"/>
    <n v="5689.45"/>
    <s v="EUR"/>
    <s v="4940197133530195 EL MES NATURAL           BARCELONA    ES"/>
    <x v="11"/>
    <x v="5"/>
  </r>
  <r>
    <s v="07/01/2025"/>
    <s v="07/01/2025"/>
    <x v="9"/>
    <s v="Casa arana"/>
    <s v="Pago con tarjeta"/>
    <n v="-13.75"/>
    <s v="EUR"/>
    <n v="5695.27"/>
    <s v="EUR"/>
    <s v="4940197133530195 CASA ARANA               BARCELONA    ES"/>
    <x v="4"/>
    <x v="1"/>
  </r>
  <r>
    <s v="02/01/2025"/>
    <s v="07/01/2025"/>
    <x v="9"/>
    <s v="Amazon.es*qn6jp0gb5"/>
    <s v="Pago con tarjeta"/>
    <n v="-14.99"/>
    <s v="EUR"/>
    <n v="5709.02"/>
    <s v="EUR"/>
    <s v="4940197133530195 Amazon.es*QN6JP0GB5"/>
    <x v="13"/>
    <x v="1"/>
  </r>
  <r>
    <s v="02/01/2025"/>
    <s v="07/01/2025"/>
    <x v="9"/>
    <s v="Amazon.es*zu9402vr5"/>
    <s v="Pago con tarjeta"/>
    <n v="-32.07"/>
    <s v="EUR"/>
    <n v="5724.01"/>
    <s v="EUR"/>
    <s v="4940197133530195 Amazon.es*ZU9402VR5"/>
    <x v="13"/>
    <x v="1"/>
  </r>
  <r>
    <s v="04/01/2025"/>
    <s v="07/01/2025"/>
    <x v="9"/>
    <s v="Fever* tarjeta regalo"/>
    <s v="Pago con tarjeta"/>
    <n v="-60"/>
    <s v="EUR"/>
    <n v="5756.08"/>
    <s v="EUR"/>
    <s v="4940197133530195 FEVER* TARJETA REGALO"/>
    <x v="16"/>
    <x v="1"/>
  </r>
  <r>
    <s v="07/01/2025"/>
    <s v="07/01/2025"/>
    <x v="9"/>
    <s v="Adeudo de endesa"/>
    <s v="Adeudo nº 2025006001962288"/>
    <n v="-125.9"/>
    <s v="EUR"/>
    <n v="5816.08"/>
    <s v="EUR"/>
    <s v="N 2025006001962288 ENERGIA XXI                          CPVR"/>
    <x v="2"/>
    <x v="2"/>
  </r>
  <r>
    <s v="04/01/2025"/>
    <s v="07/01/2025"/>
    <x v="9"/>
    <s v="Bbva plan estarseguro"/>
    <s v="Otros"/>
    <n v="-55.54"/>
    <s v="EUR"/>
    <n v="5941.98"/>
    <s v="EUR"/>
    <s v="BBVA PLAN ESTARSEGURO"/>
    <x v="21"/>
    <x v="3"/>
  </r>
  <r>
    <s v="04/01/2025"/>
    <s v="07/01/2025"/>
    <x v="9"/>
    <s v="Papeleria lamas"/>
    <s v="Pago con tarjeta"/>
    <n v="-2"/>
    <s v="EUR"/>
    <n v="5997.52"/>
    <s v="EUR"/>
    <s v="4940197133530195 PAPELERIA LAMAS          BARCELONA    ES"/>
    <x v="13"/>
    <x v="1"/>
  </r>
  <r>
    <s v="04/01/2025"/>
    <s v="07/01/2025"/>
    <x v="9"/>
    <s v="La bodegueta 2"/>
    <s v="Pago con tarjeta"/>
    <n v="-32.549999999999997"/>
    <s v="EUR"/>
    <n v="5999.52"/>
    <s v="EUR"/>
    <s v="4940197133530195 LA BODEGUETA 2           BARCELONA    ES"/>
    <x v="4"/>
    <x v="1"/>
  </r>
  <r>
    <s v="01/01/2025"/>
    <s v="03/01/2025"/>
    <x v="9"/>
    <s v="Bit2me"/>
    <s v="Pago con tarjeta"/>
    <n v="-400"/>
    <s v="EUR"/>
    <n v="6032.07"/>
    <s v="EUR"/>
    <s v="4940197133530195 BIT2ME"/>
    <x v="37"/>
    <x v="4"/>
  </r>
  <r>
    <s v="05/01/2025"/>
    <s v="03/01/2025"/>
    <x v="9"/>
    <s v="Cuota mensual de fraccionamiento de gastos"/>
    <s v="Cuota préstamo"/>
    <n v="-83.93"/>
    <s v="EUR"/>
    <n v="6432.07"/>
    <s v="EUR"/>
    <s v="8123450000175812"/>
    <x v="23"/>
    <x v="3"/>
  </r>
  <r>
    <s v="02/01/2025"/>
    <s v="02/01/2025"/>
    <x v="9"/>
    <s v="Consum b.gr.s.andreu"/>
    <s v="Pago con tarjeta"/>
    <n v="-34.9"/>
    <s v="EUR"/>
    <n v="6516"/>
    <s v="EUR"/>
    <s v="4940197133530195 CONSUM B.GR.S.ANDREU     BARCELONA    ES"/>
    <x v="11"/>
    <x v="5"/>
  </r>
  <r>
    <s v="02/01/2025"/>
    <s v="02/01/2025"/>
    <x v="9"/>
    <s v="Bizum"/>
    <s v="Recibido: iphone mes de desembre"/>
    <n v="40"/>
    <s v="EUR"/>
    <n v="6550.9"/>
    <s v="EUR"/>
    <s v="RECIBIDO: iphone mes de desembre"/>
    <x v="18"/>
    <x v="2"/>
  </r>
  <r>
    <s v="02/01/2025"/>
    <s v="02/01/2025"/>
    <x v="9"/>
    <s v="Transferencia realizada"/>
    <s v="Patricia triano moto"/>
    <n v="-30"/>
    <s v="EUR"/>
    <n v="6510.9"/>
    <s v="EUR"/>
    <s v="PATRICIA TRIANO MOTO"/>
    <x v="25"/>
    <x v="7"/>
  </r>
  <r>
    <s v="02/01/2025"/>
    <s v="02/01/2025"/>
    <x v="9"/>
    <s v="Adeudo assessoria i finques fuster s.l."/>
    <s v="Adeudo nº 2025002000805422"/>
    <n v="-50"/>
    <s v="EUR"/>
    <n v="6540.9"/>
    <s v="EUR"/>
    <s v="N 2025002000805422 ASSESSORIA I FINQUES FUSTER S.L."/>
    <x v="26"/>
    <x v="3"/>
  </r>
  <r>
    <s v="01/01/2025"/>
    <s v="02/01/2025"/>
    <x v="9"/>
    <s v="Fundacion teaming"/>
    <s v="Pago con tarjeta"/>
    <n v="-9"/>
    <s v="EUR"/>
    <n v="6590.9"/>
    <s v="EUR"/>
    <s v="4940197133530195 FUNDACION TEAMING        SANT CUGAT DEES"/>
    <x v="24"/>
    <x v="0"/>
  </r>
  <r>
    <s v="01/01/2025"/>
    <s v="02/01/2025"/>
    <x v="9"/>
    <s v="Bizum"/>
    <s v="Recibido: bizum"/>
    <n v="400"/>
    <s v="EUR"/>
    <n v="6599.9"/>
    <s v="EUR"/>
    <s v="RECIBIDO: Bizum"/>
    <x v="37"/>
    <x v="4"/>
  </r>
  <r>
    <s v="01/01/2025"/>
    <s v="02/01/2025"/>
    <x v="9"/>
    <s v="Bizum"/>
    <s v="Recibido: bizum"/>
    <n v="48"/>
    <s v="EUR"/>
    <n v="6199.9"/>
    <s v="EUR"/>
    <s v="RECIBIDO: Bizum"/>
    <x v="12"/>
    <x v="4"/>
  </r>
  <r>
    <s v="01/01/2025"/>
    <s v="02/01/2025"/>
    <x v="9"/>
    <s v="Taxi lic. 3162"/>
    <s v="Pago con tarjeta"/>
    <n v="-26.3"/>
    <s v="EUR"/>
    <n v="6151.9"/>
    <s v="EUR"/>
    <s v="4940197133530195 TAXI LIC. 3162           BARCELONA    ES"/>
    <x v="0"/>
    <x v="0"/>
  </r>
  <r>
    <s v="01/01/2025"/>
    <s v="02/01/2025"/>
    <x v="9"/>
    <s v="Bizum"/>
    <s v="Enviado: sin concepto"/>
    <n v="-6"/>
    <s v="EUR"/>
    <n v="6178.2"/>
    <s v="EUR"/>
    <s v="ENVIADO: Sin concepto"/>
    <x v="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4492F-DA33-4A1A-ADC6-4D1200F9246D}" name="TablaDinámica1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52" firstHeaderRow="1" firstDataRow="2" firstDataCol="2"/>
  <pivotFields count="12">
    <pivotField compact="0" outline="0" showAll="0"/>
    <pivotField compact="0" outline="0" showAll="0"/>
    <pivotField axis="axisCol" compact="0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9">
        <item x="5"/>
        <item x="15"/>
        <item x="4"/>
        <item x="21"/>
        <item x="37"/>
        <item x="12"/>
        <item x="17"/>
        <item x="36"/>
        <item x="13"/>
        <item x="23"/>
        <item x="24"/>
        <item x="30"/>
        <item x="9"/>
        <item x="26"/>
        <item x="14"/>
        <item x="27"/>
        <item x="3"/>
        <item x="35"/>
        <item x="20"/>
        <item x="22"/>
        <item x="2"/>
        <item x="7"/>
        <item x="1"/>
        <item x="6"/>
        <item x="16"/>
        <item x="25"/>
        <item x="33"/>
        <item x="19"/>
        <item x="31"/>
        <item x="34"/>
        <item x="8"/>
        <item x="11"/>
        <item x="10"/>
        <item x="0"/>
        <item x="29"/>
        <item x="32"/>
        <item x="28"/>
        <item x="18"/>
        <item t="default"/>
      </items>
    </pivotField>
    <pivotField axis="axisRow" compact="0" outline="0" showAll="0" sortType="ascending">
      <items count="11">
        <item x="8"/>
        <item x="7"/>
        <item x="1"/>
        <item x="0"/>
        <item x="6"/>
        <item x="2"/>
        <item x="5"/>
        <item x="4"/>
        <item x="3"/>
        <item m="1" x="9"/>
        <item t="default"/>
      </items>
    </pivotField>
  </pivotFields>
  <rowFields count="2">
    <field x="11"/>
    <field x="10"/>
  </rowFields>
  <rowItems count="48">
    <i>
      <x/>
      <x v="7"/>
    </i>
    <i t="default">
      <x/>
    </i>
    <i>
      <x v="1"/>
      <x v="14"/>
    </i>
    <i r="1">
      <x v="17"/>
    </i>
    <i r="1">
      <x v="25"/>
    </i>
    <i t="default">
      <x v="1"/>
    </i>
    <i>
      <x v="2"/>
      <x v="1"/>
    </i>
    <i r="1">
      <x v="2"/>
    </i>
    <i r="1">
      <x v="8"/>
    </i>
    <i r="1">
      <x v="15"/>
    </i>
    <i r="1">
      <x v="18"/>
    </i>
    <i r="1">
      <x v="19"/>
    </i>
    <i r="1">
      <x v="22"/>
    </i>
    <i r="1">
      <x v="24"/>
    </i>
    <i r="1">
      <x v="26"/>
    </i>
    <i r="1">
      <x v="27"/>
    </i>
    <i r="1">
      <x v="28"/>
    </i>
    <i r="1">
      <x v="30"/>
    </i>
    <i r="1">
      <x v="35"/>
    </i>
    <i r="1">
      <x v="36"/>
    </i>
    <i t="default">
      <x v="2"/>
    </i>
    <i>
      <x v="3"/>
      <x v="10"/>
    </i>
    <i r="1">
      <x v="32"/>
    </i>
    <i r="1">
      <x v="33"/>
    </i>
    <i t="default">
      <x v="3"/>
    </i>
    <i>
      <x v="4"/>
      <x v="12"/>
    </i>
    <i t="default">
      <x v="4"/>
    </i>
    <i>
      <x v="5"/>
      <x/>
    </i>
    <i r="1">
      <x v="20"/>
    </i>
    <i r="1">
      <x v="37"/>
    </i>
    <i t="default">
      <x v="5"/>
    </i>
    <i>
      <x v="6"/>
      <x v="21"/>
    </i>
    <i r="1">
      <x v="31"/>
    </i>
    <i t="default">
      <x v="6"/>
    </i>
    <i>
      <x v="7"/>
      <x v="4"/>
    </i>
    <i r="1">
      <x v="5"/>
    </i>
    <i r="1">
      <x v="11"/>
    </i>
    <i r="1">
      <x v="23"/>
    </i>
    <i r="1">
      <x v="29"/>
    </i>
    <i t="default">
      <x v="7"/>
    </i>
    <i>
      <x v="8"/>
      <x v="3"/>
    </i>
    <i r="1">
      <x v="6"/>
    </i>
    <i r="1">
      <x v="9"/>
    </i>
    <i r="1">
      <x v="13"/>
    </i>
    <i r="1">
      <x v="16"/>
    </i>
    <i r="1">
      <x v="34"/>
    </i>
    <i t="default">
      <x v="8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Importe" fld="5" baseField="0" baseItem="0" numFmtId="4"/>
  </dataFields>
  <formats count="8"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10" type="button" dataOnly="0" labelOnly="1" outline="0" axis="axisRow" fieldPosition="1"/>
    </format>
    <format dxfId="302">
      <pivotArea dataOnly="0" labelOnly="1" fieldPosition="0">
        <references count="1">
          <reference field="10" count="0"/>
        </references>
      </pivotArea>
    </format>
    <format dxfId="301">
      <pivotArea dataOnly="0" labelOnly="1" grandRow="1" outline="0" fieldPosition="0"/>
    </format>
    <format dxfId="300">
      <pivotArea dataOnly="0" labelOnly="1" outline="0" axis="axisValues" fieldPosition="0"/>
    </format>
    <format dxfId="204">
      <pivotArea outline="0" collapsedLevelsAreSubtotals="1" fieldPosition="0"/>
    </format>
    <format dxfId="203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46186-3D2B-4729-BD8A-4987B0BC1A3C}" name="Tabla1" displayName="Tabla1" ref="A1:L744" totalsRowShown="0" headerRowBorderDxfId="53" tableBorderDxfId="54" totalsRowBorderDxfId="52">
  <autoFilter ref="A1:L744" xr:uid="{00000000-0001-0000-0000-000000000000}"/>
  <tableColumns count="12">
    <tableColumn id="1" xr3:uid="{B10D791B-8B8F-46EE-84D0-D8CBEB589A82}" name="F.Valor" dataDxfId="51"/>
    <tableColumn id="2" xr3:uid="{1F660F20-1B30-4A2E-A2F6-26AF1315CD1A}" name="Fecha" dataDxfId="50"/>
    <tableColumn id="3" xr3:uid="{69CC5858-91DB-48B8-92A3-4BEC9B13D10A}" name="Periodo" dataDxfId="49">
      <calculatedColumnFormula>MONTH(A2)</calculatedColumnFormula>
    </tableColumn>
    <tableColumn id="4" xr3:uid="{196BF77F-0BA6-4148-B0D9-E0C4F12A4CB0}" name="Concepto" dataDxfId="48"/>
    <tableColumn id="5" xr3:uid="{1B5B7177-4736-4B9E-B095-5DA31A810C6E}" name="Movimiento" dataDxfId="47"/>
    <tableColumn id="6" xr3:uid="{CF95EA6B-1166-413D-90B6-FE9B5C577537}" name="Importe" dataDxfId="46"/>
    <tableColumn id="7" xr3:uid="{148ED136-3201-442B-BC3B-44E0963F3BEC}" name="Divisa" dataDxfId="45"/>
    <tableColumn id="8" xr3:uid="{E6460993-554E-4C68-9727-9B7BE3BA247C}" name="Disponible" dataDxfId="44"/>
    <tableColumn id="9" xr3:uid="{80338567-CE27-4D71-8B2B-8FB47DE472C2}" name="Divisa2" dataDxfId="43"/>
    <tableColumn id="10" xr3:uid="{07B772EF-3736-4939-810C-91891C6B2986}" name="Observaciones" dataDxfId="42"/>
    <tableColumn id="11" xr3:uid="{7F4A47C6-21B9-44F2-9F83-35A3405931E3}" name="Subcatergoria" dataDxfId="41"/>
    <tableColumn id="12" xr3:uid="{ABAC5B35-2097-4C67-9E59-FCB95B96C059}" name="Categoria" dataDxfId="40">
      <calculatedColumnFormula>VLOOKUP(K2,'COD.'!$A$1:$B$39,2,0)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4"/>
  <sheetViews>
    <sheetView showGridLines="0" workbookViewId="0">
      <selection activeCell="E10" sqref="E10"/>
    </sheetView>
  </sheetViews>
  <sheetFormatPr baseColWidth="10" defaultColWidth="11.42578125" defaultRowHeight="12.75" x14ac:dyDescent="0.2"/>
  <cols>
    <col min="1" max="2" width="10.42578125" style="2" bestFit="1" customWidth="1"/>
    <col min="3" max="3" width="9.42578125" style="2" bestFit="1" customWidth="1"/>
    <col min="4" max="4" width="40.28515625" style="2" bestFit="1" customWidth="1"/>
    <col min="5" max="5" width="53.7109375" style="2" customWidth="1"/>
    <col min="6" max="6" width="9.7109375" style="3" bestFit="1" customWidth="1"/>
    <col min="7" max="7" width="7.7109375" style="3" bestFit="1" customWidth="1"/>
    <col min="8" max="8" width="11.42578125" style="3" bestFit="1" customWidth="1"/>
    <col min="9" max="9" width="8.7109375" style="2" bestFit="1" customWidth="1"/>
    <col min="10" max="10" width="57.28515625" style="2" bestFit="1" customWidth="1"/>
    <col min="11" max="11" width="37" style="6009" bestFit="1" customWidth="1"/>
    <col min="12" max="12" width="21.28515625" style="6009" bestFit="1" customWidth="1"/>
    <col min="13" max="16384" width="11.42578125" style="2"/>
  </cols>
  <sheetData>
    <row r="1" spans="1:12" x14ac:dyDescent="0.2">
      <c r="A1" s="6761" t="s">
        <v>0</v>
      </c>
      <c r="B1" s="6762" t="s">
        <v>1</v>
      </c>
      <c r="C1" s="6763" t="s">
        <v>1190</v>
      </c>
      <c r="D1" s="6764" t="s">
        <v>2</v>
      </c>
      <c r="E1" s="6765" t="s">
        <v>3</v>
      </c>
      <c r="F1" s="6766" t="s">
        <v>4</v>
      </c>
      <c r="G1" s="6767" t="s">
        <v>5</v>
      </c>
      <c r="H1" s="6768" t="s">
        <v>6</v>
      </c>
      <c r="I1" s="6769" t="s">
        <v>1191</v>
      </c>
      <c r="J1" s="6770" t="s">
        <v>7</v>
      </c>
      <c r="K1" s="6771" t="s">
        <v>1179</v>
      </c>
      <c r="L1" s="6772" t="s">
        <v>1180</v>
      </c>
    </row>
    <row r="2" spans="1:12" x14ac:dyDescent="0.2">
      <c r="A2" s="6018" t="s">
        <v>8</v>
      </c>
      <c r="B2" s="4" t="s">
        <v>8</v>
      </c>
      <c r="C2" s="6013">
        <f>MONTH(A2)</f>
        <v>10</v>
      </c>
      <c r="D2" s="5936" t="s">
        <v>9</v>
      </c>
      <c r="E2" s="5" t="s">
        <v>10</v>
      </c>
      <c r="F2" s="6">
        <v>-4.88</v>
      </c>
      <c r="G2" s="7" t="s">
        <v>11</v>
      </c>
      <c r="H2" s="8">
        <v>5664.75</v>
      </c>
      <c r="I2" s="9" t="s">
        <v>11</v>
      </c>
      <c r="J2" s="10" t="s">
        <v>12</v>
      </c>
      <c r="K2" s="5940" t="s">
        <v>1163</v>
      </c>
      <c r="L2" s="6760" t="str">
        <f>VLOOKUP(K2,'COD.'!$A$1:$B$39,2,0)</f>
        <v xml:space="preserve">Otros Gastos Generales </v>
      </c>
    </row>
    <row r="3" spans="1:12" x14ac:dyDescent="0.2">
      <c r="A3" s="6019" t="s">
        <v>13</v>
      </c>
      <c r="B3" s="11" t="s">
        <v>8</v>
      </c>
      <c r="C3" s="6013">
        <f t="shared" ref="C3:C66" si="0">MONTH(A3)</f>
        <v>10</v>
      </c>
      <c r="D3" s="12" t="s">
        <v>14</v>
      </c>
      <c r="E3" s="13" t="s">
        <v>10</v>
      </c>
      <c r="F3" s="14">
        <v>-6.99</v>
      </c>
      <c r="G3" s="15" t="s">
        <v>11</v>
      </c>
      <c r="H3" s="16">
        <v>5669.63</v>
      </c>
      <c r="I3" s="17" t="s">
        <v>11</v>
      </c>
      <c r="J3" s="18" t="s">
        <v>15</v>
      </c>
      <c r="K3" s="6010" t="s">
        <v>1178</v>
      </c>
      <c r="L3" s="6760" t="str">
        <f>VLOOKUP(K3,'COD.'!$A$1:$B$39,2,0)</f>
        <v xml:space="preserve">Ocio y Entretenimiento </v>
      </c>
    </row>
    <row r="4" spans="1:12" x14ac:dyDescent="0.2">
      <c r="A4" s="6020" t="s">
        <v>8</v>
      </c>
      <c r="B4" s="19" t="s">
        <v>8</v>
      </c>
      <c r="C4" s="6013">
        <f t="shared" si="0"/>
        <v>10</v>
      </c>
      <c r="D4" s="20" t="s">
        <v>16</v>
      </c>
      <c r="E4" s="21" t="s">
        <v>17</v>
      </c>
      <c r="F4" s="22">
        <v>-67.81</v>
      </c>
      <c r="G4" s="23" t="s">
        <v>11</v>
      </c>
      <c r="H4" s="24">
        <v>5676.62</v>
      </c>
      <c r="I4" s="25" t="s">
        <v>11</v>
      </c>
      <c r="J4" s="26" t="s">
        <v>18</v>
      </c>
      <c r="K4" s="5941" t="s">
        <v>1188</v>
      </c>
      <c r="L4" s="6760" t="str">
        <f>VLOOKUP(K4,'COD.'!$A$1:$B$39,2,0)</f>
        <v xml:space="preserve">Suministros </v>
      </c>
    </row>
    <row r="5" spans="1:12" x14ac:dyDescent="0.2">
      <c r="A5" s="6021" t="s">
        <v>8</v>
      </c>
      <c r="B5" s="27" t="s">
        <v>8</v>
      </c>
      <c r="C5" s="6013">
        <f t="shared" si="0"/>
        <v>10</v>
      </c>
      <c r="D5" s="28" t="s">
        <v>19</v>
      </c>
      <c r="E5" s="29" t="s">
        <v>20</v>
      </c>
      <c r="F5" s="30">
        <v>-461.91</v>
      </c>
      <c r="G5" s="31" t="s">
        <v>11</v>
      </c>
      <c r="H5" s="32">
        <v>5744.43</v>
      </c>
      <c r="I5" s="33" t="s">
        <v>11</v>
      </c>
      <c r="J5" s="34" t="s">
        <v>21</v>
      </c>
      <c r="K5" s="5942" t="s">
        <v>1170</v>
      </c>
      <c r="L5" s="6760" t="str">
        <f>VLOOKUP(K5,'COD.'!$A$1:$B$39,2,0)</f>
        <v xml:space="preserve">Vivienda y Préstamos </v>
      </c>
    </row>
    <row r="6" spans="1:12" x14ac:dyDescent="0.2">
      <c r="A6" s="6022" t="s">
        <v>13</v>
      </c>
      <c r="B6" s="35" t="s">
        <v>13</v>
      </c>
      <c r="C6" s="6013">
        <f t="shared" si="0"/>
        <v>10</v>
      </c>
      <c r="D6" s="36" t="s">
        <v>22</v>
      </c>
      <c r="E6" s="37" t="s">
        <v>10</v>
      </c>
      <c r="F6" s="38">
        <v>-21.6</v>
      </c>
      <c r="G6" s="39" t="s">
        <v>11</v>
      </c>
      <c r="H6" s="40">
        <v>6206.34</v>
      </c>
      <c r="I6" s="41" t="s">
        <v>11</v>
      </c>
      <c r="J6" s="42" t="s">
        <v>23</v>
      </c>
      <c r="K6" s="5943" t="s">
        <v>1145</v>
      </c>
      <c r="L6" s="6760" t="str">
        <f>VLOOKUP(K6,'COD.'!$A$1:$B$39,2,0)</f>
        <v xml:space="preserve">Ocio y Entretenimiento </v>
      </c>
    </row>
    <row r="7" spans="1:12" x14ac:dyDescent="0.2">
      <c r="A7" s="6023" t="s">
        <v>13</v>
      </c>
      <c r="B7" s="43" t="s">
        <v>13</v>
      </c>
      <c r="C7" s="6013">
        <f t="shared" si="0"/>
        <v>10</v>
      </c>
      <c r="D7" s="44" t="s">
        <v>24</v>
      </c>
      <c r="E7" s="45" t="s">
        <v>10</v>
      </c>
      <c r="F7" s="46">
        <v>-3.9</v>
      </c>
      <c r="G7" s="47" t="s">
        <v>11</v>
      </c>
      <c r="H7" s="48">
        <v>6227.94</v>
      </c>
      <c r="I7" s="49" t="s">
        <v>11</v>
      </c>
      <c r="J7" s="50" t="s">
        <v>25</v>
      </c>
      <c r="K7" s="5944" t="s">
        <v>1145</v>
      </c>
      <c r="L7" s="6760" t="str">
        <f>VLOOKUP(K7,'COD.'!$A$1:$B$39,2,0)</f>
        <v xml:space="preserve">Ocio y Entretenimiento </v>
      </c>
    </row>
    <row r="8" spans="1:12" x14ac:dyDescent="0.2">
      <c r="A8" s="6024" t="s">
        <v>13</v>
      </c>
      <c r="B8" s="51" t="s">
        <v>13</v>
      </c>
      <c r="C8" s="6013">
        <f t="shared" si="0"/>
        <v>10</v>
      </c>
      <c r="D8" s="52" t="s">
        <v>26</v>
      </c>
      <c r="E8" s="53" t="s">
        <v>27</v>
      </c>
      <c r="F8" s="54">
        <v>-44.47</v>
      </c>
      <c r="G8" s="55" t="s">
        <v>11</v>
      </c>
      <c r="H8" s="56">
        <v>6231.84</v>
      </c>
      <c r="I8" s="57" t="s">
        <v>11</v>
      </c>
      <c r="J8" s="58" t="s">
        <v>28</v>
      </c>
      <c r="K8" s="5940" t="s">
        <v>1189</v>
      </c>
      <c r="L8" s="6760" t="str">
        <f>VLOOKUP(K8,'COD.'!$A$1:$B$39,2,0)</f>
        <v xml:space="preserve">Suministros </v>
      </c>
    </row>
    <row r="9" spans="1:12" x14ac:dyDescent="0.2">
      <c r="A9" s="6025" t="s">
        <v>13</v>
      </c>
      <c r="B9" s="59" t="s">
        <v>13</v>
      </c>
      <c r="C9" s="6013">
        <f t="shared" si="0"/>
        <v>10</v>
      </c>
      <c r="D9" s="60" t="s">
        <v>29</v>
      </c>
      <c r="E9" s="61" t="s">
        <v>30</v>
      </c>
      <c r="F9" s="62">
        <v>1867.53</v>
      </c>
      <c r="G9" s="63" t="s">
        <v>11</v>
      </c>
      <c r="H9" s="64">
        <v>6276.31</v>
      </c>
      <c r="I9" s="65" t="s">
        <v>11</v>
      </c>
      <c r="J9" s="66" t="s">
        <v>30</v>
      </c>
      <c r="K9" s="5945" t="s">
        <v>1144</v>
      </c>
      <c r="L9" s="6760" t="str">
        <f>VLOOKUP(K9,'COD.'!$A$1:$B$39,2,0)</f>
        <v xml:space="preserve">Transferencias y Efectivo </v>
      </c>
    </row>
    <row r="10" spans="1:12" x14ac:dyDescent="0.2">
      <c r="A10" s="6026" t="s">
        <v>31</v>
      </c>
      <c r="B10" s="67" t="s">
        <v>31</v>
      </c>
      <c r="C10" s="6013">
        <f t="shared" si="0"/>
        <v>10</v>
      </c>
      <c r="D10" s="68" t="s">
        <v>32</v>
      </c>
      <c r="E10" s="69" t="s">
        <v>10</v>
      </c>
      <c r="F10" s="70">
        <v>-29.95</v>
      </c>
      <c r="G10" s="71" t="s">
        <v>11</v>
      </c>
      <c r="H10" s="72">
        <v>4408.78</v>
      </c>
      <c r="I10" s="73" t="s">
        <v>11</v>
      </c>
      <c r="J10" s="74" t="s">
        <v>33</v>
      </c>
      <c r="K10" s="5946" t="s">
        <v>1146</v>
      </c>
      <c r="L10" s="6760" t="str">
        <f>VLOOKUP(K10,'COD.'!$A$1:$B$39,2,0)</f>
        <v xml:space="preserve">Supermercado </v>
      </c>
    </row>
    <row r="11" spans="1:12" x14ac:dyDescent="0.2">
      <c r="A11" s="6027" t="s">
        <v>34</v>
      </c>
      <c r="B11" s="75" t="s">
        <v>35</v>
      </c>
      <c r="C11" s="6013">
        <f t="shared" si="0"/>
        <v>10</v>
      </c>
      <c r="D11" s="76" t="s">
        <v>36</v>
      </c>
      <c r="E11" s="77" t="s">
        <v>10</v>
      </c>
      <c r="F11" s="78">
        <v>-11.99</v>
      </c>
      <c r="G11" s="79" t="s">
        <v>11</v>
      </c>
      <c r="H11" s="80">
        <v>4438.7299999999996</v>
      </c>
      <c r="I11" s="81" t="s">
        <v>11</v>
      </c>
      <c r="J11" s="82" t="s">
        <v>37</v>
      </c>
      <c r="K11" s="5940" t="s">
        <v>1173</v>
      </c>
      <c r="L11" s="6760" t="str">
        <f>VLOOKUP(K11,'COD.'!$A$1:$B$39,2,0)</f>
        <v xml:space="preserve">Ocio y Entretenimiento </v>
      </c>
    </row>
    <row r="12" spans="1:12" x14ac:dyDescent="0.2">
      <c r="A12" s="6028" t="s">
        <v>38</v>
      </c>
      <c r="B12" s="83" t="s">
        <v>35</v>
      </c>
      <c r="C12" s="6013">
        <f t="shared" si="0"/>
        <v>10</v>
      </c>
      <c r="D12" s="84" t="s">
        <v>39</v>
      </c>
      <c r="E12" s="85" t="s">
        <v>10</v>
      </c>
      <c r="F12" s="86">
        <v>-3.26</v>
      </c>
      <c r="G12" s="87" t="s">
        <v>11</v>
      </c>
      <c r="H12" s="88">
        <v>4450.72</v>
      </c>
      <c r="I12" s="89" t="s">
        <v>11</v>
      </c>
      <c r="J12" s="90" t="s">
        <v>40</v>
      </c>
      <c r="K12" s="5948" t="s">
        <v>443</v>
      </c>
      <c r="L12" s="6760" t="str">
        <f>VLOOKUP(K12,'COD.'!$A$1:$B$39,2,0)</f>
        <v xml:space="preserve">Salud y Cuidado </v>
      </c>
    </row>
    <row r="13" spans="1:12" x14ac:dyDescent="0.2">
      <c r="A13" s="6029" t="s">
        <v>41</v>
      </c>
      <c r="B13" s="91" t="s">
        <v>35</v>
      </c>
      <c r="C13" s="6013">
        <f t="shared" si="0"/>
        <v>10</v>
      </c>
      <c r="D13" s="92" t="s">
        <v>42</v>
      </c>
      <c r="E13" s="93" t="s">
        <v>10</v>
      </c>
      <c r="F13" s="94">
        <v>-17.89</v>
      </c>
      <c r="G13" s="95" t="s">
        <v>11</v>
      </c>
      <c r="H13" s="96">
        <v>4453.9799999999996</v>
      </c>
      <c r="I13" s="97" t="s">
        <v>11</v>
      </c>
      <c r="J13" s="98" t="s">
        <v>43</v>
      </c>
      <c r="K13" s="5949" t="s">
        <v>1146</v>
      </c>
      <c r="L13" s="6760" t="str">
        <f>VLOOKUP(K13,'COD.'!$A$1:$B$39,2,0)</f>
        <v xml:space="preserve">Supermercado </v>
      </c>
    </row>
    <row r="14" spans="1:12" x14ac:dyDescent="0.2">
      <c r="A14" s="6030" t="s">
        <v>41</v>
      </c>
      <c r="B14" s="99" t="s">
        <v>35</v>
      </c>
      <c r="C14" s="6013">
        <f t="shared" si="0"/>
        <v>10</v>
      </c>
      <c r="D14" s="100" t="s">
        <v>44</v>
      </c>
      <c r="E14" s="101" t="s">
        <v>10</v>
      </c>
      <c r="F14" s="102">
        <v>-2.9</v>
      </c>
      <c r="G14" s="103" t="s">
        <v>11</v>
      </c>
      <c r="H14" s="104">
        <v>4471.87</v>
      </c>
      <c r="I14" s="105" t="s">
        <v>11</v>
      </c>
      <c r="J14" s="106" t="s">
        <v>45</v>
      </c>
      <c r="K14" s="5950" t="s">
        <v>1145</v>
      </c>
      <c r="L14" s="6760" t="str">
        <f>VLOOKUP(K14,'COD.'!$A$1:$B$39,2,0)</f>
        <v xml:space="preserve">Ocio y Entretenimiento </v>
      </c>
    </row>
    <row r="15" spans="1:12" x14ac:dyDescent="0.2">
      <c r="A15" s="6031" t="s">
        <v>46</v>
      </c>
      <c r="B15" s="107" t="s">
        <v>35</v>
      </c>
      <c r="C15" s="6013">
        <f t="shared" si="0"/>
        <v>10</v>
      </c>
      <c r="D15" s="108" t="s">
        <v>47</v>
      </c>
      <c r="E15" s="109" t="s">
        <v>10</v>
      </c>
      <c r="F15" s="110">
        <v>-7.95</v>
      </c>
      <c r="G15" s="111" t="s">
        <v>11</v>
      </c>
      <c r="H15" s="112">
        <v>4474.7700000000004</v>
      </c>
      <c r="I15" s="113" t="s">
        <v>11</v>
      </c>
      <c r="J15" s="114" t="s">
        <v>48</v>
      </c>
      <c r="K15" s="5951" t="s">
        <v>1145</v>
      </c>
      <c r="L15" s="6760" t="str">
        <f>VLOOKUP(K15,'COD.'!$A$1:$B$39,2,0)</f>
        <v xml:space="preserve">Ocio y Entretenimiento </v>
      </c>
    </row>
    <row r="16" spans="1:12" x14ac:dyDescent="0.2">
      <c r="A16" s="6032" t="s">
        <v>46</v>
      </c>
      <c r="B16" s="115" t="s">
        <v>46</v>
      </c>
      <c r="C16" s="6013">
        <f t="shared" si="0"/>
        <v>10</v>
      </c>
      <c r="D16" s="116" t="s">
        <v>49</v>
      </c>
      <c r="E16" s="117" t="s">
        <v>10</v>
      </c>
      <c r="F16" s="118">
        <v>-1.7</v>
      </c>
      <c r="G16" s="119" t="s">
        <v>11</v>
      </c>
      <c r="H16" s="120">
        <v>4482.72</v>
      </c>
      <c r="I16" s="121" t="s">
        <v>11</v>
      </c>
      <c r="J16" s="122" t="s">
        <v>50</v>
      </c>
      <c r="K16" s="5952" t="s">
        <v>1145</v>
      </c>
      <c r="L16" s="6760" t="str">
        <f>VLOOKUP(K16,'COD.'!$A$1:$B$39,2,0)</f>
        <v xml:space="preserve">Ocio y Entretenimiento </v>
      </c>
    </row>
    <row r="17" spans="1:12" x14ac:dyDescent="0.2">
      <c r="A17" s="6033" t="s">
        <v>46</v>
      </c>
      <c r="B17" s="123" t="s">
        <v>46</v>
      </c>
      <c r="C17" s="6013">
        <f t="shared" si="0"/>
        <v>10</v>
      </c>
      <c r="D17" s="124" t="s">
        <v>51</v>
      </c>
      <c r="E17" s="125" t="s">
        <v>10</v>
      </c>
      <c r="F17" s="126">
        <v>-6.3</v>
      </c>
      <c r="G17" s="127" t="s">
        <v>11</v>
      </c>
      <c r="H17" s="128">
        <v>4484.42</v>
      </c>
      <c r="I17" s="129" t="s">
        <v>11</v>
      </c>
      <c r="J17" s="130" t="s">
        <v>52</v>
      </c>
      <c r="K17" s="5953" t="s">
        <v>1147</v>
      </c>
      <c r="L17" s="6760" t="str">
        <f>VLOOKUP(K17,'COD.'!$A$1:$B$39,2,0)</f>
        <v xml:space="preserve">Otros Gastos Generales </v>
      </c>
    </row>
    <row r="18" spans="1:12" x14ac:dyDescent="0.2">
      <c r="A18" s="6034" t="s">
        <v>34</v>
      </c>
      <c r="B18" s="131" t="s">
        <v>34</v>
      </c>
      <c r="C18" s="6013">
        <f t="shared" si="0"/>
        <v>10</v>
      </c>
      <c r="D18" s="132" t="s">
        <v>53</v>
      </c>
      <c r="E18" s="133" t="s">
        <v>10</v>
      </c>
      <c r="F18" s="134">
        <v>-64.400000000000006</v>
      </c>
      <c r="G18" s="135" t="s">
        <v>11</v>
      </c>
      <c r="H18" s="136">
        <v>4490.72</v>
      </c>
      <c r="I18" s="137" t="s">
        <v>11</v>
      </c>
      <c r="J18" s="138" t="s">
        <v>54</v>
      </c>
      <c r="K18" s="5954" t="s">
        <v>1148</v>
      </c>
      <c r="L18" s="6760" t="str">
        <f>VLOOKUP(K18,'COD.'!$A$1:$B$39,2,0)</f>
        <v xml:space="preserve">Supermercado </v>
      </c>
    </row>
    <row r="19" spans="1:12" x14ac:dyDescent="0.2">
      <c r="A19" s="6035" t="s">
        <v>55</v>
      </c>
      <c r="B19" s="139" t="s">
        <v>55</v>
      </c>
      <c r="C19" s="6013">
        <f t="shared" si="0"/>
        <v>10</v>
      </c>
      <c r="D19" s="140" t="s">
        <v>56</v>
      </c>
      <c r="E19" s="141" t="s">
        <v>10</v>
      </c>
      <c r="F19" s="142">
        <v>-1.8</v>
      </c>
      <c r="G19" s="143" t="s">
        <v>11</v>
      </c>
      <c r="H19" s="144">
        <v>4555.12</v>
      </c>
      <c r="I19" s="145" t="s">
        <v>11</v>
      </c>
      <c r="J19" s="146" t="s">
        <v>57</v>
      </c>
      <c r="K19" s="5955" t="s">
        <v>1145</v>
      </c>
      <c r="L19" s="6760" t="str">
        <f>VLOOKUP(K19,'COD.'!$A$1:$B$39,2,0)</f>
        <v xml:space="preserve">Ocio y Entretenimiento </v>
      </c>
    </row>
    <row r="20" spans="1:12" x14ac:dyDescent="0.2">
      <c r="A20" s="6036" t="s">
        <v>58</v>
      </c>
      <c r="B20" s="147" t="s">
        <v>55</v>
      </c>
      <c r="C20" s="6013">
        <f t="shared" si="0"/>
        <v>10</v>
      </c>
      <c r="D20" s="148" t="s">
        <v>22</v>
      </c>
      <c r="E20" s="149" t="s">
        <v>10</v>
      </c>
      <c r="F20" s="150">
        <v>-14.4</v>
      </c>
      <c r="G20" s="151" t="s">
        <v>11</v>
      </c>
      <c r="H20" s="152">
        <v>4556.92</v>
      </c>
      <c r="I20" s="153" t="s">
        <v>11</v>
      </c>
      <c r="J20" s="154" t="s">
        <v>59</v>
      </c>
      <c r="K20" s="5956" t="s">
        <v>1145</v>
      </c>
      <c r="L20" s="6760" t="str">
        <f>VLOOKUP(K20,'COD.'!$A$1:$B$39,2,0)</f>
        <v xml:space="preserve">Ocio y Entretenimiento </v>
      </c>
    </row>
    <row r="21" spans="1:12" x14ac:dyDescent="0.2">
      <c r="A21" s="6037" t="s">
        <v>55</v>
      </c>
      <c r="B21" s="155" t="s">
        <v>55</v>
      </c>
      <c r="C21" s="6013">
        <f t="shared" si="0"/>
        <v>10</v>
      </c>
      <c r="D21" s="156" t="s">
        <v>60</v>
      </c>
      <c r="E21" s="157" t="s">
        <v>61</v>
      </c>
      <c r="F21" s="158">
        <v>-13</v>
      </c>
      <c r="G21" s="159" t="s">
        <v>11</v>
      </c>
      <c r="H21" s="160">
        <v>4571.32</v>
      </c>
      <c r="I21" s="161" t="s">
        <v>11</v>
      </c>
      <c r="J21" s="162" t="s">
        <v>62</v>
      </c>
      <c r="K21" s="5957" t="s">
        <v>60</v>
      </c>
      <c r="L21" s="6760" t="str">
        <f>VLOOKUP(K21,'COD.'!$A$1:$B$39,2,0)</f>
        <v xml:space="preserve">Transferencias y Efectivo </v>
      </c>
    </row>
    <row r="22" spans="1:12" x14ac:dyDescent="0.2">
      <c r="A22" s="6038" t="s">
        <v>63</v>
      </c>
      <c r="B22" s="163" t="s">
        <v>64</v>
      </c>
      <c r="C22" s="6013">
        <f t="shared" si="0"/>
        <v>10</v>
      </c>
      <c r="D22" s="164" t="s">
        <v>65</v>
      </c>
      <c r="E22" s="165" t="s">
        <v>10</v>
      </c>
      <c r="F22" s="166">
        <v>-29.55</v>
      </c>
      <c r="G22" s="167" t="s">
        <v>11</v>
      </c>
      <c r="H22" s="168">
        <v>4584.32</v>
      </c>
      <c r="I22" s="169" t="s">
        <v>11</v>
      </c>
      <c r="J22" s="170" t="s">
        <v>66</v>
      </c>
      <c r="K22" s="5956" t="s">
        <v>1145</v>
      </c>
      <c r="L22" s="6760" t="str">
        <f>VLOOKUP(K22,'COD.'!$A$1:$B$39,2,0)</f>
        <v xml:space="preserve">Ocio y Entretenimiento </v>
      </c>
    </row>
    <row r="23" spans="1:12" x14ac:dyDescent="0.2">
      <c r="A23" s="6039" t="s">
        <v>58</v>
      </c>
      <c r="B23" s="171" t="s">
        <v>58</v>
      </c>
      <c r="C23" s="6013">
        <f t="shared" si="0"/>
        <v>10</v>
      </c>
      <c r="D23" s="172" t="s">
        <v>67</v>
      </c>
      <c r="E23" s="173" t="s">
        <v>10</v>
      </c>
      <c r="F23" s="174">
        <v>-43.5</v>
      </c>
      <c r="G23" s="175" t="s">
        <v>11</v>
      </c>
      <c r="H23" s="176">
        <v>4613.87</v>
      </c>
      <c r="I23" s="177" t="s">
        <v>11</v>
      </c>
      <c r="J23" s="178" t="s">
        <v>68</v>
      </c>
      <c r="K23" s="5958" t="s">
        <v>1146</v>
      </c>
      <c r="L23" s="6760" t="str">
        <f>VLOOKUP(K23,'COD.'!$A$1:$B$39,2,0)</f>
        <v xml:space="preserve">Supermercado </v>
      </c>
    </row>
    <row r="24" spans="1:12" x14ac:dyDescent="0.2">
      <c r="A24" s="6040" t="s">
        <v>58</v>
      </c>
      <c r="B24" s="179" t="s">
        <v>58</v>
      </c>
      <c r="C24" s="6013">
        <f t="shared" si="0"/>
        <v>10</v>
      </c>
      <c r="D24" s="180" t="s">
        <v>69</v>
      </c>
      <c r="E24" s="181" t="s">
        <v>10</v>
      </c>
      <c r="F24" s="182">
        <v>-10.47</v>
      </c>
      <c r="G24" s="183" t="s">
        <v>11</v>
      </c>
      <c r="H24" s="184">
        <v>4657.37</v>
      </c>
      <c r="I24" s="185" t="s">
        <v>11</v>
      </c>
      <c r="J24" s="186" t="s">
        <v>70</v>
      </c>
      <c r="K24" s="5959" t="s">
        <v>1148</v>
      </c>
      <c r="L24" s="6760" t="str">
        <f>VLOOKUP(K24,'COD.'!$A$1:$B$39,2,0)</f>
        <v xml:space="preserve">Supermercado </v>
      </c>
    </row>
    <row r="25" spans="1:12" x14ac:dyDescent="0.2">
      <c r="A25" s="6041" t="s">
        <v>58</v>
      </c>
      <c r="B25" s="187" t="s">
        <v>58</v>
      </c>
      <c r="C25" s="6013">
        <f t="shared" si="0"/>
        <v>10</v>
      </c>
      <c r="D25" s="188" t="s">
        <v>71</v>
      </c>
      <c r="E25" s="189" t="s">
        <v>10</v>
      </c>
      <c r="F25" s="190">
        <v>-20</v>
      </c>
      <c r="G25" s="191" t="s">
        <v>11</v>
      </c>
      <c r="H25" s="192">
        <v>4667.84</v>
      </c>
      <c r="I25" s="193" t="s">
        <v>11</v>
      </c>
      <c r="J25" s="194" t="s">
        <v>72</v>
      </c>
      <c r="K25" s="5960" t="s">
        <v>1149</v>
      </c>
      <c r="L25" s="6760" t="str">
        <f>VLOOKUP(K25,'COD.'!$A$1:$B$39,2,0)</f>
        <v xml:space="preserve">Ocio y Entretenimiento </v>
      </c>
    </row>
    <row r="26" spans="1:12" x14ac:dyDescent="0.2">
      <c r="A26" s="6042" t="s">
        <v>63</v>
      </c>
      <c r="B26" s="195" t="s">
        <v>58</v>
      </c>
      <c r="C26" s="6013">
        <f t="shared" si="0"/>
        <v>10</v>
      </c>
      <c r="D26" s="196" t="s">
        <v>73</v>
      </c>
      <c r="E26" s="197" t="s">
        <v>10</v>
      </c>
      <c r="F26" s="198">
        <v>-7.1</v>
      </c>
      <c r="G26" s="199" t="s">
        <v>11</v>
      </c>
      <c r="H26" s="200">
        <v>4687.84</v>
      </c>
      <c r="I26" s="201" t="s">
        <v>11</v>
      </c>
      <c r="J26" s="202" t="s">
        <v>74</v>
      </c>
      <c r="K26" s="5961" t="s">
        <v>1145</v>
      </c>
      <c r="L26" s="6760" t="str">
        <f>VLOOKUP(K26,'COD.'!$A$1:$B$39,2,0)</f>
        <v xml:space="preserve">Ocio y Entretenimiento </v>
      </c>
    </row>
    <row r="27" spans="1:12" x14ac:dyDescent="0.2">
      <c r="A27" s="6043" t="s">
        <v>63</v>
      </c>
      <c r="B27" s="203" t="s">
        <v>58</v>
      </c>
      <c r="C27" s="6013">
        <f t="shared" si="0"/>
        <v>10</v>
      </c>
      <c r="D27" s="204" t="s">
        <v>75</v>
      </c>
      <c r="E27" s="205" t="s">
        <v>10</v>
      </c>
      <c r="F27" s="206">
        <v>-5</v>
      </c>
      <c r="G27" s="207" t="s">
        <v>11</v>
      </c>
      <c r="H27" s="208">
        <v>4694.9399999999996</v>
      </c>
      <c r="I27" s="209" t="s">
        <v>11</v>
      </c>
      <c r="J27" s="210" t="s">
        <v>76</v>
      </c>
      <c r="K27" s="5962" t="s">
        <v>1145</v>
      </c>
      <c r="L27" s="6760" t="str">
        <f>VLOOKUP(K27,'COD.'!$A$1:$B$39,2,0)</f>
        <v xml:space="preserve">Ocio y Entretenimiento </v>
      </c>
    </row>
    <row r="28" spans="1:12" x14ac:dyDescent="0.2">
      <c r="A28" s="6044" t="s">
        <v>63</v>
      </c>
      <c r="B28" s="211" t="s">
        <v>58</v>
      </c>
      <c r="C28" s="6013">
        <f t="shared" si="0"/>
        <v>10</v>
      </c>
      <c r="D28" s="212" t="s">
        <v>77</v>
      </c>
      <c r="E28" s="213" t="s">
        <v>10</v>
      </c>
      <c r="F28" s="214">
        <v>-36</v>
      </c>
      <c r="G28" s="215" t="s">
        <v>11</v>
      </c>
      <c r="H28" s="216">
        <v>4699.9399999999996</v>
      </c>
      <c r="I28" s="217" t="s">
        <v>11</v>
      </c>
      <c r="J28" s="218" t="s">
        <v>78</v>
      </c>
      <c r="K28" s="5963" t="s">
        <v>1146</v>
      </c>
      <c r="L28" s="6760" t="str">
        <f>VLOOKUP(K28,'COD.'!$A$1:$B$39,2,0)</f>
        <v xml:space="preserve">Supermercado </v>
      </c>
    </row>
    <row r="29" spans="1:12" x14ac:dyDescent="0.2">
      <c r="A29" s="6045" t="s">
        <v>63</v>
      </c>
      <c r="B29" s="219" t="s">
        <v>58</v>
      </c>
      <c r="C29" s="6013">
        <f t="shared" si="0"/>
        <v>10</v>
      </c>
      <c r="D29" s="220" t="s">
        <v>79</v>
      </c>
      <c r="E29" s="221" t="s">
        <v>10</v>
      </c>
      <c r="F29" s="222">
        <v>-7.7</v>
      </c>
      <c r="G29" s="223" t="s">
        <v>11</v>
      </c>
      <c r="H29" s="224">
        <v>4735.9399999999996</v>
      </c>
      <c r="I29" s="225" t="s">
        <v>11</v>
      </c>
      <c r="J29" s="226" t="s">
        <v>80</v>
      </c>
      <c r="K29" s="5964" t="s">
        <v>1145</v>
      </c>
      <c r="L29" s="6760" t="str">
        <f>VLOOKUP(K29,'COD.'!$A$1:$B$39,2,0)</f>
        <v xml:space="preserve">Ocio y Entretenimiento </v>
      </c>
    </row>
    <row r="30" spans="1:12" x14ac:dyDescent="0.2">
      <c r="A30" s="6046" t="s">
        <v>63</v>
      </c>
      <c r="B30" s="227" t="s">
        <v>58</v>
      </c>
      <c r="C30" s="6013">
        <f t="shared" si="0"/>
        <v>10</v>
      </c>
      <c r="D30" s="228" t="s">
        <v>81</v>
      </c>
      <c r="E30" s="229" t="s">
        <v>10</v>
      </c>
      <c r="F30" s="230">
        <v>-1.1000000000000001</v>
      </c>
      <c r="G30" s="231" t="s">
        <v>11</v>
      </c>
      <c r="H30" s="232">
        <v>4743.6400000000003</v>
      </c>
      <c r="I30" s="233" t="s">
        <v>11</v>
      </c>
      <c r="J30" s="234" t="s">
        <v>82</v>
      </c>
      <c r="K30" s="5965" t="s">
        <v>1145</v>
      </c>
      <c r="L30" s="6760" t="str">
        <f>VLOOKUP(K30,'COD.'!$A$1:$B$39,2,0)</f>
        <v xml:space="preserve">Ocio y Entretenimiento </v>
      </c>
    </row>
    <row r="31" spans="1:12" x14ac:dyDescent="0.2">
      <c r="A31" s="6047" t="s">
        <v>83</v>
      </c>
      <c r="B31" s="235" t="s">
        <v>58</v>
      </c>
      <c r="C31" s="6013">
        <f t="shared" si="0"/>
        <v>10</v>
      </c>
      <c r="D31" s="236" t="s">
        <v>84</v>
      </c>
      <c r="E31" s="237" t="s">
        <v>10</v>
      </c>
      <c r="F31" s="238">
        <v>-12</v>
      </c>
      <c r="G31" s="239" t="s">
        <v>11</v>
      </c>
      <c r="H31" s="240">
        <v>4744.74</v>
      </c>
      <c r="I31" s="241" t="s">
        <v>11</v>
      </c>
      <c r="J31" s="242" t="s">
        <v>85</v>
      </c>
      <c r="K31" s="5966" t="s">
        <v>1145</v>
      </c>
      <c r="L31" s="6760" t="str">
        <f>VLOOKUP(K31,'COD.'!$A$1:$B$39,2,0)</f>
        <v xml:space="preserve">Ocio y Entretenimiento </v>
      </c>
    </row>
    <row r="32" spans="1:12" x14ac:dyDescent="0.2">
      <c r="A32" s="6048" t="s">
        <v>83</v>
      </c>
      <c r="B32" s="243" t="s">
        <v>58</v>
      </c>
      <c r="C32" s="6013">
        <f t="shared" si="0"/>
        <v>10</v>
      </c>
      <c r="D32" s="244" t="s">
        <v>51</v>
      </c>
      <c r="E32" s="245" t="s">
        <v>10</v>
      </c>
      <c r="F32" s="246">
        <v>-7.5</v>
      </c>
      <c r="G32" s="247" t="s">
        <v>11</v>
      </c>
      <c r="H32" s="248">
        <v>4756.74</v>
      </c>
      <c r="I32" s="249" t="s">
        <v>11</v>
      </c>
      <c r="J32" s="250" t="s">
        <v>52</v>
      </c>
      <c r="K32" s="5967" t="s">
        <v>1147</v>
      </c>
      <c r="L32" s="6760" t="str">
        <f>VLOOKUP(K32,'COD.'!$A$1:$B$39,2,0)</f>
        <v xml:space="preserve">Otros Gastos Generales </v>
      </c>
    </row>
    <row r="33" spans="1:12" x14ac:dyDescent="0.2">
      <c r="A33" s="6049" t="s">
        <v>83</v>
      </c>
      <c r="B33" s="251" t="s">
        <v>58</v>
      </c>
      <c r="C33" s="6013">
        <f t="shared" si="0"/>
        <v>10</v>
      </c>
      <c r="D33" s="252" t="s">
        <v>86</v>
      </c>
      <c r="E33" s="253" t="s">
        <v>10</v>
      </c>
      <c r="F33" s="254">
        <v>-4.2</v>
      </c>
      <c r="G33" s="255" t="s">
        <v>11</v>
      </c>
      <c r="H33" s="256">
        <v>4764.24</v>
      </c>
      <c r="I33" s="257" t="s">
        <v>11</v>
      </c>
      <c r="J33" s="258" t="s">
        <v>87</v>
      </c>
      <c r="K33" s="5968" t="s">
        <v>1149</v>
      </c>
      <c r="L33" s="6760" t="str">
        <f>VLOOKUP(K33,'COD.'!$A$1:$B$39,2,0)</f>
        <v xml:space="preserve">Ocio y Entretenimiento </v>
      </c>
    </row>
    <row r="34" spans="1:12" x14ac:dyDescent="0.2">
      <c r="A34" s="6050" t="s">
        <v>83</v>
      </c>
      <c r="B34" s="259" t="s">
        <v>58</v>
      </c>
      <c r="C34" s="6013">
        <f t="shared" si="0"/>
        <v>10</v>
      </c>
      <c r="D34" s="260" t="s">
        <v>88</v>
      </c>
      <c r="E34" s="261" t="s">
        <v>10</v>
      </c>
      <c r="F34" s="262">
        <v>-8.9499999999999993</v>
      </c>
      <c r="G34" s="263" t="s">
        <v>11</v>
      </c>
      <c r="H34" s="264">
        <v>4768.4399999999996</v>
      </c>
      <c r="I34" s="265" t="s">
        <v>11</v>
      </c>
      <c r="J34" s="266" t="s">
        <v>89</v>
      </c>
      <c r="K34" s="5969" t="s">
        <v>1148</v>
      </c>
      <c r="L34" s="6760" t="str">
        <f>VLOOKUP(K34,'COD.'!$A$1:$B$39,2,0)</f>
        <v xml:space="preserve">Supermercado </v>
      </c>
    </row>
    <row r="35" spans="1:12" x14ac:dyDescent="0.2">
      <c r="A35" s="6051" t="s">
        <v>83</v>
      </c>
      <c r="B35" s="267" t="s">
        <v>58</v>
      </c>
      <c r="C35" s="6013">
        <f t="shared" si="0"/>
        <v>10</v>
      </c>
      <c r="D35" s="268" t="s">
        <v>90</v>
      </c>
      <c r="E35" s="269" t="s">
        <v>10</v>
      </c>
      <c r="F35" s="270">
        <v>-11</v>
      </c>
      <c r="G35" s="271" t="s">
        <v>11</v>
      </c>
      <c r="H35" s="272">
        <v>4777.3900000000003</v>
      </c>
      <c r="I35" s="273" t="s">
        <v>11</v>
      </c>
      <c r="J35" s="274" t="s">
        <v>91</v>
      </c>
      <c r="K35" s="5940" t="s">
        <v>1156</v>
      </c>
      <c r="L35" s="6760" t="str">
        <f>VLOOKUP(K35,'COD.'!$A$1:$B$39,2,0)</f>
        <v>Moto</v>
      </c>
    </row>
    <row r="36" spans="1:12" x14ac:dyDescent="0.2">
      <c r="A36" s="6052" t="s">
        <v>83</v>
      </c>
      <c r="B36" s="275" t="s">
        <v>58</v>
      </c>
      <c r="C36" s="6013">
        <f t="shared" si="0"/>
        <v>10</v>
      </c>
      <c r="D36" s="276" t="s">
        <v>92</v>
      </c>
      <c r="E36" s="277" t="s">
        <v>10</v>
      </c>
      <c r="F36" s="278">
        <v>-2.94</v>
      </c>
      <c r="G36" s="279" t="s">
        <v>11</v>
      </c>
      <c r="H36" s="280">
        <v>4788.3900000000003</v>
      </c>
      <c r="I36" s="281" t="s">
        <v>11</v>
      </c>
      <c r="J36" s="282" t="s">
        <v>93</v>
      </c>
      <c r="K36" s="5970" t="s">
        <v>1148</v>
      </c>
      <c r="L36" s="6760" t="str">
        <f>VLOOKUP(K36,'COD.'!$A$1:$B$39,2,0)</f>
        <v xml:space="preserve">Supermercado </v>
      </c>
    </row>
    <row r="37" spans="1:12" x14ac:dyDescent="0.2">
      <c r="A37" s="6053" t="s">
        <v>94</v>
      </c>
      <c r="B37" s="283" t="s">
        <v>58</v>
      </c>
      <c r="C37" s="6013">
        <f t="shared" si="0"/>
        <v>10</v>
      </c>
      <c r="D37" s="284" t="s">
        <v>92</v>
      </c>
      <c r="E37" s="285" t="s">
        <v>10</v>
      </c>
      <c r="F37" s="286">
        <v>-20.48</v>
      </c>
      <c r="G37" s="287" t="s">
        <v>11</v>
      </c>
      <c r="H37" s="288">
        <v>4791.33</v>
      </c>
      <c r="I37" s="289" t="s">
        <v>11</v>
      </c>
      <c r="J37" s="290" t="s">
        <v>93</v>
      </c>
      <c r="K37" s="5971" t="s">
        <v>1148</v>
      </c>
      <c r="L37" s="6760" t="str">
        <f>VLOOKUP(K37,'COD.'!$A$1:$B$39,2,0)</f>
        <v xml:space="preserve">Supermercado </v>
      </c>
    </row>
    <row r="38" spans="1:12" x14ac:dyDescent="0.2">
      <c r="A38" s="6054" t="s">
        <v>95</v>
      </c>
      <c r="B38" s="291" t="s">
        <v>94</v>
      </c>
      <c r="C38" s="6013">
        <f t="shared" si="0"/>
        <v>10</v>
      </c>
      <c r="D38" s="292" t="s">
        <v>96</v>
      </c>
      <c r="E38" s="293" t="s">
        <v>10</v>
      </c>
      <c r="F38" s="294">
        <v>-2.99</v>
      </c>
      <c r="G38" s="295" t="s">
        <v>11</v>
      </c>
      <c r="H38" s="296">
        <v>4811.8100000000004</v>
      </c>
      <c r="I38" s="297" t="s">
        <v>11</v>
      </c>
      <c r="J38" s="298" t="s">
        <v>97</v>
      </c>
      <c r="K38" s="5972" t="s">
        <v>1150</v>
      </c>
      <c r="L38" s="6760" t="str">
        <f>VLOOKUP(K38,'COD.'!$A$1:$B$39,2,0)</f>
        <v xml:space="preserve">Ocio y Entretenimiento </v>
      </c>
    </row>
    <row r="39" spans="1:12" x14ac:dyDescent="0.2">
      <c r="A39" s="6055" t="s">
        <v>94</v>
      </c>
      <c r="B39" s="299" t="s">
        <v>94</v>
      </c>
      <c r="C39" s="6013">
        <f t="shared" si="0"/>
        <v>10</v>
      </c>
      <c r="D39" s="300" t="s">
        <v>98</v>
      </c>
      <c r="E39" s="301" t="s">
        <v>10</v>
      </c>
      <c r="F39" s="302">
        <v>-1.7</v>
      </c>
      <c r="G39" s="303" t="s">
        <v>11</v>
      </c>
      <c r="H39" s="304">
        <v>4814.8</v>
      </c>
      <c r="I39" s="305" t="s">
        <v>11</v>
      </c>
      <c r="J39" s="306" t="s">
        <v>99</v>
      </c>
      <c r="K39" s="5940" t="s">
        <v>1145</v>
      </c>
      <c r="L39" s="6760" t="str">
        <f>VLOOKUP(K39,'COD.'!$A$1:$B$39,2,0)</f>
        <v xml:space="preserve">Ocio y Entretenimiento </v>
      </c>
    </row>
    <row r="40" spans="1:12" x14ac:dyDescent="0.2">
      <c r="A40" s="6056" t="s">
        <v>100</v>
      </c>
      <c r="B40" s="307" t="s">
        <v>100</v>
      </c>
      <c r="C40" s="6013">
        <f t="shared" si="0"/>
        <v>10</v>
      </c>
      <c r="D40" s="308" t="s">
        <v>101</v>
      </c>
      <c r="E40" s="309" t="s">
        <v>10</v>
      </c>
      <c r="F40" s="310">
        <v>-46.98</v>
      </c>
      <c r="G40" s="311" t="s">
        <v>11</v>
      </c>
      <c r="H40" s="312">
        <v>4816.5</v>
      </c>
      <c r="I40" s="313" t="s">
        <v>11</v>
      </c>
      <c r="J40" s="314" t="s">
        <v>102</v>
      </c>
      <c r="K40" s="5940" t="s">
        <v>443</v>
      </c>
      <c r="L40" s="6760" t="str">
        <f>VLOOKUP(K40,'COD.'!$A$1:$B$39,2,0)</f>
        <v xml:space="preserve">Salud y Cuidado </v>
      </c>
    </row>
    <row r="41" spans="1:12" x14ac:dyDescent="0.2">
      <c r="A41" s="6057" t="s">
        <v>95</v>
      </c>
      <c r="B41" s="315" t="s">
        <v>95</v>
      </c>
      <c r="C41" s="6013">
        <f t="shared" si="0"/>
        <v>10</v>
      </c>
      <c r="D41" s="316" t="s">
        <v>103</v>
      </c>
      <c r="E41" s="317" t="s">
        <v>10</v>
      </c>
      <c r="F41" s="318">
        <v>-16.809999999999999</v>
      </c>
      <c r="G41" s="319" t="s">
        <v>11</v>
      </c>
      <c r="H41" s="320">
        <v>4863.4799999999996</v>
      </c>
      <c r="I41" s="321" t="s">
        <v>11</v>
      </c>
      <c r="J41" s="322" t="s">
        <v>104</v>
      </c>
      <c r="K41" s="5940" t="s">
        <v>1148</v>
      </c>
      <c r="L41" s="6760" t="str">
        <f>VLOOKUP(K41,'COD.'!$A$1:$B$39,2,0)</f>
        <v xml:space="preserve">Supermercado </v>
      </c>
    </row>
    <row r="42" spans="1:12" x14ac:dyDescent="0.2">
      <c r="A42" s="6058" t="s">
        <v>105</v>
      </c>
      <c r="B42" s="323" t="s">
        <v>95</v>
      </c>
      <c r="C42" s="6013">
        <f t="shared" si="0"/>
        <v>10</v>
      </c>
      <c r="D42" s="324" t="s">
        <v>106</v>
      </c>
      <c r="E42" s="325" t="s">
        <v>10</v>
      </c>
      <c r="F42" s="326">
        <v>-140</v>
      </c>
      <c r="G42" s="327" t="s">
        <v>11</v>
      </c>
      <c r="H42" s="328">
        <v>4880.29</v>
      </c>
      <c r="I42" s="329" t="s">
        <v>11</v>
      </c>
      <c r="J42" s="330" t="s">
        <v>107</v>
      </c>
      <c r="K42" s="5940" t="s">
        <v>1149</v>
      </c>
      <c r="L42" s="6760" t="str">
        <f>VLOOKUP(K42,'COD.'!$A$1:$B$39,2,0)</f>
        <v xml:space="preserve">Ocio y Entretenimiento </v>
      </c>
    </row>
    <row r="43" spans="1:12" x14ac:dyDescent="0.2">
      <c r="A43" s="6059" t="s">
        <v>95</v>
      </c>
      <c r="B43" s="331" t="s">
        <v>95</v>
      </c>
      <c r="C43" s="6013">
        <f t="shared" si="0"/>
        <v>10</v>
      </c>
      <c r="D43" s="332" t="s">
        <v>108</v>
      </c>
      <c r="E43" s="333" t="s">
        <v>10</v>
      </c>
      <c r="F43" s="334">
        <v>-2.2200000000000002</v>
      </c>
      <c r="G43" s="335" t="s">
        <v>11</v>
      </c>
      <c r="H43" s="336">
        <v>5020.29</v>
      </c>
      <c r="I43" s="337" t="s">
        <v>11</v>
      </c>
      <c r="J43" s="338" t="s">
        <v>109</v>
      </c>
      <c r="K43" s="5940" t="s">
        <v>1145</v>
      </c>
      <c r="L43" s="6760" t="str">
        <f>VLOOKUP(K43,'COD.'!$A$1:$B$39,2,0)</f>
        <v xml:space="preserve">Ocio y Entretenimiento </v>
      </c>
    </row>
    <row r="44" spans="1:12" x14ac:dyDescent="0.2">
      <c r="A44" s="6060" t="s">
        <v>110</v>
      </c>
      <c r="B44" s="339" t="s">
        <v>110</v>
      </c>
      <c r="C44" s="6013">
        <f t="shared" si="0"/>
        <v>10</v>
      </c>
      <c r="D44" s="340" t="s">
        <v>39</v>
      </c>
      <c r="E44" s="341" t="s">
        <v>10</v>
      </c>
      <c r="F44" s="342">
        <v>-172.55</v>
      </c>
      <c r="G44" s="343" t="s">
        <v>11</v>
      </c>
      <c r="H44" s="344">
        <v>5022.51</v>
      </c>
      <c r="I44" s="345" t="s">
        <v>11</v>
      </c>
      <c r="J44" s="346" t="s">
        <v>111</v>
      </c>
      <c r="K44" s="5940" t="s">
        <v>443</v>
      </c>
      <c r="L44" s="6760" t="str">
        <f>VLOOKUP(K44,'COD.'!$A$1:$B$39,2,0)</f>
        <v xml:space="preserve">Salud y Cuidado </v>
      </c>
    </row>
    <row r="45" spans="1:12" x14ac:dyDescent="0.2">
      <c r="A45" s="6061" t="s">
        <v>110</v>
      </c>
      <c r="B45" s="347" t="s">
        <v>110</v>
      </c>
      <c r="C45" s="6013">
        <f t="shared" si="0"/>
        <v>10</v>
      </c>
      <c r="D45" s="348" t="s">
        <v>112</v>
      </c>
      <c r="E45" s="349" t="s">
        <v>10</v>
      </c>
      <c r="F45" s="350">
        <v>-3.45</v>
      </c>
      <c r="G45" s="351" t="s">
        <v>11</v>
      </c>
      <c r="H45" s="352">
        <v>5195.0600000000004</v>
      </c>
      <c r="I45" s="353" t="s">
        <v>11</v>
      </c>
      <c r="J45" s="354" t="s">
        <v>113</v>
      </c>
      <c r="K45" s="5940" t="s">
        <v>1149</v>
      </c>
      <c r="L45" s="6760" t="str">
        <f>VLOOKUP(K45,'COD.'!$A$1:$B$39,2,0)</f>
        <v xml:space="preserve">Ocio y Entretenimiento </v>
      </c>
    </row>
    <row r="46" spans="1:12" x14ac:dyDescent="0.2">
      <c r="A46" s="6062" t="s">
        <v>114</v>
      </c>
      <c r="B46" s="355" t="s">
        <v>110</v>
      </c>
      <c r="C46" s="6013">
        <f t="shared" si="0"/>
        <v>10</v>
      </c>
      <c r="D46" s="356" t="s">
        <v>60</v>
      </c>
      <c r="E46" s="357" t="s">
        <v>115</v>
      </c>
      <c r="F46" s="358">
        <v>-8</v>
      </c>
      <c r="G46" s="359" t="s">
        <v>11</v>
      </c>
      <c r="H46" s="360">
        <v>5198.51</v>
      </c>
      <c r="I46" s="361" t="s">
        <v>11</v>
      </c>
      <c r="J46" s="362" t="s">
        <v>116</v>
      </c>
      <c r="K46" s="5973" t="s">
        <v>60</v>
      </c>
      <c r="L46" s="6760" t="str">
        <f>VLOOKUP(K46,'COD.'!$A$1:$B$39,2,0)</f>
        <v xml:space="preserve">Transferencias y Efectivo </v>
      </c>
    </row>
    <row r="47" spans="1:12" x14ac:dyDescent="0.2">
      <c r="A47" s="6063" t="s">
        <v>114</v>
      </c>
      <c r="B47" s="363" t="s">
        <v>110</v>
      </c>
      <c r="C47" s="6013">
        <f t="shared" si="0"/>
        <v>10</v>
      </c>
      <c r="D47" s="364" t="s">
        <v>117</v>
      </c>
      <c r="E47" s="365" t="s">
        <v>10</v>
      </c>
      <c r="F47" s="366">
        <v>-3</v>
      </c>
      <c r="G47" s="367" t="s">
        <v>11</v>
      </c>
      <c r="H47" s="368">
        <v>5206.51</v>
      </c>
      <c r="I47" s="369" t="s">
        <v>11</v>
      </c>
      <c r="J47" s="370" t="s">
        <v>118</v>
      </c>
      <c r="K47" s="5940" t="s">
        <v>1157</v>
      </c>
      <c r="L47" s="6760" t="str">
        <f>VLOOKUP(K47,'COD.'!$A$1:$B$39,2,0)</f>
        <v xml:space="preserve">Ocio y Entretenimiento </v>
      </c>
    </row>
    <row r="48" spans="1:12" x14ac:dyDescent="0.2">
      <c r="A48" s="6064" t="s">
        <v>105</v>
      </c>
      <c r="B48" s="371" t="s">
        <v>110</v>
      </c>
      <c r="C48" s="6013">
        <f t="shared" si="0"/>
        <v>10</v>
      </c>
      <c r="D48" s="372" t="s">
        <v>119</v>
      </c>
      <c r="E48" s="373" t="s">
        <v>10</v>
      </c>
      <c r="F48" s="374">
        <v>-14.8</v>
      </c>
      <c r="G48" s="375" t="s">
        <v>11</v>
      </c>
      <c r="H48" s="376">
        <v>5209.51</v>
      </c>
      <c r="I48" s="377" t="s">
        <v>11</v>
      </c>
      <c r="J48" s="378" t="s">
        <v>120</v>
      </c>
      <c r="K48" s="5940" t="s">
        <v>1145</v>
      </c>
      <c r="L48" s="6760" t="str">
        <f>VLOOKUP(K48,'COD.'!$A$1:$B$39,2,0)</f>
        <v xml:space="preserve">Ocio y Entretenimiento </v>
      </c>
    </row>
    <row r="49" spans="1:12" x14ac:dyDescent="0.2">
      <c r="A49" s="6065" t="s">
        <v>105</v>
      </c>
      <c r="B49" s="379" t="s">
        <v>110</v>
      </c>
      <c r="C49" s="6013">
        <f t="shared" si="0"/>
        <v>10</v>
      </c>
      <c r="D49" s="380" t="s">
        <v>119</v>
      </c>
      <c r="E49" s="381" t="s">
        <v>10</v>
      </c>
      <c r="F49" s="382">
        <v>-2</v>
      </c>
      <c r="G49" s="383" t="s">
        <v>11</v>
      </c>
      <c r="H49" s="384">
        <v>5224.3100000000004</v>
      </c>
      <c r="I49" s="385" t="s">
        <v>11</v>
      </c>
      <c r="J49" s="386" t="s">
        <v>120</v>
      </c>
      <c r="K49" s="5940" t="s">
        <v>1145</v>
      </c>
      <c r="L49" s="6760" t="str">
        <f>VLOOKUP(K49,'COD.'!$A$1:$B$39,2,0)</f>
        <v xml:space="preserve">Ocio y Entretenimiento </v>
      </c>
    </row>
    <row r="50" spans="1:12" x14ac:dyDescent="0.2">
      <c r="A50" s="6066" t="s">
        <v>105</v>
      </c>
      <c r="B50" s="387" t="s">
        <v>110</v>
      </c>
      <c r="C50" s="6013">
        <f t="shared" si="0"/>
        <v>10</v>
      </c>
      <c r="D50" s="388" t="s">
        <v>121</v>
      </c>
      <c r="E50" s="389" t="s">
        <v>10</v>
      </c>
      <c r="F50" s="390">
        <v>-3.6</v>
      </c>
      <c r="G50" s="391" t="s">
        <v>11</v>
      </c>
      <c r="H50" s="392">
        <v>5226.3100000000004</v>
      </c>
      <c r="I50" s="393" t="s">
        <v>11</v>
      </c>
      <c r="J50" s="394" t="s">
        <v>122</v>
      </c>
      <c r="K50" s="5940" t="s">
        <v>1158</v>
      </c>
      <c r="L50" s="6760" t="str">
        <f>VLOOKUP(K50,'COD.'!$A$1:$B$39,2,0)</f>
        <v xml:space="preserve">Vivienda y Préstamos </v>
      </c>
    </row>
    <row r="51" spans="1:12" x14ac:dyDescent="0.2">
      <c r="A51" s="6067" t="s">
        <v>105</v>
      </c>
      <c r="B51" s="395" t="s">
        <v>110</v>
      </c>
      <c r="C51" s="6013">
        <f t="shared" si="0"/>
        <v>10</v>
      </c>
      <c r="D51" s="396" t="s">
        <v>123</v>
      </c>
      <c r="E51" s="397" t="s">
        <v>10</v>
      </c>
      <c r="F51" s="398">
        <v>-3.65</v>
      </c>
      <c r="G51" s="399" t="s">
        <v>11</v>
      </c>
      <c r="H51" s="400">
        <v>5229.91</v>
      </c>
      <c r="I51" s="401" t="s">
        <v>11</v>
      </c>
      <c r="J51" s="402" t="s">
        <v>124</v>
      </c>
      <c r="K51" s="5974" t="s">
        <v>1148</v>
      </c>
      <c r="L51" s="6760" t="str">
        <f>VLOOKUP(K51,'COD.'!$A$1:$B$39,2,0)</f>
        <v xml:space="preserve">Supermercado </v>
      </c>
    </row>
    <row r="52" spans="1:12" x14ac:dyDescent="0.2">
      <c r="A52" s="6068" t="s">
        <v>105</v>
      </c>
      <c r="B52" s="403" t="s">
        <v>110</v>
      </c>
      <c r="C52" s="6013">
        <f t="shared" si="0"/>
        <v>10</v>
      </c>
      <c r="D52" s="404" t="s">
        <v>125</v>
      </c>
      <c r="E52" s="405" t="s">
        <v>10</v>
      </c>
      <c r="F52" s="406">
        <v>-12.45</v>
      </c>
      <c r="G52" s="407" t="s">
        <v>11</v>
      </c>
      <c r="H52" s="408">
        <v>5233.5600000000004</v>
      </c>
      <c r="I52" s="409" t="s">
        <v>11</v>
      </c>
      <c r="J52" s="410" t="s">
        <v>126</v>
      </c>
      <c r="K52" s="5940" t="s">
        <v>1148</v>
      </c>
      <c r="L52" s="6760" t="str">
        <f>VLOOKUP(K52,'COD.'!$A$1:$B$39,2,0)</f>
        <v xml:space="preserve">Supermercado </v>
      </c>
    </row>
    <row r="53" spans="1:12" x14ac:dyDescent="0.2">
      <c r="A53" s="6069" t="s">
        <v>105</v>
      </c>
      <c r="B53" s="411" t="s">
        <v>110</v>
      </c>
      <c r="C53" s="6013">
        <f t="shared" si="0"/>
        <v>10</v>
      </c>
      <c r="D53" s="412" t="s">
        <v>127</v>
      </c>
      <c r="E53" s="413" t="s">
        <v>10</v>
      </c>
      <c r="F53" s="414">
        <v>-7.5</v>
      </c>
      <c r="G53" s="415" t="s">
        <v>11</v>
      </c>
      <c r="H53" s="416">
        <v>5246.01</v>
      </c>
      <c r="I53" s="417" t="s">
        <v>11</v>
      </c>
      <c r="J53" s="418" t="s">
        <v>128</v>
      </c>
      <c r="K53" s="5940" t="s">
        <v>1148</v>
      </c>
      <c r="L53" s="6760" t="str">
        <f>VLOOKUP(K53,'COD.'!$A$1:$B$39,2,0)</f>
        <v xml:space="preserve">Supermercado </v>
      </c>
    </row>
    <row r="54" spans="1:12" x14ac:dyDescent="0.2">
      <c r="A54" s="6070" t="s">
        <v>105</v>
      </c>
      <c r="B54" s="419" t="s">
        <v>110</v>
      </c>
      <c r="C54" s="6013">
        <f t="shared" si="0"/>
        <v>10</v>
      </c>
      <c r="D54" s="420" t="s">
        <v>129</v>
      </c>
      <c r="E54" s="421" t="s">
        <v>10</v>
      </c>
      <c r="F54" s="422">
        <v>-6.9</v>
      </c>
      <c r="G54" s="423" t="s">
        <v>11</v>
      </c>
      <c r="H54" s="424">
        <v>5253.51</v>
      </c>
      <c r="I54" s="425" t="s">
        <v>11</v>
      </c>
      <c r="J54" s="426" t="s">
        <v>130</v>
      </c>
      <c r="K54" s="5940" t="s">
        <v>1147</v>
      </c>
      <c r="L54" s="6760" t="str">
        <f>VLOOKUP(K54,'COD.'!$A$1:$B$39,2,0)</f>
        <v xml:space="preserve">Otros Gastos Generales </v>
      </c>
    </row>
    <row r="55" spans="1:12" x14ac:dyDescent="0.2">
      <c r="A55" s="6071" t="s">
        <v>131</v>
      </c>
      <c r="B55" s="427" t="s">
        <v>131</v>
      </c>
      <c r="C55" s="6013">
        <f t="shared" si="0"/>
        <v>10</v>
      </c>
      <c r="D55" s="428" t="s">
        <v>132</v>
      </c>
      <c r="E55" s="429" t="s">
        <v>10</v>
      </c>
      <c r="F55" s="430">
        <v>-31.9</v>
      </c>
      <c r="G55" s="431" t="s">
        <v>11</v>
      </c>
      <c r="H55" s="432">
        <v>5260.41</v>
      </c>
      <c r="I55" s="433" t="s">
        <v>11</v>
      </c>
      <c r="J55" s="434" t="s">
        <v>133</v>
      </c>
      <c r="K55" s="5940" t="s">
        <v>1158</v>
      </c>
      <c r="L55" s="6760" t="str">
        <f>VLOOKUP(K55,'COD.'!$A$1:$B$39,2,0)</f>
        <v xml:space="preserve">Vivienda y Préstamos </v>
      </c>
    </row>
    <row r="56" spans="1:12" x14ac:dyDescent="0.2">
      <c r="A56" s="6072" t="s">
        <v>131</v>
      </c>
      <c r="B56" s="435" t="s">
        <v>131</v>
      </c>
      <c r="C56" s="6013">
        <f t="shared" si="0"/>
        <v>10</v>
      </c>
      <c r="D56" s="436" t="s">
        <v>134</v>
      </c>
      <c r="E56" s="437" t="s">
        <v>10</v>
      </c>
      <c r="F56" s="438">
        <v>-11.1</v>
      </c>
      <c r="G56" s="439" t="s">
        <v>11</v>
      </c>
      <c r="H56" s="440">
        <v>5292.31</v>
      </c>
      <c r="I56" s="441" t="s">
        <v>11</v>
      </c>
      <c r="J56" s="442" t="s">
        <v>135</v>
      </c>
      <c r="K56" s="5940" t="s">
        <v>1145</v>
      </c>
      <c r="L56" s="6760" t="str">
        <f>VLOOKUP(K56,'COD.'!$A$1:$B$39,2,0)</f>
        <v xml:space="preserve">Ocio y Entretenimiento </v>
      </c>
    </row>
    <row r="57" spans="1:12" x14ac:dyDescent="0.2">
      <c r="A57" s="6073" t="s">
        <v>131</v>
      </c>
      <c r="B57" s="443" t="s">
        <v>131</v>
      </c>
      <c r="C57" s="6013">
        <f t="shared" si="0"/>
        <v>10</v>
      </c>
      <c r="D57" s="444" t="s">
        <v>136</v>
      </c>
      <c r="E57" s="445" t="s">
        <v>10</v>
      </c>
      <c r="F57" s="446">
        <v>-4.5</v>
      </c>
      <c r="G57" s="447" t="s">
        <v>11</v>
      </c>
      <c r="H57" s="448">
        <v>5303.41</v>
      </c>
      <c r="I57" s="449" t="s">
        <v>11</v>
      </c>
      <c r="J57" s="450" t="s">
        <v>137</v>
      </c>
      <c r="K57" s="5940" t="s">
        <v>1158</v>
      </c>
      <c r="L57" s="6760" t="str">
        <f>VLOOKUP(K57,'COD.'!$A$1:$B$39,2,0)</f>
        <v xml:space="preserve">Vivienda y Préstamos </v>
      </c>
    </row>
    <row r="58" spans="1:12" x14ac:dyDescent="0.2">
      <c r="A58" s="6074" t="s">
        <v>131</v>
      </c>
      <c r="B58" s="451" t="s">
        <v>131</v>
      </c>
      <c r="C58" s="6013">
        <f t="shared" si="0"/>
        <v>10</v>
      </c>
      <c r="D58" s="452" t="s">
        <v>136</v>
      </c>
      <c r="E58" s="453" t="s">
        <v>10</v>
      </c>
      <c r="F58" s="454">
        <v>-7</v>
      </c>
      <c r="G58" s="455" t="s">
        <v>11</v>
      </c>
      <c r="H58" s="456">
        <v>5307.91</v>
      </c>
      <c r="I58" s="457" t="s">
        <v>11</v>
      </c>
      <c r="J58" s="458" t="s">
        <v>137</v>
      </c>
      <c r="K58" s="5940" t="s">
        <v>1158</v>
      </c>
      <c r="L58" s="6760" t="str">
        <f>VLOOKUP(K58,'COD.'!$A$1:$B$39,2,0)</f>
        <v xml:space="preserve">Vivienda y Préstamos </v>
      </c>
    </row>
    <row r="59" spans="1:12" x14ac:dyDescent="0.2">
      <c r="A59" s="6075" t="s">
        <v>138</v>
      </c>
      <c r="B59" s="459" t="s">
        <v>131</v>
      </c>
      <c r="C59" s="6013">
        <f t="shared" si="0"/>
        <v>10</v>
      </c>
      <c r="D59" s="460" t="s">
        <v>139</v>
      </c>
      <c r="E59" s="461" t="s">
        <v>10</v>
      </c>
      <c r="F59" s="462">
        <v>-20.87</v>
      </c>
      <c r="G59" s="463" t="s">
        <v>11</v>
      </c>
      <c r="H59" s="464">
        <v>5314.91</v>
      </c>
      <c r="I59" s="465" t="s">
        <v>11</v>
      </c>
      <c r="J59" s="466" t="s">
        <v>140</v>
      </c>
      <c r="K59" s="5940" t="s">
        <v>1148</v>
      </c>
      <c r="L59" s="6760" t="str">
        <f>VLOOKUP(K59,'COD.'!$A$1:$B$39,2,0)</f>
        <v xml:space="preserve">Supermercado </v>
      </c>
    </row>
    <row r="60" spans="1:12" x14ac:dyDescent="0.2">
      <c r="A60" s="6076" t="s">
        <v>131</v>
      </c>
      <c r="B60" s="467" t="s">
        <v>131</v>
      </c>
      <c r="C60" s="6013">
        <f t="shared" si="0"/>
        <v>10</v>
      </c>
      <c r="D60" s="468" t="s">
        <v>16</v>
      </c>
      <c r="E60" s="469" t="s">
        <v>141</v>
      </c>
      <c r="F60" s="470">
        <v>-53.02</v>
      </c>
      <c r="G60" s="471" t="s">
        <v>11</v>
      </c>
      <c r="H60" s="472">
        <v>5335.78</v>
      </c>
      <c r="I60" s="473" t="s">
        <v>11</v>
      </c>
      <c r="J60" s="474" t="s">
        <v>142</v>
      </c>
      <c r="K60" s="5941" t="s">
        <v>1188</v>
      </c>
      <c r="L60" s="6760" t="str">
        <f>VLOOKUP(K60,'COD.'!$A$1:$B$39,2,0)</f>
        <v xml:space="preserve">Suministros </v>
      </c>
    </row>
    <row r="61" spans="1:12" x14ac:dyDescent="0.2">
      <c r="A61" s="6077" t="s">
        <v>143</v>
      </c>
      <c r="B61" s="475" t="s">
        <v>144</v>
      </c>
      <c r="C61" s="6013">
        <f t="shared" si="0"/>
        <v>10</v>
      </c>
      <c r="D61" s="476" t="s">
        <v>145</v>
      </c>
      <c r="E61" s="477" t="s">
        <v>10</v>
      </c>
      <c r="F61" s="478">
        <v>-64.66</v>
      </c>
      <c r="G61" s="479" t="s">
        <v>11</v>
      </c>
      <c r="H61" s="480">
        <v>5388.8</v>
      </c>
      <c r="I61" s="481" t="s">
        <v>11</v>
      </c>
      <c r="J61" s="482" t="s">
        <v>146</v>
      </c>
      <c r="K61" s="5940" t="s">
        <v>1146</v>
      </c>
      <c r="L61" s="6760" t="str">
        <f>VLOOKUP(K61,'COD.'!$A$1:$B$39,2,0)</f>
        <v xml:space="preserve">Supermercado </v>
      </c>
    </row>
    <row r="62" spans="1:12" x14ac:dyDescent="0.2">
      <c r="A62" s="6078" t="s">
        <v>144</v>
      </c>
      <c r="B62" s="483" t="s">
        <v>144</v>
      </c>
      <c r="C62" s="6013">
        <f t="shared" si="0"/>
        <v>10</v>
      </c>
      <c r="D62" s="484" t="s">
        <v>147</v>
      </c>
      <c r="E62" s="485" t="s">
        <v>148</v>
      </c>
      <c r="F62" s="486">
        <v>-42.2</v>
      </c>
      <c r="G62" s="487" t="s">
        <v>11</v>
      </c>
      <c r="H62" s="488">
        <v>5453.46</v>
      </c>
      <c r="I62" s="489" t="s">
        <v>11</v>
      </c>
      <c r="J62" s="490" t="s">
        <v>149</v>
      </c>
      <c r="K62" s="5940" t="s">
        <v>1152</v>
      </c>
      <c r="L62" s="6760" t="str">
        <f>VLOOKUP(K62,'COD.'!$A$1:$B$39,2,0)</f>
        <v xml:space="preserve">Suministros </v>
      </c>
    </row>
    <row r="63" spans="1:12" x14ac:dyDescent="0.2">
      <c r="A63" s="6079" t="s">
        <v>138</v>
      </c>
      <c r="B63" s="491" t="s">
        <v>138</v>
      </c>
      <c r="C63" s="6013">
        <f t="shared" si="0"/>
        <v>10</v>
      </c>
      <c r="D63" s="492" t="s">
        <v>103</v>
      </c>
      <c r="E63" s="493" t="s">
        <v>10</v>
      </c>
      <c r="F63" s="494">
        <v>-40.54</v>
      </c>
      <c r="G63" s="495" t="s">
        <v>11</v>
      </c>
      <c r="H63" s="496">
        <v>5495.66</v>
      </c>
      <c r="I63" s="497" t="s">
        <v>11</v>
      </c>
      <c r="J63" s="498" t="s">
        <v>104</v>
      </c>
      <c r="K63" s="5940" t="s">
        <v>1148</v>
      </c>
      <c r="L63" s="6760" t="str">
        <f>VLOOKUP(K63,'COD.'!$A$1:$B$39,2,0)</f>
        <v xml:space="preserve">Supermercado </v>
      </c>
    </row>
    <row r="64" spans="1:12" x14ac:dyDescent="0.2">
      <c r="A64" s="6080" t="s">
        <v>150</v>
      </c>
      <c r="B64" s="499" t="s">
        <v>150</v>
      </c>
      <c r="C64" s="6013">
        <f t="shared" si="0"/>
        <v>10</v>
      </c>
      <c r="D64" s="500" t="s">
        <v>151</v>
      </c>
      <c r="E64" s="501" t="s">
        <v>10</v>
      </c>
      <c r="F64" s="502">
        <v>-10.4</v>
      </c>
      <c r="G64" s="503" t="s">
        <v>11</v>
      </c>
      <c r="H64" s="504">
        <v>5536.2</v>
      </c>
      <c r="I64" s="505" t="s">
        <v>11</v>
      </c>
      <c r="J64" s="506" t="s">
        <v>152</v>
      </c>
      <c r="K64" s="5940" t="s">
        <v>1148</v>
      </c>
      <c r="L64" s="6760" t="str">
        <f>VLOOKUP(K64,'COD.'!$A$1:$B$39,2,0)</f>
        <v xml:space="preserve">Supermercado </v>
      </c>
    </row>
    <row r="65" spans="1:12" x14ac:dyDescent="0.2">
      <c r="A65" s="6081" t="s">
        <v>153</v>
      </c>
      <c r="B65" s="507" t="s">
        <v>154</v>
      </c>
      <c r="C65" s="6013">
        <f t="shared" si="0"/>
        <v>10</v>
      </c>
      <c r="D65" s="508" t="s">
        <v>155</v>
      </c>
      <c r="E65" s="509" t="s">
        <v>10</v>
      </c>
      <c r="F65" s="510">
        <v>-4</v>
      </c>
      <c r="G65" s="511" t="s">
        <v>11</v>
      </c>
      <c r="H65" s="512">
        <v>5546.6</v>
      </c>
      <c r="I65" s="513" t="s">
        <v>11</v>
      </c>
      <c r="J65" s="514" t="s">
        <v>156</v>
      </c>
      <c r="K65" s="5940" t="s">
        <v>1145</v>
      </c>
      <c r="L65" s="6760" t="str">
        <f>VLOOKUP(K65,'COD.'!$A$1:$B$39,2,0)</f>
        <v xml:space="preserve">Ocio y Entretenimiento </v>
      </c>
    </row>
    <row r="66" spans="1:12" x14ac:dyDescent="0.2">
      <c r="A66" s="6082" t="s">
        <v>157</v>
      </c>
      <c r="B66" s="515" t="s">
        <v>154</v>
      </c>
      <c r="C66" s="6013">
        <f t="shared" si="0"/>
        <v>10</v>
      </c>
      <c r="D66" s="516" t="s">
        <v>158</v>
      </c>
      <c r="E66" s="517" t="s">
        <v>10</v>
      </c>
      <c r="F66" s="518">
        <v>-4.99</v>
      </c>
      <c r="G66" s="519" t="s">
        <v>11</v>
      </c>
      <c r="H66" s="520">
        <v>5550.6</v>
      </c>
      <c r="I66" s="521" t="s">
        <v>11</v>
      </c>
      <c r="J66" s="522" t="s">
        <v>159</v>
      </c>
      <c r="K66" s="6010" t="s">
        <v>1177</v>
      </c>
      <c r="L66" s="6760" t="str">
        <f>VLOOKUP(K66,'COD.'!$A$1:$B$39,2,0)</f>
        <v xml:space="preserve">Ocio y Entretenimiento </v>
      </c>
    </row>
    <row r="67" spans="1:12" x14ac:dyDescent="0.2">
      <c r="A67" s="6083" t="s">
        <v>157</v>
      </c>
      <c r="B67" s="523" t="s">
        <v>154</v>
      </c>
      <c r="C67" s="6013">
        <f t="shared" ref="C67:C130" si="1">MONTH(A67)</f>
        <v>10</v>
      </c>
      <c r="D67" s="524" t="s">
        <v>96</v>
      </c>
      <c r="E67" s="525" t="s">
        <v>10</v>
      </c>
      <c r="F67" s="526">
        <v>-2.4900000000000002</v>
      </c>
      <c r="G67" s="527" t="s">
        <v>11</v>
      </c>
      <c r="H67" s="528">
        <v>5555.59</v>
      </c>
      <c r="I67" s="529" t="s">
        <v>11</v>
      </c>
      <c r="J67" s="530" t="s">
        <v>97</v>
      </c>
      <c r="K67" s="5972" t="s">
        <v>1150</v>
      </c>
      <c r="L67" s="6760" t="str">
        <f>VLOOKUP(K67,'COD.'!$A$1:$B$39,2,0)</f>
        <v xml:space="preserve">Ocio y Entretenimiento </v>
      </c>
    </row>
    <row r="68" spans="1:12" x14ac:dyDescent="0.2">
      <c r="A68" s="6084" t="s">
        <v>153</v>
      </c>
      <c r="B68" s="531" t="s">
        <v>154</v>
      </c>
      <c r="C68" s="6013">
        <f t="shared" si="1"/>
        <v>10</v>
      </c>
      <c r="D68" s="532" t="s">
        <v>160</v>
      </c>
      <c r="E68" s="533" t="s">
        <v>10</v>
      </c>
      <c r="F68" s="534">
        <v>-36.25</v>
      </c>
      <c r="G68" s="535" t="s">
        <v>11</v>
      </c>
      <c r="H68" s="536">
        <v>5558.08</v>
      </c>
      <c r="I68" s="537" t="s">
        <v>11</v>
      </c>
      <c r="J68" s="538" t="s">
        <v>161</v>
      </c>
      <c r="K68" s="5975" t="s">
        <v>1159</v>
      </c>
      <c r="L68" s="6760" t="str">
        <f>VLOOKUP(K68,'COD.'!$A$1:$B$39,2,0)</f>
        <v xml:space="preserve">Ocio y Entretenimiento </v>
      </c>
    </row>
    <row r="69" spans="1:12" x14ac:dyDescent="0.2">
      <c r="A69" s="6085" t="s">
        <v>162</v>
      </c>
      <c r="B69" s="539" t="s">
        <v>154</v>
      </c>
      <c r="C69" s="6013">
        <f t="shared" si="1"/>
        <v>10</v>
      </c>
      <c r="D69" s="540" t="s">
        <v>163</v>
      </c>
      <c r="E69" s="541" t="s">
        <v>164</v>
      </c>
      <c r="F69" s="542">
        <v>-59.45</v>
      </c>
      <c r="G69" s="543" t="s">
        <v>11</v>
      </c>
      <c r="H69" s="544">
        <v>5594.33</v>
      </c>
      <c r="I69" s="545" t="s">
        <v>11</v>
      </c>
      <c r="J69" s="546" t="s">
        <v>165</v>
      </c>
      <c r="K69" s="5976" t="s">
        <v>1160</v>
      </c>
      <c r="L69" s="6760" t="str">
        <f>VLOOKUP(K69,'COD.'!$A$1:$B$39,2,0)</f>
        <v xml:space="preserve">Vivienda y Préstamos </v>
      </c>
    </row>
    <row r="70" spans="1:12" x14ac:dyDescent="0.2">
      <c r="A70" s="6086" t="s">
        <v>143</v>
      </c>
      <c r="B70" s="547" t="s">
        <v>154</v>
      </c>
      <c r="C70" s="6013">
        <f t="shared" si="1"/>
        <v>10</v>
      </c>
      <c r="D70" s="548" t="s">
        <v>166</v>
      </c>
      <c r="E70" s="549" t="s">
        <v>164</v>
      </c>
      <c r="F70" s="550">
        <v>-10</v>
      </c>
      <c r="G70" s="551" t="s">
        <v>11</v>
      </c>
      <c r="H70" s="552">
        <v>5653.78</v>
      </c>
      <c r="I70" s="553" t="s">
        <v>11</v>
      </c>
      <c r="J70" s="554" t="s">
        <v>167</v>
      </c>
      <c r="K70" s="5977" t="s">
        <v>1166</v>
      </c>
      <c r="L70" s="6760" t="str">
        <f>VLOOKUP(K70,'COD.'!$A$1:$B$39,2,0)</f>
        <v xml:space="preserve">Ocio y Entretenimiento </v>
      </c>
    </row>
    <row r="71" spans="1:12" x14ac:dyDescent="0.2">
      <c r="A71" s="6087" t="s">
        <v>143</v>
      </c>
      <c r="B71" s="555" t="s">
        <v>154</v>
      </c>
      <c r="C71" s="6013">
        <f t="shared" si="1"/>
        <v>10</v>
      </c>
      <c r="D71" s="556" t="s">
        <v>168</v>
      </c>
      <c r="E71" s="557" t="s">
        <v>10</v>
      </c>
      <c r="F71" s="558">
        <v>-11.98</v>
      </c>
      <c r="G71" s="559" t="s">
        <v>11</v>
      </c>
      <c r="H71" s="560">
        <v>5663.78</v>
      </c>
      <c r="I71" s="561" t="s">
        <v>11</v>
      </c>
      <c r="J71" s="562" t="s">
        <v>169</v>
      </c>
      <c r="K71" s="5940" t="s">
        <v>1145</v>
      </c>
      <c r="L71" s="6760" t="str">
        <f>VLOOKUP(K71,'COD.'!$A$1:$B$39,2,0)</f>
        <v xml:space="preserve">Ocio y Entretenimiento </v>
      </c>
    </row>
    <row r="72" spans="1:12" x14ac:dyDescent="0.2">
      <c r="A72" s="6088" t="s">
        <v>143</v>
      </c>
      <c r="B72" s="563" t="s">
        <v>154</v>
      </c>
      <c r="C72" s="6013">
        <f t="shared" si="1"/>
        <v>10</v>
      </c>
      <c r="D72" s="564" t="s">
        <v>170</v>
      </c>
      <c r="E72" s="565" t="s">
        <v>10</v>
      </c>
      <c r="F72" s="566">
        <v>-4.4000000000000004</v>
      </c>
      <c r="G72" s="567" t="s">
        <v>11</v>
      </c>
      <c r="H72" s="568">
        <v>5675.76</v>
      </c>
      <c r="I72" s="569" t="s">
        <v>11</v>
      </c>
      <c r="J72" s="570" t="s">
        <v>171</v>
      </c>
      <c r="K72" s="5978" t="s">
        <v>1145</v>
      </c>
      <c r="L72" s="6760" t="str">
        <f>VLOOKUP(K72,'COD.'!$A$1:$B$39,2,0)</f>
        <v xml:space="preserve">Ocio y Entretenimiento </v>
      </c>
    </row>
    <row r="73" spans="1:12" x14ac:dyDescent="0.2">
      <c r="A73" s="6089" t="s">
        <v>143</v>
      </c>
      <c r="B73" s="571" t="s">
        <v>154</v>
      </c>
      <c r="C73" s="6013">
        <f t="shared" si="1"/>
        <v>10</v>
      </c>
      <c r="D73" s="572" t="s">
        <v>172</v>
      </c>
      <c r="E73" s="573" t="s">
        <v>10</v>
      </c>
      <c r="F73" s="574">
        <v>-3.2</v>
      </c>
      <c r="G73" s="575" t="s">
        <v>11</v>
      </c>
      <c r="H73" s="576">
        <v>5680.16</v>
      </c>
      <c r="I73" s="577" t="s">
        <v>11</v>
      </c>
      <c r="J73" s="578" t="s">
        <v>173</v>
      </c>
      <c r="K73" s="5940" t="s">
        <v>1145</v>
      </c>
      <c r="L73" s="6760" t="str">
        <f>VLOOKUP(K73,'COD.'!$A$1:$B$39,2,0)</f>
        <v xml:space="preserve">Ocio y Entretenimiento </v>
      </c>
    </row>
    <row r="74" spans="1:12" x14ac:dyDescent="0.2">
      <c r="A74" s="6090" t="s">
        <v>162</v>
      </c>
      <c r="B74" s="579" t="s">
        <v>154</v>
      </c>
      <c r="C74" s="6013">
        <f t="shared" si="1"/>
        <v>10</v>
      </c>
      <c r="D74" s="580" t="s">
        <v>174</v>
      </c>
      <c r="E74" s="581" t="s">
        <v>10</v>
      </c>
      <c r="F74" s="582">
        <v>-2.5099999999999998</v>
      </c>
      <c r="G74" s="583" t="s">
        <v>11</v>
      </c>
      <c r="H74" s="584">
        <v>5683.36</v>
      </c>
      <c r="I74" s="585" t="s">
        <v>11</v>
      </c>
      <c r="J74" s="586" t="s">
        <v>175</v>
      </c>
      <c r="K74" s="5940" t="s">
        <v>1145</v>
      </c>
      <c r="L74" s="6760" t="str">
        <f>VLOOKUP(K74,'COD.'!$A$1:$B$39,2,0)</f>
        <v xml:space="preserve">Ocio y Entretenimiento </v>
      </c>
    </row>
    <row r="75" spans="1:12" x14ac:dyDescent="0.2">
      <c r="A75" s="6091" t="s">
        <v>153</v>
      </c>
      <c r="B75" s="587" t="s">
        <v>153</v>
      </c>
      <c r="C75" s="6013">
        <f t="shared" si="1"/>
        <v>10</v>
      </c>
      <c r="D75" s="588" t="s">
        <v>176</v>
      </c>
      <c r="E75" s="589" t="s">
        <v>177</v>
      </c>
      <c r="F75" s="590">
        <v>72</v>
      </c>
      <c r="G75" s="591" t="s">
        <v>11</v>
      </c>
      <c r="H75" s="592">
        <v>5685.87</v>
      </c>
      <c r="I75" s="593" t="s">
        <v>11</v>
      </c>
      <c r="J75" s="594" t="s">
        <v>178</v>
      </c>
      <c r="K75" s="5979" t="s">
        <v>1159</v>
      </c>
      <c r="L75" s="6760" t="str">
        <f>VLOOKUP(K75,'COD.'!$A$1:$B$39,2,0)</f>
        <v xml:space="preserve">Ocio y Entretenimiento </v>
      </c>
    </row>
    <row r="76" spans="1:12" x14ac:dyDescent="0.2">
      <c r="A76" s="6092" t="s">
        <v>143</v>
      </c>
      <c r="B76" s="595" t="s">
        <v>153</v>
      </c>
      <c r="C76" s="6013">
        <f t="shared" si="1"/>
        <v>10</v>
      </c>
      <c r="D76" s="596" t="s">
        <v>179</v>
      </c>
      <c r="E76" s="597" t="s">
        <v>180</v>
      </c>
      <c r="F76" s="598">
        <v>-121.07</v>
      </c>
      <c r="G76" s="599" t="s">
        <v>11</v>
      </c>
      <c r="H76" s="600">
        <v>5613.87</v>
      </c>
      <c r="I76" s="601" t="s">
        <v>11</v>
      </c>
      <c r="J76" s="602" t="s">
        <v>181</v>
      </c>
      <c r="K76" s="5980" t="s">
        <v>179</v>
      </c>
      <c r="L76" s="6760" t="str">
        <f>VLOOKUP(K76,'COD.'!$A$1:$B$39,2,0)</f>
        <v xml:space="preserve">Vivienda y Préstamos </v>
      </c>
    </row>
    <row r="77" spans="1:12" x14ac:dyDescent="0.2">
      <c r="A77" s="6093" t="s">
        <v>182</v>
      </c>
      <c r="B77" s="603" t="s">
        <v>157</v>
      </c>
      <c r="C77" s="6013">
        <f t="shared" si="1"/>
        <v>9</v>
      </c>
      <c r="D77" s="604" t="s">
        <v>14</v>
      </c>
      <c r="E77" s="605" t="s">
        <v>10</v>
      </c>
      <c r="F77" s="606">
        <v>-6.99</v>
      </c>
      <c r="G77" s="607" t="s">
        <v>11</v>
      </c>
      <c r="H77" s="608">
        <v>5734.94</v>
      </c>
      <c r="I77" s="609" t="s">
        <v>11</v>
      </c>
      <c r="J77" s="610" t="s">
        <v>15</v>
      </c>
      <c r="K77" s="6010" t="s">
        <v>1178</v>
      </c>
      <c r="L77" s="6760" t="str">
        <f>VLOOKUP(K77,'COD.'!$A$1:$B$39,2,0)</f>
        <v xml:space="preserve">Ocio y Entretenimiento </v>
      </c>
    </row>
    <row r="78" spans="1:12" x14ac:dyDescent="0.2">
      <c r="A78" s="6094" t="s">
        <v>157</v>
      </c>
      <c r="B78" s="611" t="s">
        <v>157</v>
      </c>
      <c r="C78" s="6013">
        <f t="shared" si="1"/>
        <v>10</v>
      </c>
      <c r="D78" s="612" t="s">
        <v>183</v>
      </c>
      <c r="E78" s="613" t="s">
        <v>10</v>
      </c>
      <c r="F78" s="614">
        <v>-9</v>
      </c>
      <c r="G78" s="615" t="s">
        <v>11</v>
      </c>
      <c r="H78" s="616">
        <v>5741.93</v>
      </c>
      <c r="I78" s="617" t="s">
        <v>11</v>
      </c>
      <c r="J78" s="618" t="s">
        <v>184</v>
      </c>
      <c r="K78" s="5940" t="s">
        <v>1165</v>
      </c>
      <c r="L78" s="6760" t="str">
        <f>VLOOKUP(K78,'COD.'!$A$1:$B$39,2,0)</f>
        <v xml:space="preserve">Otros Gastos Generales </v>
      </c>
    </row>
    <row r="79" spans="1:12" x14ac:dyDescent="0.2">
      <c r="A79" s="6095" t="s">
        <v>185</v>
      </c>
      <c r="B79" s="619" t="s">
        <v>185</v>
      </c>
      <c r="C79" s="6013">
        <f t="shared" si="1"/>
        <v>10</v>
      </c>
      <c r="D79" s="620" t="s">
        <v>103</v>
      </c>
      <c r="E79" s="621" t="s">
        <v>10</v>
      </c>
      <c r="F79" s="622">
        <v>-49.89</v>
      </c>
      <c r="G79" s="623" t="s">
        <v>11</v>
      </c>
      <c r="H79" s="624">
        <v>5750.93</v>
      </c>
      <c r="I79" s="625" t="s">
        <v>11</v>
      </c>
      <c r="J79" s="626" t="s">
        <v>104</v>
      </c>
      <c r="K79" s="5940" t="s">
        <v>1148</v>
      </c>
      <c r="L79" s="6760" t="str">
        <f>VLOOKUP(K79,'COD.'!$A$1:$B$39,2,0)</f>
        <v xml:space="preserve">Supermercado </v>
      </c>
    </row>
    <row r="80" spans="1:12" x14ac:dyDescent="0.2">
      <c r="A80" s="6096" t="s">
        <v>185</v>
      </c>
      <c r="B80" s="627" t="s">
        <v>185</v>
      </c>
      <c r="C80" s="6013">
        <f t="shared" si="1"/>
        <v>10</v>
      </c>
      <c r="D80" s="628" t="s">
        <v>186</v>
      </c>
      <c r="E80" s="629" t="s">
        <v>10</v>
      </c>
      <c r="F80" s="630">
        <v>-14</v>
      </c>
      <c r="G80" s="631" t="s">
        <v>11</v>
      </c>
      <c r="H80" s="632">
        <v>5800.82</v>
      </c>
      <c r="I80" s="633" t="s">
        <v>11</v>
      </c>
      <c r="J80" s="634" t="s">
        <v>187</v>
      </c>
      <c r="K80" s="5940" t="s">
        <v>1147</v>
      </c>
      <c r="L80" s="6760" t="str">
        <f>VLOOKUP(K80,'COD.'!$A$1:$B$39,2,0)</f>
        <v xml:space="preserve">Otros Gastos Generales </v>
      </c>
    </row>
    <row r="81" spans="1:12" x14ac:dyDescent="0.2">
      <c r="A81" s="6097" t="s">
        <v>188</v>
      </c>
      <c r="B81" s="635" t="s">
        <v>185</v>
      </c>
      <c r="C81" s="6013">
        <f t="shared" si="1"/>
        <v>9</v>
      </c>
      <c r="D81" s="636" t="s">
        <v>189</v>
      </c>
      <c r="E81" s="637" t="s">
        <v>10</v>
      </c>
      <c r="F81" s="638">
        <v>-75.98</v>
      </c>
      <c r="G81" s="639" t="s">
        <v>11</v>
      </c>
      <c r="H81" s="640">
        <v>5814.82</v>
      </c>
      <c r="I81" s="641" t="s">
        <v>11</v>
      </c>
      <c r="J81" s="642" t="s">
        <v>190</v>
      </c>
      <c r="K81" s="5940" t="s">
        <v>1149</v>
      </c>
      <c r="L81" s="6760" t="str">
        <f>VLOOKUP(K81,'COD.'!$A$1:$B$39,2,0)</f>
        <v xml:space="preserve">Ocio y Entretenimiento </v>
      </c>
    </row>
    <row r="82" spans="1:12" x14ac:dyDescent="0.2">
      <c r="A82" s="6098" t="s">
        <v>185</v>
      </c>
      <c r="B82" s="643" t="s">
        <v>185</v>
      </c>
      <c r="C82" s="6013">
        <f t="shared" si="1"/>
        <v>10</v>
      </c>
      <c r="D82" s="644" t="s">
        <v>191</v>
      </c>
      <c r="E82" s="645" t="s">
        <v>192</v>
      </c>
      <c r="F82" s="646">
        <v>-30</v>
      </c>
      <c r="G82" s="647" t="s">
        <v>11</v>
      </c>
      <c r="H82" s="648">
        <v>5890.8</v>
      </c>
      <c r="I82" s="649" t="s">
        <v>11</v>
      </c>
      <c r="J82" s="650" t="s">
        <v>193</v>
      </c>
      <c r="K82" s="5940" t="s">
        <v>1168</v>
      </c>
      <c r="L82" s="6760" t="str">
        <f>VLOOKUP(K82,'COD.'!$A$1:$B$39,2,0)</f>
        <v>Moto</v>
      </c>
    </row>
    <row r="83" spans="1:12" x14ac:dyDescent="0.2">
      <c r="A83" s="6099" t="s">
        <v>185</v>
      </c>
      <c r="B83" s="651" t="s">
        <v>185</v>
      </c>
      <c r="C83" s="6013">
        <f t="shared" si="1"/>
        <v>10</v>
      </c>
      <c r="D83" s="652" t="s">
        <v>194</v>
      </c>
      <c r="E83" s="653" t="s">
        <v>195</v>
      </c>
      <c r="F83" s="654">
        <v>-50</v>
      </c>
      <c r="G83" s="655" t="s">
        <v>11</v>
      </c>
      <c r="H83" s="656">
        <v>5920.8</v>
      </c>
      <c r="I83" s="657" t="s">
        <v>11</v>
      </c>
      <c r="J83" s="658" t="s">
        <v>196</v>
      </c>
      <c r="K83" s="5940" t="s">
        <v>1154</v>
      </c>
      <c r="L83" s="6760" t="str">
        <f>VLOOKUP(K83,'COD.'!$A$1:$B$39,2,0)</f>
        <v xml:space="preserve">Vivienda y Préstamos </v>
      </c>
    </row>
    <row r="84" spans="1:12" x14ac:dyDescent="0.2">
      <c r="A84" s="6100" t="s">
        <v>185</v>
      </c>
      <c r="B84" s="659" t="s">
        <v>185</v>
      </c>
      <c r="C84" s="6013">
        <f t="shared" si="1"/>
        <v>10</v>
      </c>
      <c r="D84" s="660" t="s">
        <v>197</v>
      </c>
      <c r="E84" s="661" t="s">
        <v>198</v>
      </c>
      <c r="F84" s="662">
        <v>-65</v>
      </c>
      <c r="G84" s="663" t="s">
        <v>11</v>
      </c>
      <c r="H84" s="664">
        <v>5970.8</v>
      </c>
      <c r="I84" s="665" t="s">
        <v>11</v>
      </c>
      <c r="J84" s="666" t="s">
        <v>199</v>
      </c>
      <c r="K84" s="5940" t="s">
        <v>1155</v>
      </c>
      <c r="L84" s="6760" t="str">
        <f>VLOOKUP(K84,'COD.'!$A$1:$B$39,2,0)</f>
        <v xml:space="preserve">Ocio y Entretenimiento </v>
      </c>
    </row>
    <row r="85" spans="1:12" x14ac:dyDescent="0.2">
      <c r="A85" s="6101" t="s">
        <v>182</v>
      </c>
      <c r="B85" s="667" t="s">
        <v>185</v>
      </c>
      <c r="C85" s="6013">
        <f t="shared" si="1"/>
        <v>9</v>
      </c>
      <c r="D85" s="668" t="s">
        <v>56</v>
      </c>
      <c r="E85" s="669" t="s">
        <v>10</v>
      </c>
      <c r="F85" s="670">
        <v>-24.4</v>
      </c>
      <c r="G85" s="671" t="s">
        <v>11</v>
      </c>
      <c r="H85" s="672">
        <v>6035.8</v>
      </c>
      <c r="I85" s="673" t="s">
        <v>11</v>
      </c>
      <c r="J85" s="674" t="s">
        <v>57</v>
      </c>
      <c r="K85" s="5940" t="s">
        <v>1145</v>
      </c>
      <c r="L85" s="6760" t="str">
        <f>VLOOKUP(K85,'COD.'!$A$1:$B$39,2,0)</f>
        <v xml:space="preserve">Ocio y Entretenimiento </v>
      </c>
    </row>
    <row r="86" spans="1:12" x14ac:dyDescent="0.2">
      <c r="A86" s="6102" t="s">
        <v>182</v>
      </c>
      <c r="B86" s="675" t="s">
        <v>182</v>
      </c>
      <c r="C86" s="6013">
        <f t="shared" si="1"/>
        <v>9</v>
      </c>
      <c r="D86" s="676" t="s">
        <v>200</v>
      </c>
      <c r="E86" s="677" t="s">
        <v>10</v>
      </c>
      <c r="F86" s="678">
        <v>-26.95</v>
      </c>
      <c r="G86" s="679" t="s">
        <v>11</v>
      </c>
      <c r="H86" s="680">
        <v>6060.2</v>
      </c>
      <c r="I86" s="681" t="s">
        <v>11</v>
      </c>
      <c r="J86" s="682" t="s">
        <v>201</v>
      </c>
      <c r="K86" s="5940" t="s">
        <v>1149</v>
      </c>
      <c r="L86" s="6760" t="str">
        <f>VLOOKUP(K86,'COD.'!$A$1:$B$39,2,0)</f>
        <v xml:space="preserve">Ocio y Entretenimiento </v>
      </c>
    </row>
    <row r="87" spans="1:12" x14ac:dyDescent="0.2">
      <c r="A87" s="6103" t="s">
        <v>182</v>
      </c>
      <c r="B87" s="683" t="s">
        <v>182</v>
      </c>
      <c r="C87" s="6013">
        <f t="shared" si="1"/>
        <v>9</v>
      </c>
      <c r="D87" s="684" t="s">
        <v>19</v>
      </c>
      <c r="E87" s="685" t="s">
        <v>20</v>
      </c>
      <c r="F87" s="686">
        <v>-461.91</v>
      </c>
      <c r="G87" s="687" t="s">
        <v>11</v>
      </c>
      <c r="H87" s="688">
        <v>6087.15</v>
      </c>
      <c r="I87" s="689" t="s">
        <v>11</v>
      </c>
      <c r="J87" s="690" t="s">
        <v>21</v>
      </c>
      <c r="K87" s="5942" t="s">
        <v>1170</v>
      </c>
      <c r="L87" s="6760" t="str">
        <f>VLOOKUP(K87,'COD.'!$A$1:$B$39,2,0)</f>
        <v xml:space="preserve">Vivienda y Préstamos </v>
      </c>
    </row>
    <row r="88" spans="1:12" x14ac:dyDescent="0.2">
      <c r="A88" s="6104" t="s">
        <v>202</v>
      </c>
      <c r="B88" s="691" t="s">
        <v>202</v>
      </c>
      <c r="C88" s="6013">
        <f t="shared" si="1"/>
        <v>9</v>
      </c>
      <c r="D88" s="692" t="s">
        <v>42</v>
      </c>
      <c r="E88" s="693" t="s">
        <v>10</v>
      </c>
      <c r="F88" s="694">
        <v>-38.65</v>
      </c>
      <c r="G88" s="695" t="s">
        <v>11</v>
      </c>
      <c r="H88" s="696">
        <v>6549.06</v>
      </c>
      <c r="I88" s="697" t="s">
        <v>11</v>
      </c>
      <c r="J88" s="698" t="s">
        <v>43</v>
      </c>
      <c r="K88" s="5940" t="s">
        <v>1146</v>
      </c>
      <c r="L88" s="6760" t="str">
        <f>VLOOKUP(K88,'COD.'!$A$1:$B$39,2,0)</f>
        <v xml:space="preserve">Supermercado </v>
      </c>
    </row>
    <row r="89" spans="1:12" x14ac:dyDescent="0.2">
      <c r="A89" s="6105" t="s">
        <v>203</v>
      </c>
      <c r="B89" s="699" t="s">
        <v>202</v>
      </c>
      <c r="C89" s="6013">
        <f t="shared" si="1"/>
        <v>9</v>
      </c>
      <c r="D89" s="700" t="s">
        <v>92</v>
      </c>
      <c r="E89" s="701" t="s">
        <v>10</v>
      </c>
      <c r="F89" s="702">
        <v>-5.23</v>
      </c>
      <c r="G89" s="703" t="s">
        <v>11</v>
      </c>
      <c r="H89" s="704">
        <v>6587.71</v>
      </c>
      <c r="I89" s="705" t="s">
        <v>11</v>
      </c>
      <c r="J89" s="706" t="s">
        <v>93</v>
      </c>
      <c r="K89" s="5940" t="s">
        <v>1148</v>
      </c>
      <c r="L89" s="6760" t="str">
        <f>VLOOKUP(K89,'COD.'!$A$1:$B$39,2,0)</f>
        <v xml:space="preserve">Supermercado </v>
      </c>
    </row>
    <row r="90" spans="1:12" x14ac:dyDescent="0.2">
      <c r="A90" s="6106" t="s">
        <v>204</v>
      </c>
      <c r="B90" s="707" t="s">
        <v>204</v>
      </c>
      <c r="C90" s="6013">
        <f t="shared" si="1"/>
        <v>9</v>
      </c>
      <c r="D90" s="708" t="s">
        <v>205</v>
      </c>
      <c r="E90" s="709" t="s">
        <v>10</v>
      </c>
      <c r="F90" s="710">
        <v>-4.0999999999999996</v>
      </c>
      <c r="G90" s="711" t="s">
        <v>11</v>
      </c>
      <c r="H90" s="712">
        <v>6592.94</v>
      </c>
      <c r="I90" s="713" t="s">
        <v>11</v>
      </c>
      <c r="J90" s="714" t="s">
        <v>206</v>
      </c>
      <c r="K90" s="5940" t="s">
        <v>1145</v>
      </c>
      <c r="L90" s="6760" t="str">
        <f>VLOOKUP(K90,'COD.'!$A$1:$B$39,2,0)</f>
        <v xml:space="preserve">Ocio y Entretenimiento </v>
      </c>
    </row>
    <row r="91" spans="1:12" x14ac:dyDescent="0.2">
      <c r="A91" s="6107" t="s">
        <v>204</v>
      </c>
      <c r="B91" s="715" t="s">
        <v>204</v>
      </c>
      <c r="C91" s="6013">
        <f t="shared" si="1"/>
        <v>9</v>
      </c>
      <c r="D91" s="716" t="s">
        <v>207</v>
      </c>
      <c r="E91" s="717" t="s">
        <v>10</v>
      </c>
      <c r="F91" s="718">
        <v>-36.950000000000003</v>
      </c>
      <c r="G91" s="719" t="s">
        <v>11</v>
      </c>
      <c r="H91" s="720">
        <v>6597.04</v>
      </c>
      <c r="I91" s="721" t="s">
        <v>11</v>
      </c>
      <c r="J91" s="722" t="s">
        <v>208</v>
      </c>
      <c r="K91" s="5940" t="s">
        <v>1146</v>
      </c>
      <c r="L91" s="6760" t="str">
        <f>VLOOKUP(K91,'COD.'!$A$1:$B$39,2,0)</f>
        <v xml:space="preserve">Supermercado </v>
      </c>
    </row>
    <row r="92" spans="1:12" x14ac:dyDescent="0.2">
      <c r="A92" s="6108" t="s">
        <v>204</v>
      </c>
      <c r="B92" s="723" t="s">
        <v>204</v>
      </c>
      <c r="C92" s="6013">
        <f t="shared" si="1"/>
        <v>9</v>
      </c>
      <c r="D92" s="724" t="s">
        <v>209</v>
      </c>
      <c r="E92" s="725" t="s">
        <v>10</v>
      </c>
      <c r="F92" s="726">
        <v>-1.55</v>
      </c>
      <c r="G92" s="727" t="s">
        <v>11</v>
      </c>
      <c r="H92" s="728">
        <v>6633.99</v>
      </c>
      <c r="I92" s="729" t="s">
        <v>11</v>
      </c>
      <c r="J92" s="730" t="s">
        <v>210</v>
      </c>
      <c r="K92" s="5940" t="s">
        <v>1145</v>
      </c>
      <c r="L92" s="6760" t="str">
        <f>VLOOKUP(K92,'COD.'!$A$1:$B$39,2,0)</f>
        <v xml:space="preserve">Ocio y Entretenimiento </v>
      </c>
    </row>
    <row r="93" spans="1:12" x14ac:dyDescent="0.2">
      <c r="A93" s="6109" t="s">
        <v>204</v>
      </c>
      <c r="B93" s="731" t="s">
        <v>204</v>
      </c>
      <c r="C93" s="6013">
        <f t="shared" si="1"/>
        <v>9</v>
      </c>
      <c r="D93" s="732" t="s">
        <v>29</v>
      </c>
      <c r="E93" s="733" t="s">
        <v>30</v>
      </c>
      <c r="F93" s="734">
        <v>1867.53</v>
      </c>
      <c r="G93" s="735" t="s">
        <v>11</v>
      </c>
      <c r="H93" s="736">
        <v>6635.54</v>
      </c>
      <c r="I93" s="737" t="s">
        <v>11</v>
      </c>
      <c r="J93" s="738" t="s">
        <v>30</v>
      </c>
      <c r="K93" s="5981" t="s">
        <v>1144</v>
      </c>
      <c r="L93" s="6760" t="str">
        <f>VLOOKUP(K93,'COD.'!$A$1:$B$39,2,0)</f>
        <v xml:space="preserve">Transferencias y Efectivo </v>
      </c>
    </row>
    <row r="94" spans="1:12" x14ac:dyDescent="0.2">
      <c r="A94" s="6110" t="s">
        <v>204</v>
      </c>
      <c r="B94" s="739" t="s">
        <v>204</v>
      </c>
      <c r="C94" s="6013">
        <f t="shared" si="1"/>
        <v>9</v>
      </c>
      <c r="D94" s="740" t="s">
        <v>92</v>
      </c>
      <c r="E94" s="741" t="s">
        <v>10</v>
      </c>
      <c r="F94" s="742">
        <v>-1.02</v>
      </c>
      <c r="G94" s="743" t="s">
        <v>11</v>
      </c>
      <c r="H94" s="744">
        <v>4768.01</v>
      </c>
      <c r="I94" s="745" t="s">
        <v>11</v>
      </c>
      <c r="J94" s="746" t="s">
        <v>93</v>
      </c>
      <c r="K94" s="5940" t="s">
        <v>1148</v>
      </c>
      <c r="L94" s="6760" t="str">
        <f>VLOOKUP(K94,'COD.'!$A$1:$B$39,2,0)</f>
        <v xml:space="preserve">Supermercado </v>
      </c>
    </row>
    <row r="95" spans="1:12" x14ac:dyDescent="0.2">
      <c r="A95" s="6111" t="s">
        <v>204</v>
      </c>
      <c r="B95" s="747" t="s">
        <v>204</v>
      </c>
      <c r="C95" s="6013">
        <f t="shared" si="1"/>
        <v>9</v>
      </c>
      <c r="D95" s="748" t="s">
        <v>168</v>
      </c>
      <c r="E95" s="749" t="s">
        <v>10</v>
      </c>
      <c r="F95" s="750">
        <v>-22.75</v>
      </c>
      <c r="G95" s="751" t="s">
        <v>11</v>
      </c>
      <c r="H95" s="752">
        <v>4769.03</v>
      </c>
      <c r="I95" s="753" t="s">
        <v>11</v>
      </c>
      <c r="J95" s="754" t="s">
        <v>169</v>
      </c>
      <c r="K95" s="5940" t="s">
        <v>1145</v>
      </c>
      <c r="L95" s="6760" t="str">
        <f>VLOOKUP(K95,'COD.'!$A$1:$B$39,2,0)</f>
        <v xml:space="preserve">Ocio y Entretenimiento </v>
      </c>
    </row>
    <row r="96" spans="1:12" x14ac:dyDescent="0.2">
      <c r="A96" s="6112" t="s">
        <v>204</v>
      </c>
      <c r="B96" s="755" t="s">
        <v>204</v>
      </c>
      <c r="C96" s="6013">
        <f t="shared" si="1"/>
        <v>9</v>
      </c>
      <c r="D96" s="756" t="s">
        <v>39</v>
      </c>
      <c r="E96" s="757" t="s">
        <v>10</v>
      </c>
      <c r="F96" s="758">
        <v>-3.26</v>
      </c>
      <c r="G96" s="759" t="s">
        <v>11</v>
      </c>
      <c r="H96" s="760">
        <v>4791.78</v>
      </c>
      <c r="I96" s="761" t="s">
        <v>11</v>
      </c>
      <c r="J96" s="762" t="s">
        <v>111</v>
      </c>
      <c r="K96" s="5940" t="s">
        <v>443</v>
      </c>
      <c r="L96" s="6760" t="str">
        <f>VLOOKUP(K96,'COD.'!$A$1:$B$39,2,0)</f>
        <v xml:space="preserve">Salud y Cuidado </v>
      </c>
    </row>
    <row r="97" spans="1:12" x14ac:dyDescent="0.2">
      <c r="A97" s="6113" t="s">
        <v>211</v>
      </c>
      <c r="B97" s="763" t="s">
        <v>204</v>
      </c>
      <c r="C97" s="6013">
        <f t="shared" si="1"/>
        <v>9</v>
      </c>
      <c r="D97" s="764" t="s">
        <v>22</v>
      </c>
      <c r="E97" s="765" t="s">
        <v>10</v>
      </c>
      <c r="F97" s="766">
        <v>-15.7</v>
      </c>
      <c r="G97" s="767" t="s">
        <v>11</v>
      </c>
      <c r="H97" s="768">
        <v>4795.04</v>
      </c>
      <c r="I97" s="769" t="s">
        <v>11</v>
      </c>
      <c r="J97" s="770" t="s">
        <v>23</v>
      </c>
      <c r="K97" s="5940" t="s">
        <v>1145</v>
      </c>
      <c r="L97" s="6760" t="str">
        <f>VLOOKUP(K97,'COD.'!$A$1:$B$39,2,0)</f>
        <v xml:space="preserve">Ocio y Entretenimiento </v>
      </c>
    </row>
    <row r="98" spans="1:12" x14ac:dyDescent="0.2">
      <c r="A98" s="6114" t="s">
        <v>211</v>
      </c>
      <c r="B98" s="771" t="s">
        <v>211</v>
      </c>
      <c r="C98" s="6013">
        <f t="shared" si="1"/>
        <v>9</v>
      </c>
      <c r="D98" s="772" t="s">
        <v>212</v>
      </c>
      <c r="E98" s="773" t="s">
        <v>10</v>
      </c>
      <c r="F98" s="774">
        <v>-27.8</v>
      </c>
      <c r="G98" s="775" t="s">
        <v>11</v>
      </c>
      <c r="H98" s="776">
        <v>4810.74</v>
      </c>
      <c r="I98" s="777" t="s">
        <v>11</v>
      </c>
      <c r="J98" s="778" t="s">
        <v>213</v>
      </c>
      <c r="K98" s="5940" t="s">
        <v>1146</v>
      </c>
      <c r="L98" s="6760" t="str">
        <f>VLOOKUP(K98,'COD.'!$A$1:$B$39,2,0)</f>
        <v xml:space="preserve">Supermercado </v>
      </c>
    </row>
    <row r="99" spans="1:12" x14ac:dyDescent="0.2">
      <c r="A99" s="6115" t="s">
        <v>211</v>
      </c>
      <c r="B99" s="779" t="s">
        <v>211</v>
      </c>
      <c r="C99" s="6013">
        <f t="shared" si="1"/>
        <v>9</v>
      </c>
      <c r="D99" s="780" t="s">
        <v>98</v>
      </c>
      <c r="E99" s="781" t="s">
        <v>10</v>
      </c>
      <c r="F99" s="782">
        <v>-1.7</v>
      </c>
      <c r="G99" s="783" t="s">
        <v>11</v>
      </c>
      <c r="H99" s="784">
        <v>4838.54</v>
      </c>
      <c r="I99" s="785" t="s">
        <v>11</v>
      </c>
      <c r="J99" s="786" t="s">
        <v>99</v>
      </c>
      <c r="K99" s="5940" t="s">
        <v>1145</v>
      </c>
      <c r="L99" s="6760" t="str">
        <f>VLOOKUP(K99,'COD.'!$A$1:$B$39,2,0)</f>
        <v xml:space="preserve">Ocio y Entretenimiento </v>
      </c>
    </row>
    <row r="100" spans="1:12" x14ac:dyDescent="0.2">
      <c r="A100" s="6116" t="s">
        <v>214</v>
      </c>
      <c r="B100" s="787" t="s">
        <v>211</v>
      </c>
      <c r="C100" s="6013">
        <f t="shared" si="1"/>
        <v>9</v>
      </c>
      <c r="D100" s="788" t="s">
        <v>215</v>
      </c>
      <c r="E100" s="789" t="s">
        <v>10</v>
      </c>
      <c r="F100" s="790">
        <v>-11.99</v>
      </c>
      <c r="G100" s="791" t="s">
        <v>11</v>
      </c>
      <c r="H100" s="792">
        <v>4840.24</v>
      </c>
      <c r="I100" s="793" t="s">
        <v>11</v>
      </c>
      <c r="J100" s="794" t="s">
        <v>216</v>
      </c>
      <c r="K100" s="5940" t="s">
        <v>1173</v>
      </c>
      <c r="L100" s="6760" t="str">
        <f>VLOOKUP(K100,'COD.'!$A$1:$B$39,2,0)</f>
        <v xml:space="preserve">Ocio y Entretenimiento </v>
      </c>
    </row>
    <row r="101" spans="1:12" x14ac:dyDescent="0.2">
      <c r="A101" s="6117" t="s">
        <v>217</v>
      </c>
      <c r="B101" s="795" t="s">
        <v>217</v>
      </c>
      <c r="C101" s="6013">
        <f t="shared" si="1"/>
        <v>9</v>
      </c>
      <c r="D101" s="796" t="s">
        <v>218</v>
      </c>
      <c r="E101" s="797" t="s">
        <v>10</v>
      </c>
      <c r="F101" s="798">
        <v>-7.8</v>
      </c>
      <c r="G101" s="799" t="s">
        <v>11</v>
      </c>
      <c r="H101" s="800">
        <v>4852.2299999999996</v>
      </c>
      <c r="I101" s="801" t="s">
        <v>11</v>
      </c>
      <c r="J101" s="802" t="s">
        <v>219</v>
      </c>
      <c r="K101" s="5940" t="s">
        <v>1145</v>
      </c>
      <c r="L101" s="6760" t="str">
        <f>VLOOKUP(K101,'COD.'!$A$1:$B$39,2,0)</f>
        <v xml:space="preserve">Ocio y Entretenimiento </v>
      </c>
    </row>
    <row r="102" spans="1:12" x14ac:dyDescent="0.2">
      <c r="A102" s="6118" t="s">
        <v>214</v>
      </c>
      <c r="B102" s="803" t="s">
        <v>214</v>
      </c>
      <c r="C102" s="6013">
        <f t="shared" si="1"/>
        <v>9</v>
      </c>
      <c r="D102" s="804" t="s">
        <v>69</v>
      </c>
      <c r="E102" s="805" t="s">
        <v>10</v>
      </c>
      <c r="F102" s="806">
        <v>-13.49</v>
      </c>
      <c r="G102" s="807" t="s">
        <v>11</v>
      </c>
      <c r="H102" s="808">
        <v>4860.03</v>
      </c>
      <c r="I102" s="809" t="s">
        <v>11</v>
      </c>
      <c r="J102" s="810" t="s">
        <v>70</v>
      </c>
      <c r="K102" s="5940" t="s">
        <v>1148</v>
      </c>
      <c r="L102" s="6760" t="str">
        <f>VLOOKUP(K102,'COD.'!$A$1:$B$39,2,0)</f>
        <v xml:space="preserve">Supermercado </v>
      </c>
    </row>
    <row r="103" spans="1:12" x14ac:dyDescent="0.2">
      <c r="A103" s="6119" t="s">
        <v>220</v>
      </c>
      <c r="B103" s="811" t="s">
        <v>214</v>
      </c>
      <c r="C103" s="6013">
        <f t="shared" si="1"/>
        <v>9</v>
      </c>
      <c r="D103" s="812" t="s">
        <v>221</v>
      </c>
      <c r="E103" s="813" t="s">
        <v>10</v>
      </c>
      <c r="F103" s="814">
        <v>-35</v>
      </c>
      <c r="G103" s="815" t="s">
        <v>11</v>
      </c>
      <c r="H103" s="816">
        <v>4873.5200000000004</v>
      </c>
      <c r="I103" s="817" t="s">
        <v>11</v>
      </c>
      <c r="J103" s="818" t="s">
        <v>222</v>
      </c>
      <c r="K103" s="5940" t="s">
        <v>1149</v>
      </c>
      <c r="L103" s="6760" t="str">
        <f>VLOOKUP(K103,'COD.'!$A$1:$B$39,2,0)</f>
        <v xml:space="preserve">Ocio y Entretenimiento </v>
      </c>
    </row>
    <row r="104" spans="1:12" x14ac:dyDescent="0.2">
      <c r="A104" s="6120" t="s">
        <v>214</v>
      </c>
      <c r="B104" s="819" t="s">
        <v>214</v>
      </c>
      <c r="C104" s="6013">
        <f t="shared" si="1"/>
        <v>9</v>
      </c>
      <c r="D104" s="820" t="s">
        <v>223</v>
      </c>
      <c r="E104" s="821" t="s">
        <v>10</v>
      </c>
      <c r="F104" s="822">
        <v>-14.96</v>
      </c>
      <c r="G104" s="823" t="s">
        <v>11</v>
      </c>
      <c r="H104" s="824">
        <v>4908.5200000000004</v>
      </c>
      <c r="I104" s="825" t="s">
        <v>11</v>
      </c>
      <c r="J104" s="826" t="s">
        <v>224</v>
      </c>
      <c r="K104" s="5940" t="s">
        <v>1148</v>
      </c>
      <c r="L104" s="6760" t="str">
        <f>VLOOKUP(K104,'COD.'!$A$1:$B$39,2,0)</f>
        <v xml:space="preserve">Supermercado </v>
      </c>
    </row>
    <row r="105" spans="1:12" x14ac:dyDescent="0.2">
      <c r="A105" s="6121" t="s">
        <v>214</v>
      </c>
      <c r="B105" s="827" t="s">
        <v>214</v>
      </c>
      <c r="C105" s="6013">
        <f t="shared" si="1"/>
        <v>9</v>
      </c>
      <c r="D105" s="828" t="s">
        <v>225</v>
      </c>
      <c r="E105" s="829" t="s">
        <v>10</v>
      </c>
      <c r="F105" s="830">
        <v>-4.6500000000000004</v>
      </c>
      <c r="G105" s="831" t="s">
        <v>11</v>
      </c>
      <c r="H105" s="832">
        <v>4923.4799999999996</v>
      </c>
      <c r="I105" s="833" t="s">
        <v>11</v>
      </c>
      <c r="J105" s="834" t="s">
        <v>226</v>
      </c>
      <c r="K105" s="5940" t="s">
        <v>1145</v>
      </c>
      <c r="L105" s="6760" t="str">
        <f>VLOOKUP(K105,'COD.'!$A$1:$B$39,2,0)</f>
        <v xml:space="preserve">Ocio y Entretenimiento </v>
      </c>
    </row>
    <row r="106" spans="1:12" x14ac:dyDescent="0.2">
      <c r="A106" s="6122" t="s">
        <v>214</v>
      </c>
      <c r="B106" s="835" t="s">
        <v>214</v>
      </c>
      <c r="C106" s="6013">
        <f t="shared" si="1"/>
        <v>9</v>
      </c>
      <c r="D106" s="836" t="s">
        <v>227</v>
      </c>
      <c r="E106" s="837" t="s">
        <v>10</v>
      </c>
      <c r="F106" s="838">
        <v>-11.32</v>
      </c>
      <c r="G106" s="839" t="s">
        <v>11</v>
      </c>
      <c r="H106" s="840">
        <v>4928.13</v>
      </c>
      <c r="I106" s="841" t="s">
        <v>11</v>
      </c>
      <c r="J106" s="842" t="s">
        <v>228</v>
      </c>
      <c r="K106" s="5940" t="s">
        <v>1156</v>
      </c>
      <c r="L106" s="6760" t="str">
        <f>VLOOKUP(K106,'COD.'!$A$1:$B$39,2,0)</f>
        <v>Moto</v>
      </c>
    </row>
    <row r="107" spans="1:12" x14ac:dyDescent="0.2">
      <c r="A107" s="6123" t="s">
        <v>220</v>
      </c>
      <c r="B107" s="843" t="s">
        <v>229</v>
      </c>
      <c r="C107" s="6013">
        <f t="shared" si="1"/>
        <v>9</v>
      </c>
      <c r="D107" s="844" t="s">
        <v>230</v>
      </c>
      <c r="E107" s="845" t="s">
        <v>10</v>
      </c>
      <c r="F107" s="846">
        <v>-22.84</v>
      </c>
      <c r="G107" s="847" t="s">
        <v>11</v>
      </c>
      <c r="H107" s="848">
        <v>4939.45</v>
      </c>
      <c r="I107" s="849" t="s">
        <v>11</v>
      </c>
      <c r="J107" s="850" t="s">
        <v>231</v>
      </c>
      <c r="K107" s="5940" t="s">
        <v>1148</v>
      </c>
      <c r="L107" s="6760" t="str">
        <f>VLOOKUP(K107,'COD.'!$A$1:$B$39,2,0)</f>
        <v xml:space="preserve">Supermercado </v>
      </c>
    </row>
    <row r="108" spans="1:12" x14ac:dyDescent="0.2">
      <c r="A108" s="6124" t="s">
        <v>229</v>
      </c>
      <c r="B108" s="851" t="s">
        <v>229</v>
      </c>
      <c r="C108" s="6013">
        <f t="shared" si="1"/>
        <v>9</v>
      </c>
      <c r="D108" s="852" t="s">
        <v>218</v>
      </c>
      <c r="E108" s="853" t="s">
        <v>10</v>
      </c>
      <c r="F108" s="854">
        <v>-2.2999999999999998</v>
      </c>
      <c r="G108" s="855" t="s">
        <v>11</v>
      </c>
      <c r="H108" s="856">
        <v>4962.29</v>
      </c>
      <c r="I108" s="857" t="s">
        <v>11</v>
      </c>
      <c r="J108" s="858" t="s">
        <v>219</v>
      </c>
      <c r="K108" s="5940" t="s">
        <v>1145</v>
      </c>
      <c r="L108" s="6760" t="str">
        <f>VLOOKUP(K108,'COD.'!$A$1:$B$39,2,0)</f>
        <v xml:space="preserve">Ocio y Entretenimiento </v>
      </c>
    </row>
    <row r="109" spans="1:12" x14ac:dyDescent="0.2">
      <c r="A109" s="6125" t="s">
        <v>232</v>
      </c>
      <c r="B109" s="859" t="s">
        <v>229</v>
      </c>
      <c r="C109" s="6013">
        <f t="shared" si="1"/>
        <v>9</v>
      </c>
      <c r="D109" s="860" t="s">
        <v>233</v>
      </c>
      <c r="E109" s="861" t="s">
        <v>10</v>
      </c>
      <c r="F109" s="862">
        <v>-3.4</v>
      </c>
      <c r="G109" s="863" t="s">
        <v>11</v>
      </c>
      <c r="H109" s="864">
        <v>4964.59</v>
      </c>
      <c r="I109" s="865" t="s">
        <v>11</v>
      </c>
      <c r="J109" s="866" t="s">
        <v>234</v>
      </c>
      <c r="K109" s="5940" t="s">
        <v>1145</v>
      </c>
      <c r="L109" s="6760" t="str">
        <f>VLOOKUP(K109,'COD.'!$A$1:$B$39,2,0)</f>
        <v xml:space="preserve">Ocio y Entretenimiento </v>
      </c>
    </row>
    <row r="110" spans="1:12" x14ac:dyDescent="0.2">
      <c r="A110" s="6126" t="s">
        <v>232</v>
      </c>
      <c r="B110" s="867" t="s">
        <v>229</v>
      </c>
      <c r="C110" s="6013">
        <f t="shared" si="1"/>
        <v>9</v>
      </c>
      <c r="D110" s="868" t="s">
        <v>92</v>
      </c>
      <c r="E110" s="869" t="s">
        <v>10</v>
      </c>
      <c r="F110" s="870">
        <v>-12.34</v>
      </c>
      <c r="G110" s="871" t="s">
        <v>11</v>
      </c>
      <c r="H110" s="872">
        <v>4967.99</v>
      </c>
      <c r="I110" s="873" t="s">
        <v>11</v>
      </c>
      <c r="J110" s="874" t="s">
        <v>93</v>
      </c>
      <c r="K110" s="5940" t="s">
        <v>1148</v>
      </c>
      <c r="L110" s="6760" t="str">
        <f>VLOOKUP(K110,'COD.'!$A$1:$B$39,2,0)</f>
        <v xml:space="preserve">Supermercado </v>
      </c>
    </row>
    <row r="111" spans="1:12" x14ac:dyDescent="0.2">
      <c r="A111" s="6127" t="s">
        <v>232</v>
      </c>
      <c r="B111" s="875" t="s">
        <v>229</v>
      </c>
      <c r="C111" s="6013">
        <f t="shared" si="1"/>
        <v>9</v>
      </c>
      <c r="D111" s="876" t="s">
        <v>218</v>
      </c>
      <c r="E111" s="877" t="s">
        <v>10</v>
      </c>
      <c r="F111" s="878">
        <v>-8.8000000000000007</v>
      </c>
      <c r="G111" s="879" t="s">
        <v>11</v>
      </c>
      <c r="H111" s="880">
        <v>4980.33</v>
      </c>
      <c r="I111" s="881" t="s">
        <v>11</v>
      </c>
      <c r="J111" s="882" t="s">
        <v>219</v>
      </c>
      <c r="K111" s="5940" t="s">
        <v>1145</v>
      </c>
      <c r="L111" s="6760" t="str">
        <f>VLOOKUP(K111,'COD.'!$A$1:$B$39,2,0)</f>
        <v xml:space="preserve">Ocio y Entretenimiento </v>
      </c>
    </row>
    <row r="112" spans="1:12" x14ac:dyDescent="0.2">
      <c r="A112" s="6128" t="s">
        <v>220</v>
      </c>
      <c r="B112" s="883" t="s">
        <v>229</v>
      </c>
      <c r="C112" s="6013">
        <f t="shared" si="1"/>
        <v>9</v>
      </c>
      <c r="D112" s="884" t="s">
        <v>103</v>
      </c>
      <c r="E112" s="885" t="s">
        <v>10</v>
      </c>
      <c r="F112" s="886">
        <v>-41.52</v>
      </c>
      <c r="G112" s="887" t="s">
        <v>11</v>
      </c>
      <c r="H112" s="888">
        <v>4989.13</v>
      </c>
      <c r="I112" s="889" t="s">
        <v>11</v>
      </c>
      <c r="J112" s="890" t="s">
        <v>104</v>
      </c>
      <c r="K112" s="5940" t="s">
        <v>1148</v>
      </c>
      <c r="L112" s="6760" t="str">
        <f>VLOOKUP(K112,'COD.'!$A$1:$B$39,2,0)</f>
        <v xml:space="preserve">Supermercado </v>
      </c>
    </row>
    <row r="113" spans="1:12" x14ac:dyDescent="0.2">
      <c r="A113" s="6129" t="s">
        <v>220</v>
      </c>
      <c r="B113" s="891" t="s">
        <v>229</v>
      </c>
      <c r="C113" s="6013">
        <f t="shared" si="1"/>
        <v>9</v>
      </c>
      <c r="D113" s="892" t="s">
        <v>235</v>
      </c>
      <c r="E113" s="893" t="s">
        <v>10</v>
      </c>
      <c r="F113" s="894">
        <v>-9.99</v>
      </c>
      <c r="G113" s="895" t="s">
        <v>11</v>
      </c>
      <c r="H113" s="896">
        <v>5030.6499999999996</v>
      </c>
      <c r="I113" s="897" t="s">
        <v>11</v>
      </c>
      <c r="J113" s="898" t="s">
        <v>236</v>
      </c>
      <c r="K113" s="5940" t="s">
        <v>1146</v>
      </c>
      <c r="L113" s="6760" t="str">
        <f>VLOOKUP(K113,'COD.'!$A$1:$B$39,2,0)</f>
        <v xml:space="preserve">Supermercado </v>
      </c>
    </row>
    <row r="114" spans="1:12" x14ac:dyDescent="0.2">
      <c r="A114" s="6130" t="s">
        <v>237</v>
      </c>
      <c r="B114" s="899" t="s">
        <v>238</v>
      </c>
      <c r="C114" s="6013">
        <f t="shared" si="1"/>
        <v>9</v>
      </c>
      <c r="D114" s="900" t="s">
        <v>239</v>
      </c>
      <c r="E114" s="901" t="s">
        <v>10</v>
      </c>
      <c r="F114" s="902">
        <v>-140</v>
      </c>
      <c r="G114" s="903" t="s">
        <v>11</v>
      </c>
      <c r="H114" s="904">
        <v>5040.6400000000003</v>
      </c>
      <c r="I114" s="905" t="s">
        <v>11</v>
      </c>
      <c r="J114" s="906" t="s">
        <v>240</v>
      </c>
      <c r="K114" s="5940" t="s">
        <v>1169</v>
      </c>
      <c r="L114" s="6760" t="str">
        <f>VLOOKUP(K114,'COD.'!$A$1:$B$39,2,0)</f>
        <v xml:space="preserve">Ocio y Entretenimiento </v>
      </c>
    </row>
    <row r="115" spans="1:12" x14ac:dyDescent="0.2">
      <c r="A115" s="6131" t="s">
        <v>238</v>
      </c>
      <c r="B115" s="907" t="s">
        <v>238</v>
      </c>
      <c r="C115" s="6013">
        <f t="shared" si="1"/>
        <v>9</v>
      </c>
      <c r="D115" s="908" t="s">
        <v>168</v>
      </c>
      <c r="E115" s="909" t="s">
        <v>10</v>
      </c>
      <c r="F115" s="910">
        <v>-12.15</v>
      </c>
      <c r="G115" s="911" t="s">
        <v>11</v>
      </c>
      <c r="H115" s="912">
        <v>5180.6400000000003</v>
      </c>
      <c r="I115" s="913" t="s">
        <v>11</v>
      </c>
      <c r="J115" s="914" t="s">
        <v>169</v>
      </c>
      <c r="K115" s="5940" t="s">
        <v>1145</v>
      </c>
      <c r="L115" s="6760" t="str">
        <f>VLOOKUP(K115,'COD.'!$A$1:$B$39,2,0)</f>
        <v xml:space="preserve">Ocio y Entretenimiento </v>
      </c>
    </row>
    <row r="116" spans="1:12" x14ac:dyDescent="0.2">
      <c r="A116" s="6132" t="s">
        <v>241</v>
      </c>
      <c r="B116" s="915" t="s">
        <v>238</v>
      </c>
      <c r="C116" s="6013">
        <f t="shared" si="1"/>
        <v>9</v>
      </c>
      <c r="D116" s="916" t="s">
        <v>60</v>
      </c>
      <c r="E116" s="917" t="s">
        <v>242</v>
      </c>
      <c r="F116" s="918">
        <v>193.16</v>
      </c>
      <c r="G116" s="919" t="s">
        <v>11</v>
      </c>
      <c r="H116" s="920">
        <v>5192.79</v>
      </c>
      <c r="I116" s="921" t="s">
        <v>11</v>
      </c>
      <c r="J116" s="922" t="s">
        <v>243</v>
      </c>
      <c r="K116" s="5982" t="s">
        <v>60</v>
      </c>
      <c r="L116" s="6760" t="str">
        <f>VLOOKUP(K116,'COD.'!$A$1:$B$39,2,0)</f>
        <v xml:space="preserve">Transferencias y Efectivo </v>
      </c>
    </row>
    <row r="117" spans="1:12" x14ac:dyDescent="0.2">
      <c r="A117" s="6133" t="s">
        <v>241</v>
      </c>
      <c r="B117" s="923" t="s">
        <v>241</v>
      </c>
      <c r="C117" s="6013">
        <f t="shared" si="1"/>
        <v>9</v>
      </c>
      <c r="D117" s="924" t="s">
        <v>244</v>
      </c>
      <c r="E117" s="925" t="s">
        <v>10</v>
      </c>
      <c r="F117" s="926">
        <v>-65.900000000000006</v>
      </c>
      <c r="G117" s="927" t="s">
        <v>11</v>
      </c>
      <c r="H117" s="928">
        <v>4999.63</v>
      </c>
      <c r="I117" s="929" t="s">
        <v>11</v>
      </c>
      <c r="J117" s="930" t="s">
        <v>245</v>
      </c>
      <c r="K117" s="5940" t="s">
        <v>1156</v>
      </c>
      <c r="L117" s="6760" t="str">
        <f>VLOOKUP(K117,'COD.'!$A$1:$B$39,2,0)</f>
        <v>Moto</v>
      </c>
    </row>
    <row r="118" spans="1:12" x14ac:dyDescent="0.2">
      <c r="A118" s="6134" t="s">
        <v>241</v>
      </c>
      <c r="B118" s="931" t="s">
        <v>241</v>
      </c>
      <c r="C118" s="6013">
        <f t="shared" si="1"/>
        <v>9</v>
      </c>
      <c r="D118" s="932" t="s">
        <v>246</v>
      </c>
      <c r="E118" s="933" t="s">
        <v>10</v>
      </c>
      <c r="F118" s="934">
        <v>-9.9499999999999993</v>
      </c>
      <c r="G118" s="935" t="s">
        <v>11</v>
      </c>
      <c r="H118" s="936">
        <v>5065.53</v>
      </c>
      <c r="I118" s="937" t="s">
        <v>11</v>
      </c>
      <c r="J118" s="938" t="s">
        <v>247</v>
      </c>
      <c r="K118" s="5940" t="s">
        <v>1145</v>
      </c>
      <c r="L118" s="6760" t="str">
        <f>VLOOKUP(K118,'COD.'!$A$1:$B$39,2,0)</f>
        <v xml:space="preserve">Ocio y Entretenimiento </v>
      </c>
    </row>
    <row r="119" spans="1:12" x14ac:dyDescent="0.2">
      <c r="A119" s="6135" t="s">
        <v>237</v>
      </c>
      <c r="B119" s="939" t="s">
        <v>241</v>
      </c>
      <c r="C119" s="6013">
        <f t="shared" si="1"/>
        <v>9</v>
      </c>
      <c r="D119" s="940" t="s">
        <v>60</v>
      </c>
      <c r="E119" s="941" t="s">
        <v>248</v>
      </c>
      <c r="F119" s="942">
        <v>-26.4</v>
      </c>
      <c r="G119" s="943" t="s">
        <v>11</v>
      </c>
      <c r="H119" s="944">
        <v>5075.4799999999996</v>
      </c>
      <c r="I119" s="945" t="s">
        <v>11</v>
      </c>
      <c r="J119" s="946" t="s">
        <v>249</v>
      </c>
      <c r="K119" s="5982" t="s">
        <v>60</v>
      </c>
      <c r="L119" s="6760" t="str">
        <f>VLOOKUP(K119,'COD.'!$A$1:$B$39,2,0)</f>
        <v xml:space="preserve">Transferencias y Efectivo </v>
      </c>
    </row>
    <row r="120" spans="1:12" x14ac:dyDescent="0.2">
      <c r="A120" s="6136" t="s">
        <v>237</v>
      </c>
      <c r="B120" s="947" t="s">
        <v>237</v>
      </c>
      <c r="C120" s="6013">
        <f t="shared" si="1"/>
        <v>9</v>
      </c>
      <c r="D120" s="948" t="s">
        <v>250</v>
      </c>
      <c r="E120" s="949" t="s">
        <v>10</v>
      </c>
      <c r="F120" s="950">
        <v>-28.05</v>
      </c>
      <c r="G120" s="951" t="s">
        <v>11</v>
      </c>
      <c r="H120" s="952">
        <v>5101.88</v>
      </c>
      <c r="I120" s="953" t="s">
        <v>11</v>
      </c>
      <c r="J120" s="954" t="s">
        <v>251</v>
      </c>
      <c r="K120" s="5940" t="s">
        <v>1145</v>
      </c>
      <c r="L120" s="6760" t="str">
        <f>VLOOKUP(K120,'COD.'!$A$1:$B$39,2,0)</f>
        <v xml:space="preserve">Ocio y Entretenimiento </v>
      </c>
    </row>
    <row r="121" spans="1:12" x14ac:dyDescent="0.2">
      <c r="A121" s="6137" t="s">
        <v>252</v>
      </c>
      <c r="B121" s="955" t="s">
        <v>237</v>
      </c>
      <c r="C121" s="6013">
        <f t="shared" si="1"/>
        <v>9</v>
      </c>
      <c r="D121" s="956" t="s">
        <v>96</v>
      </c>
      <c r="E121" s="957" t="s">
        <v>10</v>
      </c>
      <c r="F121" s="958">
        <v>-2.99</v>
      </c>
      <c r="G121" s="959" t="s">
        <v>11</v>
      </c>
      <c r="H121" s="960">
        <v>5129.93</v>
      </c>
      <c r="I121" s="961" t="s">
        <v>11</v>
      </c>
      <c r="J121" s="962" t="s">
        <v>97</v>
      </c>
      <c r="K121" s="5972" t="s">
        <v>1150</v>
      </c>
      <c r="L121" s="6760" t="str">
        <f>VLOOKUP(K121,'COD.'!$A$1:$B$39,2,0)</f>
        <v xml:space="preserve">Ocio y Entretenimiento </v>
      </c>
    </row>
    <row r="122" spans="1:12" x14ac:dyDescent="0.2">
      <c r="A122" s="6138" t="s">
        <v>237</v>
      </c>
      <c r="B122" s="963" t="s">
        <v>237</v>
      </c>
      <c r="C122" s="6013">
        <f t="shared" si="1"/>
        <v>9</v>
      </c>
      <c r="D122" s="964" t="s">
        <v>60</v>
      </c>
      <c r="E122" s="965" t="s">
        <v>61</v>
      </c>
      <c r="F122" s="966">
        <v>-6.67</v>
      </c>
      <c r="G122" s="967" t="s">
        <v>11</v>
      </c>
      <c r="H122" s="968">
        <v>5132.92</v>
      </c>
      <c r="I122" s="969" t="s">
        <v>11</v>
      </c>
      <c r="J122" s="970" t="s">
        <v>62</v>
      </c>
      <c r="K122" s="5982" t="s">
        <v>60</v>
      </c>
      <c r="L122" s="6760" t="str">
        <f>VLOOKUP(K122,'COD.'!$A$1:$B$39,2,0)</f>
        <v xml:space="preserve">Transferencias y Efectivo </v>
      </c>
    </row>
    <row r="123" spans="1:12" x14ac:dyDescent="0.2">
      <c r="A123" s="6139" t="s">
        <v>253</v>
      </c>
      <c r="B123" s="971" t="s">
        <v>237</v>
      </c>
      <c r="C123" s="6013">
        <f t="shared" si="1"/>
        <v>9</v>
      </c>
      <c r="D123" s="972" t="s">
        <v>254</v>
      </c>
      <c r="E123" s="973" t="s">
        <v>10</v>
      </c>
      <c r="F123" s="974">
        <v>-22</v>
      </c>
      <c r="G123" s="975" t="s">
        <v>11</v>
      </c>
      <c r="H123" s="976">
        <v>5139.59</v>
      </c>
      <c r="I123" s="977" t="s">
        <v>11</v>
      </c>
      <c r="J123" s="978" t="s">
        <v>255</v>
      </c>
      <c r="K123" s="5940" t="s">
        <v>1149</v>
      </c>
      <c r="L123" s="6760" t="str">
        <f>VLOOKUP(K123,'COD.'!$A$1:$B$39,2,0)</f>
        <v xml:space="preserve">Ocio y Entretenimiento </v>
      </c>
    </row>
    <row r="124" spans="1:12" x14ac:dyDescent="0.2">
      <c r="A124" s="6140" t="s">
        <v>253</v>
      </c>
      <c r="B124" s="979" t="s">
        <v>253</v>
      </c>
      <c r="C124" s="6013">
        <f t="shared" si="1"/>
        <v>9</v>
      </c>
      <c r="D124" s="980" t="s">
        <v>256</v>
      </c>
      <c r="E124" s="981" t="s">
        <v>10</v>
      </c>
      <c r="F124" s="982">
        <v>-2.2999999999999998</v>
      </c>
      <c r="G124" s="983" t="s">
        <v>11</v>
      </c>
      <c r="H124" s="984">
        <v>5161.59</v>
      </c>
      <c r="I124" s="985" t="s">
        <v>11</v>
      </c>
      <c r="J124" s="986" t="s">
        <v>257</v>
      </c>
      <c r="K124" s="5940" t="s">
        <v>1145</v>
      </c>
      <c r="L124" s="6760" t="str">
        <f>VLOOKUP(K124,'COD.'!$A$1:$B$39,2,0)</f>
        <v xml:space="preserve">Ocio y Entretenimiento </v>
      </c>
    </row>
    <row r="125" spans="1:12" x14ac:dyDescent="0.2">
      <c r="A125" s="6141" t="s">
        <v>253</v>
      </c>
      <c r="B125" s="987" t="s">
        <v>253</v>
      </c>
      <c r="C125" s="6013">
        <f t="shared" si="1"/>
        <v>9</v>
      </c>
      <c r="D125" s="988" t="s">
        <v>258</v>
      </c>
      <c r="E125" s="989" t="s">
        <v>10</v>
      </c>
      <c r="F125" s="990">
        <v>-9.6999999999999993</v>
      </c>
      <c r="G125" s="991" t="s">
        <v>11</v>
      </c>
      <c r="H125" s="992">
        <v>5163.8900000000003</v>
      </c>
      <c r="I125" s="993" t="s">
        <v>11</v>
      </c>
      <c r="J125" s="994" t="s">
        <v>259</v>
      </c>
      <c r="K125" s="5940" t="s">
        <v>1145</v>
      </c>
      <c r="L125" s="6760" t="str">
        <f>VLOOKUP(K125,'COD.'!$A$1:$B$39,2,0)</f>
        <v xml:space="preserve">Ocio y Entretenimiento </v>
      </c>
    </row>
    <row r="126" spans="1:12" x14ac:dyDescent="0.2">
      <c r="A126" s="6142" t="s">
        <v>260</v>
      </c>
      <c r="B126" s="995" t="s">
        <v>260</v>
      </c>
      <c r="C126" s="6013">
        <f t="shared" si="1"/>
        <v>9</v>
      </c>
      <c r="D126" s="996" t="s">
        <v>261</v>
      </c>
      <c r="E126" s="997" t="s">
        <v>10</v>
      </c>
      <c r="F126" s="998">
        <v>-3.95</v>
      </c>
      <c r="G126" s="999" t="s">
        <v>11</v>
      </c>
      <c r="H126" s="1000">
        <v>5173.59</v>
      </c>
      <c r="I126" s="1001" t="s">
        <v>11</v>
      </c>
      <c r="J126" s="1002" t="s">
        <v>262</v>
      </c>
      <c r="K126" s="5940" t="s">
        <v>1149</v>
      </c>
      <c r="L126" s="6760" t="str">
        <f>VLOOKUP(K126,'COD.'!$A$1:$B$39,2,0)</f>
        <v xml:space="preserve">Ocio y Entretenimiento </v>
      </c>
    </row>
    <row r="127" spans="1:12" x14ac:dyDescent="0.2">
      <c r="A127" s="6143" t="s">
        <v>260</v>
      </c>
      <c r="B127" s="1003" t="s">
        <v>260</v>
      </c>
      <c r="C127" s="6013">
        <f t="shared" si="1"/>
        <v>9</v>
      </c>
      <c r="D127" s="1004" t="s">
        <v>263</v>
      </c>
      <c r="E127" s="1005" t="s">
        <v>10</v>
      </c>
      <c r="F127" s="1006">
        <v>-8</v>
      </c>
      <c r="G127" s="1007" t="s">
        <v>11</v>
      </c>
      <c r="H127" s="1008">
        <v>5177.54</v>
      </c>
      <c r="I127" s="1009" t="s">
        <v>11</v>
      </c>
      <c r="J127" s="1010" t="s">
        <v>264</v>
      </c>
      <c r="K127" s="5940" t="s">
        <v>1145</v>
      </c>
      <c r="L127" s="6760" t="str">
        <f>VLOOKUP(K127,'COD.'!$A$1:$B$39,2,0)</f>
        <v xml:space="preserve">Ocio y Entretenimiento </v>
      </c>
    </row>
    <row r="128" spans="1:12" x14ac:dyDescent="0.2">
      <c r="A128" s="6144" t="s">
        <v>252</v>
      </c>
      <c r="B128" s="1011" t="s">
        <v>260</v>
      </c>
      <c r="C128" s="6013">
        <f t="shared" si="1"/>
        <v>9</v>
      </c>
      <c r="D128" s="1012" t="s">
        <v>265</v>
      </c>
      <c r="E128" s="1013" t="s">
        <v>10</v>
      </c>
      <c r="F128" s="1014">
        <v>-9</v>
      </c>
      <c r="G128" s="1015" t="s">
        <v>11</v>
      </c>
      <c r="H128" s="1016">
        <v>5185.54</v>
      </c>
      <c r="I128" s="1017" t="s">
        <v>11</v>
      </c>
      <c r="J128" s="1018" t="s">
        <v>266</v>
      </c>
      <c r="K128" s="5940" t="s">
        <v>1145</v>
      </c>
      <c r="L128" s="6760" t="str">
        <f>VLOOKUP(K128,'COD.'!$A$1:$B$39,2,0)</f>
        <v xml:space="preserve">Ocio y Entretenimiento </v>
      </c>
    </row>
    <row r="129" spans="1:12" x14ac:dyDescent="0.2">
      <c r="A129" s="6145" t="s">
        <v>252</v>
      </c>
      <c r="B129" s="1019" t="s">
        <v>260</v>
      </c>
      <c r="C129" s="6013">
        <f t="shared" si="1"/>
        <v>9</v>
      </c>
      <c r="D129" s="1020" t="s">
        <v>267</v>
      </c>
      <c r="E129" s="1021" t="s">
        <v>10</v>
      </c>
      <c r="F129" s="1022">
        <v>-8.8000000000000007</v>
      </c>
      <c r="G129" s="1023" t="s">
        <v>11</v>
      </c>
      <c r="H129" s="1024">
        <v>5194.54</v>
      </c>
      <c r="I129" s="1025" t="s">
        <v>11</v>
      </c>
      <c r="J129" s="1026" t="s">
        <v>268</v>
      </c>
      <c r="K129" s="5940" t="s">
        <v>1145</v>
      </c>
      <c r="L129" s="6760" t="str">
        <f>VLOOKUP(K129,'COD.'!$A$1:$B$39,2,0)</f>
        <v xml:space="preserve">Ocio y Entretenimiento </v>
      </c>
    </row>
    <row r="130" spans="1:12" x14ac:dyDescent="0.2">
      <c r="A130" s="6146" t="s">
        <v>252</v>
      </c>
      <c r="B130" s="1027" t="s">
        <v>260</v>
      </c>
      <c r="C130" s="6013">
        <f t="shared" si="1"/>
        <v>9</v>
      </c>
      <c r="D130" s="1028" t="s">
        <v>269</v>
      </c>
      <c r="E130" s="1029" t="s">
        <v>10</v>
      </c>
      <c r="F130" s="1030">
        <v>-10.7</v>
      </c>
      <c r="G130" s="1031" t="s">
        <v>11</v>
      </c>
      <c r="H130" s="1032">
        <v>5203.34</v>
      </c>
      <c r="I130" s="1033" t="s">
        <v>11</v>
      </c>
      <c r="J130" s="1034" t="s">
        <v>270</v>
      </c>
      <c r="K130" s="5940" t="s">
        <v>1145</v>
      </c>
      <c r="L130" s="6760" t="str">
        <f>VLOOKUP(K130,'COD.'!$A$1:$B$39,2,0)</f>
        <v xml:space="preserve">Ocio y Entretenimiento </v>
      </c>
    </row>
    <row r="131" spans="1:12" x14ac:dyDescent="0.2">
      <c r="A131" s="6147" t="s">
        <v>271</v>
      </c>
      <c r="B131" s="1035" t="s">
        <v>260</v>
      </c>
      <c r="C131" s="6013">
        <f t="shared" ref="C131:C194" si="2">MONTH(A131)</f>
        <v>9</v>
      </c>
      <c r="D131" s="1036" t="s">
        <v>272</v>
      </c>
      <c r="E131" s="1037" t="s">
        <v>10</v>
      </c>
      <c r="F131" s="1038">
        <v>-10</v>
      </c>
      <c r="G131" s="1039" t="s">
        <v>11</v>
      </c>
      <c r="H131" s="1040">
        <v>5214.04</v>
      </c>
      <c r="I131" s="1041" t="s">
        <v>11</v>
      </c>
      <c r="J131" s="1042" t="s">
        <v>273</v>
      </c>
      <c r="K131" s="5940" t="s">
        <v>1145</v>
      </c>
      <c r="L131" s="6760" t="str">
        <f>VLOOKUP(K131,'COD.'!$A$1:$B$39,2,0)</f>
        <v xml:space="preserve">Ocio y Entretenimiento </v>
      </c>
    </row>
    <row r="132" spans="1:12" x14ac:dyDescent="0.2">
      <c r="A132" s="6148" t="s">
        <v>271</v>
      </c>
      <c r="B132" s="1043" t="s">
        <v>260</v>
      </c>
      <c r="C132" s="6013">
        <f t="shared" si="2"/>
        <v>9</v>
      </c>
      <c r="D132" s="1044" t="s">
        <v>274</v>
      </c>
      <c r="E132" s="1045" t="s">
        <v>10</v>
      </c>
      <c r="F132" s="1046">
        <v>-25</v>
      </c>
      <c r="G132" s="1047" t="s">
        <v>11</v>
      </c>
      <c r="H132" s="1048">
        <v>5224.04</v>
      </c>
      <c r="I132" s="1049" t="s">
        <v>11</v>
      </c>
      <c r="J132" s="1050" t="s">
        <v>275</v>
      </c>
      <c r="K132" s="5940" t="s">
        <v>1169</v>
      </c>
      <c r="L132" s="6760" t="str">
        <f>VLOOKUP(K132,'COD.'!$A$1:$B$39,2,0)</f>
        <v xml:space="preserve">Ocio y Entretenimiento </v>
      </c>
    </row>
    <row r="133" spans="1:12" x14ac:dyDescent="0.2">
      <c r="A133" s="6149" t="s">
        <v>271</v>
      </c>
      <c r="B133" s="1051" t="s">
        <v>260</v>
      </c>
      <c r="C133" s="6013">
        <f t="shared" si="2"/>
        <v>9</v>
      </c>
      <c r="D133" s="1052" t="s">
        <v>276</v>
      </c>
      <c r="E133" s="1053" t="s">
        <v>10</v>
      </c>
      <c r="F133" s="1054">
        <v>-15.9</v>
      </c>
      <c r="G133" s="1055" t="s">
        <v>11</v>
      </c>
      <c r="H133" s="1056">
        <v>5249.04</v>
      </c>
      <c r="I133" s="1057" t="s">
        <v>11</v>
      </c>
      <c r="J133" s="1058" t="s">
        <v>277</v>
      </c>
      <c r="K133" s="5940" t="s">
        <v>443</v>
      </c>
      <c r="L133" s="6760" t="str">
        <f>VLOOKUP(K133,'COD.'!$A$1:$B$39,2,0)</f>
        <v xml:space="preserve">Salud y Cuidado </v>
      </c>
    </row>
    <row r="134" spans="1:12" x14ac:dyDescent="0.2">
      <c r="A134" s="6150" t="s">
        <v>278</v>
      </c>
      <c r="B134" s="1059" t="s">
        <v>278</v>
      </c>
      <c r="C134" s="6013">
        <f t="shared" si="2"/>
        <v>9</v>
      </c>
      <c r="D134" s="1060" t="s">
        <v>279</v>
      </c>
      <c r="E134" s="1061" t="s">
        <v>10</v>
      </c>
      <c r="F134" s="1062">
        <v>-5</v>
      </c>
      <c r="G134" s="1063" t="s">
        <v>11</v>
      </c>
      <c r="H134" s="1064">
        <v>5264.94</v>
      </c>
      <c r="I134" s="1065" t="s">
        <v>11</v>
      </c>
      <c r="J134" s="1066" t="s">
        <v>280</v>
      </c>
      <c r="K134" s="5940" t="s">
        <v>1145</v>
      </c>
      <c r="L134" s="6760" t="str">
        <f>VLOOKUP(K134,'COD.'!$A$1:$B$39,2,0)</f>
        <v xml:space="preserve">Ocio y Entretenimiento </v>
      </c>
    </row>
    <row r="135" spans="1:12" x14ac:dyDescent="0.2">
      <c r="A135" s="6151" t="s">
        <v>281</v>
      </c>
      <c r="B135" s="1067" t="s">
        <v>278</v>
      </c>
      <c r="C135" s="6013">
        <f t="shared" si="2"/>
        <v>9</v>
      </c>
      <c r="D135" s="1068" t="s">
        <v>170</v>
      </c>
      <c r="E135" s="1069" t="s">
        <v>10</v>
      </c>
      <c r="F135" s="1070">
        <v>-25.8</v>
      </c>
      <c r="G135" s="1071" t="s">
        <v>11</v>
      </c>
      <c r="H135" s="1072">
        <v>5269.94</v>
      </c>
      <c r="I135" s="1073" t="s">
        <v>11</v>
      </c>
      <c r="J135" s="1074" t="s">
        <v>171</v>
      </c>
      <c r="K135" s="5978" t="s">
        <v>1145</v>
      </c>
      <c r="L135" s="6760" t="str">
        <f>VLOOKUP(K135,'COD.'!$A$1:$B$39,2,0)</f>
        <v xml:space="preserve">Ocio y Entretenimiento </v>
      </c>
    </row>
    <row r="136" spans="1:12" x14ac:dyDescent="0.2">
      <c r="A136" s="6152" t="s">
        <v>282</v>
      </c>
      <c r="B136" s="1075" t="s">
        <v>282</v>
      </c>
      <c r="C136" s="6013">
        <f t="shared" si="2"/>
        <v>9</v>
      </c>
      <c r="D136" s="1076" t="s">
        <v>147</v>
      </c>
      <c r="E136" s="1077" t="s">
        <v>283</v>
      </c>
      <c r="F136" s="1078">
        <v>-78.19</v>
      </c>
      <c r="G136" s="1079" t="s">
        <v>11</v>
      </c>
      <c r="H136" s="1080">
        <v>5295.74</v>
      </c>
      <c r="I136" s="1081" t="s">
        <v>11</v>
      </c>
      <c r="J136" s="1082" t="s">
        <v>284</v>
      </c>
      <c r="K136" s="5940" t="s">
        <v>1152</v>
      </c>
      <c r="L136" s="6760" t="str">
        <f>VLOOKUP(K136,'COD.'!$A$1:$B$39,2,0)</f>
        <v xml:space="preserve">Suministros </v>
      </c>
    </row>
    <row r="137" spans="1:12" x14ac:dyDescent="0.2">
      <c r="A137" s="6153" t="s">
        <v>285</v>
      </c>
      <c r="B137" s="1083" t="s">
        <v>285</v>
      </c>
      <c r="C137" s="6013">
        <f t="shared" si="2"/>
        <v>9</v>
      </c>
      <c r="D137" s="1084" t="s">
        <v>286</v>
      </c>
      <c r="E137" s="1085" t="s">
        <v>10</v>
      </c>
      <c r="F137" s="1086">
        <v>-7.39</v>
      </c>
      <c r="G137" s="1087" t="s">
        <v>11</v>
      </c>
      <c r="H137" s="1088">
        <v>5373.93</v>
      </c>
      <c r="I137" s="1089" t="s">
        <v>11</v>
      </c>
      <c r="J137" s="1090" t="s">
        <v>287</v>
      </c>
      <c r="K137" s="5940" t="s">
        <v>1148</v>
      </c>
      <c r="L137" s="6760" t="str">
        <f>VLOOKUP(K137,'COD.'!$A$1:$B$39,2,0)</f>
        <v xml:space="preserve">Supermercado </v>
      </c>
    </row>
    <row r="138" spans="1:12" x14ac:dyDescent="0.2">
      <c r="A138" s="6154" t="s">
        <v>285</v>
      </c>
      <c r="B138" s="1091" t="s">
        <v>285</v>
      </c>
      <c r="C138" s="6013">
        <f t="shared" si="2"/>
        <v>9</v>
      </c>
      <c r="D138" s="1092" t="s">
        <v>288</v>
      </c>
      <c r="E138" s="1093" t="s">
        <v>10</v>
      </c>
      <c r="F138" s="1094">
        <v>-2.8</v>
      </c>
      <c r="G138" s="1095" t="s">
        <v>11</v>
      </c>
      <c r="H138" s="1096">
        <v>5381.32</v>
      </c>
      <c r="I138" s="1097" t="s">
        <v>11</v>
      </c>
      <c r="J138" s="1098" t="s">
        <v>289</v>
      </c>
      <c r="K138" s="5940" t="s">
        <v>1145</v>
      </c>
      <c r="L138" s="6760" t="str">
        <f>VLOOKUP(K138,'COD.'!$A$1:$B$39,2,0)</f>
        <v xml:space="preserve">Ocio y Entretenimiento </v>
      </c>
    </row>
    <row r="139" spans="1:12" x14ac:dyDescent="0.2">
      <c r="A139" s="6155" t="s">
        <v>290</v>
      </c>
      <c r="B139" s="1099" t="s">
        <v>290</v>
      </c>
      <c r="C139" s="6013">
        <f t="shared" si="2"/>
        <v>9</v>
      </c>
      <c r="D139" s="1100" t="s">
        <v>103</v>
      </c>
      <c r="E139" s="1101" t="s">
        <v>10</v>
      </c>
      <c r="F139" s="1102">
        <v>-50.05</v>
      </c>
      <c r="G139" s="1103" t="s">
        <v>11</v>
      </c>
      <c r="H139" s="1104">
        <v>5384.12</v>
      </c>
      <c r="I139" s="1105" t="s">
        <v>11</v>
      </c>
      <c r="J139" s="1106" t="s">
        <v>104</v>
      </c>
      <c r="K139" s="5940" t="s">
        <v>1148</v>
      </c>
      <c r="L139" s="6760" t="str">
        <f>VLOOKUP(K139,'COD.'!$A$1:$B$39,2,0)</f>
        <v xml:space="preserve">Supermercado </v>
      </c>
    </row>
    <row r="140" spans="1:12" x14ac:dyDescent="0.2">
      <c r="A140" s="6156" t="s">
        <v>290</v>
      </c>
      <c r="B140" s="1107" t="s">
        <v>290</v>
      </c>
      <c r="C140" s="6013">
        <f t="shared" si="2"/>
        <v>9</v>
      </c>
      <c r="D140" s="1108" t="s">
        <v>291</v>
      </c>
      <c r="E140" s="1109" t="s">
        <v>10</v>
      </c>
      <c r="F140" s="1110">
        <v>-1</v>
      </c>
      <c r="G140" s="1111" t="s">
        <v>11</v>
      </c>
      <c r="H140" s="1112">
        <v>5434.17</v>
      </c>
      <c r="I140" s="1113" t="s">
        <v>11</v>
      </c>
      <c r="J140" s="1114" t="s">
        <v>292</v>
      </c>
      <c r="K140" s="5940" t="s">
        <v>1158</v>
      </c>
      <c r="L140" s="6760" t="str">
        <f>VLOOKUP(K140,'COD.'!$A$1:$B$39,2,0)</f>
        <v xml:space="preserve">Vivienda y Préstamos </v>
      </c>
    </row>
    <row r="141" spans="1:12" x14ac:dyDescent="0.2">
      <c r="A141" s="6157" t="s">
        <v>290</v>
      </c>
      <c r="B141" s="1115" t="s">
        <v>290</v>
      </c>
      <c r="C141" s="6013">
        <f t="shared" si="2"/>
        <v>9</v>
      </c>
      <c r="D141" s="1116" t="s">
        <v>293</v>
      </c>
      <c r="E141" s="1117" t="s">
        <v>10</v>
      </c>
      <c r="F141" s="1118">
        <v>-2.95</v>
      </c>
      <c r="G141" s="1119" t="s">
        <v>11</v>
      </c>
      <c r="H141" s="1120">
        <v>5435.17</v>
      </c>
      <c r="I141" s="1121" t="s">
        <v>11</v>
      </c>
      <c r="J141" s="1122" t="s">
        <v>294</v>
      </c>
      <c r="K141" s="5940" t="s">
        <v>1161</v>
      </c>
      <c r="L141" s="6760" t="str">
        <f>VLOOKUP(K141,'COD.'!$A$1:$B$39,2,0)</f>
        <v xml:space="preserve">Ocio y Entretenimiento </v>
      </c>
    </row>
    <row r="142" spans="1:12" x14ac:dyDescent="0.2">
      <c r="A142" s="6158" t="s">
        <v>290</v>
      </c>
      <c r="B142" s="1123" t="s">
        <v>290</v>
      </c>
      <c r="C142" s="6013">
        <f t="shared" si="2"/>
        <v>9</v>
      </c>
      <c r="D142" s="1124" t="s">
        <v>295</v>
      </c>
      <c r="E142" s="1125" t="s">
        <v>10</v>
      </c>
      <c r="F142" s="1126">
        <v>-15.4</v>
      </c>
      <c r="G142" s="1127" t="s">
        <v>11</v>
      </c>
      <c r="H142" s="1128">
        <v>5438.12</v>
      </c>
      <c r="I142" s="1129" t="s">
        <v>11</v>
      </c>
      <c r="J142" s="1130" t="s">
        <v>296</v>
      </c>
      <c r="K142" s="5940" t="s">
        <v>1147</v>
      </c>
      <c r="L142" s="6760" t="str">
        <f>VLOOKUP(K142,'COD.'!$A$1:$B$39,2,0)</f>
        <v xml:space="preserve">Otros Gastos Generales </v>
      </c>
    </row>
    <row r="143" spans="1:12" x14ac:dyDescent="0.2">
      <c r="A143" s="6159" t="s">
        <v>297</v>
      </c>
      <c r="B143" s="1131" t="s">
        <v>290</v>
      </c>
      <c r="C143" s="6013">
        <f t="shared" si="2"/>
        <v>9</v>
      </c>
      <c r="D143" s="1132" t="s">
        <v>60</v>
      </c>
      <c r="E143" s="1133" t="s">
        <v>298</v>
      </c>
      <c r="F143" s="1134">
        <v>-50</v>
      </c>
      <c r="G143" s="1135" t="s">
        <v>11</v>
      </c>
      <c r="H143" s="1136">
        <v>5453.52</v>
      </c>
      <c r="I143" s="1137" t="s">
        <v>11</v>
      </c>
      <c r="J143" s="1138" t="s">
        <v>299</v>
      </c>
      <c r="K143" s="5982" t="s">
        <v>60</v>
      </c>
      <c r="L143" s="6760" t="str">
        <f>VLOOKUP(K143,'COD.'!$A$1:$B$39,2,0)</f>
        <v xml:space="preserve">Transferencias y Efectivo </v>
      </c>
    </row>
    <row r="144" spans="1:12" x14ac:dyDescent="0.2">
      <c r="A144" s="6160" t="s">
        <v>297</v>
      </c>
      <c r="B144" s="1139" t="s">
        <v>290</v>
      </c>
      <c r="C144" s="6013">
        <f t="shared" si="2"/>
        <v>9</v>
      </c>
      <c r="D144" s="1140" t="s">
        <v>300</v>
      </c>
      <c r="E144" s="1141" t="s">
        <v>10</v>
      </c>
      <c r="F144" s="1142">
        <v>-4.5</v>
      </c>
      <c r="G144" s="1143" t="s">
        <v>11</v>
      </c>
      <c r="H144" s="1144">
        <v>5503.52</v>
      </c>
      <c r="I144" s="1145" t="s">
        <v>11</v>
      </c>
      <c r="J144" s="1146" t="s">
        <v>301</v>
      </c>
      <c r="K144" s="5940" t="s">
        <v>1146</v>
      </c>
      <c r="L144" s="6760" t="str">
        <f>VLOOKUP(K144,'COD.'!$A$1:$B$39,2,0)</f>
        <v xml:space="preserve">Supermercado </v>
      </c>
    </row>
    <row r="145" spans="1:12" x14ac:dyDescent="0.2">
      <c r="A145" s="6161" t="s">
        <v>302</v>
      </c>
      <c r="B145" s="1147" t="s">
        <v>290</v>
      </c>
      <c r="C145" s="6013">
        <f t="shared" si="2"/>
        <v>9</v>
      </c>
      <c r="D145" s="1148" t="s">
        <v>60</v>
      </c>
      <c r="E145" s="1149" t="s">
        <v>303</v>
      </c>
      <c r="F145" s="1150">
        <v>-10</v>
      </c>
      <c r="G145" s="1151" t="s">
        <v>11</v>
      </c>
      <c r="H145" s="1152">
        <v>5508.02</v>
      </c>
      <c r="I145" s="1153" t="s">
        <v>11</v>
      </c>
      <c r="J145" s="1154" t="s">
        <v>304</v>
      </c>
      <c r="K145" s="5982" t="s">
        <v>60</v>
      </c>
      <c r="L145" s="6760" t="str">
        <f>VLOOKUP(K145,'COD.'!$A$1:$B$39,2,0)</f>
        <v xml:space="preserve">Transferencias y Efectivo </v>
      </c>
    </row>
    <row r="146" spans="1:12" x14ac:dyDescent="0.2">
      <c r="A146" s="6162" t="s">
        <v>302</v>
      </c>
      <c r="B146" s="1155" t="s">
        <v>290</v>
      </c>
      <c r="C146" s="6013">
        <f t="shared" si="2"/>
        <v>9</v>
      </c>
      <c r="D146" s="1156" t="s">
        <v>305</v>
      </c>
      <c r="E146" s="1157" t="s">
        <v>10</v>
      </c>
      <c r="F146" s="1158">
        <v>-1.1000000000000001</v>
      </c>
      <c r="G146" s="1159" t="s">
        <v>11</v>
      </c>
      <c r="H146" s="1160">
        <v>5518.02</v>
      </c>
      <c r="I146" s="1161" t="s">
        <v>11</v>
      </c>
      <c r="J146" s="1162" t="s">
        <v>306</v>
      </c>
      <c r="K146" s="5940" t="s">
        <v>1148</v>
      </c>
      <c r="L146" s="6760" t="str">
        <f>VLOOKUP(K146,'COD.'!$A$1:$B$39,2,0)</f>
        <v xml:space="preserve">Supermercado </v>
      </c>
    </row>
    <row r="147" spans="1:12" x14ac:dyDescent="0.2">
      <c r="A147" s="6163" t="s">
        <v>302</v>
      </c>
      <c r="B147" s="1163" t="s">
        <v>290</v>
      </c>
      <c r="C147" s="6013">
        <f t="shared" si="2"/>
        <v>9</v>
      </c>
      <c r="D147" s="1164" t="s">
        <v>307</v>
      </c>
      <c r="E147" s="1165" t="s">
        <v>10</v>
      </c>
      <c r="F147" s="1166">
        <v>-13.18</v>
      </c>
      <c r="G147" s="1167" t="s">
        <v>11</v>
      </c>
      <c r="H147" s="1168">
        <v>5519.12</v>
      </c>
      <c r="I147" s="1169" t="s">
        <v>11</v>
      </c>
      <c r="J147" s="1170" t="s">
        <v>308</v>
      </c>
      <c r="K147" s="5940" t="s">
        <v>1146</v>
      </c>
      <c r="L147" s="6760" t="str">
        <f>VLOOKUP(K147,'COD.'!$A$1:$B$39,2,0)</f>
        <v xml:space="preserve">Supermercado </v>
      </c>
    </row>
    <row r="148" spans="1:12" x14ac:dyDescent="0.2">
      <c r="A148" s="6164" t="s">
        <v>302</v>
      </c>
      <c r="B148" s="1171" t="s">
        <v>290</v>
      </c>
      <c r="C148" s="6013">
        <f t="shared" si="2"/>
        <v>9</v>
      </c>
      <c r="D148" s="1172" t="s">
        <v>309</v>
      </c>
      <c r="E148" s="1173" t="s">
        <v>10</v>
      </c>
      <c r="F148" s="1174">
        <v>-2.1</v>
      </c>
      <c r="G148" s="1175" t="s">
        <v>11</v>
      </c>
      <c r="H148" s="1176">
        <v>5532.3</v>
      </c>
      <c r="I148" s="1177" t="s">
        <v>11</v>
      </c>
      <c r="J148" s="1178" t="s">
        <v>310</v>
      </c>
      <c r="K148" s="5940" t="s">
        <v>1145</v>
      </c>
      <c r="L148" s="6760" t="str">
        <f>VLOOKUP(K148,'COD.'!$A$1:$B$39,2,0)</f>
        <v xml:space="preserve">Ocio y Entretenimiento </v>
      </c>
    </row>
    <row r="149" spans="1:12" x14ac:dyDescent="0.2">
      <c r="A149" s="6165" t="s">
        <v>302</v>
      </c>
      <c r="B149" s="1179" t="s">
        <v>290</v>
      </c>
      <c r="C149" s="6013">
        <f t="shared" si="2"/>
        <v>9</v>
      </c>
      <c r="D149" s="1180" t="s">
        <v>309</v>
      </c>
      <c r="E149" s="1181" t="s">
        <v>10</v>
      </c>
      <c r="F149" s="1182">
        <v>-27.6</v>
      </c>
      <c r="G149" s="1183" t="s">
        <v>11</v>
      </c>
      <c r="H149" s="1184">
        <v>5534.4</v>
      </c>
      <c r="I149" s="1185" t="s">
        <v>11</v>
      </c>
      <c r="J149" s="1186" t="s">
        <v>310</v>
      </c>
      <c r="K149" s="5940" t="s">
        <v>1145</v>
      </c>
      <c r="L149" s="6760" t="str">
        <f>VLOOKUP(K149,'COD.'!$A$1:$B$39,2,0)</f>
        <v xml:space="preserve">Ocio y Entretenimiento </v>
      </c>
    </row>
    <row r="150" spans="1:12" x14ac:dyDescent="0.2">
      <c r="A150" s="6166" t="s">
        <v>302</v>
      </c>
      <c r="B150" s="1187" t="s">
        <v>290</v>
      </c>
      <c r="C150" s="6013">
        <f t="shared" si="2"/>
        <v>9</v>
      </c>
      <c r="D150" s="1188" t="s">
        <v>311</v>
      </c>
      <c r="E150" s="1189" t="s">
        <v>10</v>
      </c>
      <c r="F150" s="1190">
        <v>-11.9</v>
      </c>
      <c r="G150" s="1191" t="s">
        <v>11</v>
      </c>
      <c r="H150" s="1192">
        <v>5562</v>
      </c>
      <c r="I150" s="1193" t="s">
        <v>11</v>
      </c>
      <c r="J150" s="1194" t="s">
        <v>312</v>
      </c>
      <c r="K150" s="5940" t="s">
        <v>1145</v>
      </c>
      <c r="L150" s="6760" t="str">
        <f>VLOOKUP(K150,'COD.'!$A$1:$B$39,2,0)</f>
        <v xml:space="preserve">Ocio y Entretenimiento </v>
      </c>
    </row>
    <row r="151" spans="1:12" x14ac:dyDescent="0.2">
      <c r="A151" s="6167" t="s">
        <v>302</v>
      </c>
      <c r="B151" s="1195" t="s">
        <v>290</v>
      </c>
      <c r="C151" s="6013">
        <f t="shared" si="2"/>
        <v>9</v>
      </c>
      <c r="D151" s="1196" t="s">
        <v>313</v>
      </c>
      <c r="E151" s="1197" t="s">
        <v>10</v>
      </c>
      <c r="F151" s="1198">
        <v>-2.15</v>
      </c>
      <c r="G151" s="1199" t="s">
        <v>11</v>
      </c>
      <c r="H151" s="1200">
        <v>5573.9</v>
      </c>
      <c r="I151" s="1201" t="s">
        <v>11</v>
      </c>
      <c r="J151" s="1202" t="s">
        <v>314</v>
      </c>
      <c r="K151" s="5940" t="s">
        <v>1156</v>
      </c>
      <c r="L151" s="6760" t="str">
        <f>VLOOKUP(K151,'COD.'!$A$1:$B$39,2,0)</f>
        <v>Moto</v>
      </c>
    </row>
    <row r="152" spans="1:12" x14ac:dyDescent="0.2">
      <c r="A152" s="6168" t="s">
        <v>302</v>
      </c>
      <c r="B152" s="1203" t="s">
        <v>290</v>
      </c>
      <c r="C152" s="6013">
        <f t="shared" si="2"/>
        <v>9</v>
      </c>
      <c r="D152" s="1204" t="s">
        <v>108</v>
      </c>
      <c r="E152" s="1205" t="s">
        <v>10</v>
      </c>
      <c r="F152" s="1206">
        <v>-3.63</v>
      </c>
      <c r="G152" s="1207" t="s">
        <v>11</v>
      </c>
      <c r="H152" s="1208">
        <v>5576.05</v>
      </c>
      <c r="I152" s="1209" t="s">
        <v>11</v>
      </c>
      <c r="J152" s="1210" t="s">
        <v>109</v>
      </c>
      <c r="K152" s="5940" t="s">
        <v>1145</v>
      </c>
      <c r="L152" s="6760" t="str">
        <f>VLOOKUP(K152,'COD.'!$A$1:$B$39,2,0)</f>
        <v xml:space="preserve">Ocio y Entretenimiento </v>
      </c>
    </row>
    <row r="153" spans="1:12" x14ac:dyDescent="0.2">
      <c r="A153" s="6169" t="s">
        <v>315</v>
      </c>
      <c r="B153" s="1211" t="s">
        <v>290</v>
      </c>
      <c r="C153" s="6013">
        <f t="shared" si="2"/>
        <v>9</v>
      </c>
      <c r="D153" s="1212" t="s">
        <v>316</v>
      </c>
      <c r="E153" s="1213" t="s">
        <v>10</v>
      </c>
      <c r="F153" s="1214">
        <v>-14</v>
      </c>
      <c r="G153" s="1215" t="s">
        <v>11</v>
      </c>
      <c r="H153" s="1216">
        <v>5579.68</v>
      </c>
      <c r="I153" s="1217" t="s">
        <v>11</v>
      </c>
      <c r="J153" s="1218" t="s">
        <v>317</v>
      </c>
      <c r="K153" s="5940" t="s">
        <v>1145</v>
      </c>
      <c r="L153" s="6760" t="str">
        <f>VLOOKUP(K153,'COD.'!$A$1:$B$39,2,0)</f>
        <v xml:space="preserve">Ocio y Entretenimiento </v>
      </c>
    </row>
    <row r="154" spans="1:12" x14ac:dyDescent="0.2">
      <c r="A154" s="6170" t="s">
        <v>315</v>
      </c>
      <c r="B154" s="1219" t="s">
        <v>290</v>
      </c>
      <c r="C154" s="6013">
        <f t="shared" si="2"/>
        <v>9</v>
      </c>
      <c r="D154" s="1220" t="s">
        <v>318</v>
      </c>
      <c r="E154" s="1221" t="s">
        <v>10</v>
      </c>
      <c r="F154" s="1222">
        <v>-7.5</v>
      </c>
      <c r="G154" s="1223" t="s">
        <v>11</v>
      </c>
      <c r="H154" s="1224">
        <v>5593.68</v>
      </c>
      <c r="I154" s="1225" t="s">
        <v>11</v>
      </c>
      <c r="J154" s="1226" t="s">
        <v>319</v>
      </c>
      <c r="K154" s="5940" t="s">
        <v>1145</v>
      </c>
      <c r="L154" s="6760" t="str">
        <f>VLOOKUP(K154,'COD.'!$A$1:$B$39,2,0)</f>
        <v xml:space="preserve">Ocio y Entretenimiento </v>
      </c>
    </row>
    <row r="155" spans="1:12" x14ac:dyDescent="0.2">
      <c r="A155" s="6171" t="s">
        <v>315</v>
      </c>
      <c r="B155" s="1227" t="s">
        <v>290</v>
      </c>
      <c r="C155" s="6013">
        <f t="shared" si="2"/>
        <v>9</v>
      </c>
      <c r="D155" s="1228" t="s">
        <v>320</v>
      </c>
      <c r="E155" s="1229" t="s">
        <v>164</v>
      </c>
      <c r="F155" s="1230">
        <v>-50</v>
      </c>
      <c r="G155" s="1231" t="s">
        <v>11</v>
      </c>
      <c r="H155" s="1232">
        <v>5601.18</v>
      </c>
      <c r="I155" s="1233" t="s">
        <v>11</v>
      </c>
      <c r="J155" s="1234" t="s">
        <v>321</v>
      </c>
      <c r="K155" s="5983" t="s">
        <v>1159</v>
      </c>
      <c r="L155" s="6760" t="str">
        <f>VLOOKUP(K155,'COD.'!$A$1:$B$39,2,0)</f>
        <v xml:space="preserve">Ocio y Entretenimiento </v>
      </c>
    </row>
    <row r="156" spans="1:12" x14ac:dyDescent="0.2">
      <c r="A156" s="6172" t="s">
        <v>315</v>
      </c>
      <c r="B156" s="1235" t="s">
        <v>290</v>
      </c>
      <c r="C156" s="6013">
        <f t="shared" si="2"/>
        <v>9</v>
      </c>
      <c r="D156" s="1236" t="s">
        <v>39</v>
      </c>
      <c r="E156" s="1237" t="s">
        <v>10</v>
      </c>
      <c r="F156" s="1238">
        <v>-15.64</v>
      </c>
      <c r="G156" s="1239" t="s">
        <v>11</v>
      </c>
      <c r="H156" s="1240">
        <v>5651.18</v>
      </c>
      <c r="I156" s="1241" t="s">
        <v>11</v>
      </c>
      <c r="J156" s="1242" t="s">
        <v>111</v>
      </c>
      <c r="K156" s="5940" t="s">
        <v>443</v>
      </c>
      <c r="L156" s="6760" t="str">
        <f>VLOOKUP(K156,'COD.'!$A$1:$B$39,2,0)</f>
        <v xml:space="preserve">Salud y Cuidado </v>
      </c>
    </row>
    <row r="157" spans="1:12" x14ac:dyDescent="0.2">
      <c r="A157" s="6173" t="s">
        <v>315</v>
      </c>
      <c r="B157" s="1243" t="s">
        <v>315</v>
      </c>
      <c r="C157" s="6013">
        <f t="shared" si="2"/>
        <v>9</v>
      </c>
      <c r="D157" s="1244" t="s">
        <v>322</v>
      </c>
      <c r="E157" s="1245" t="s">
        <v>10</v>
      </c>
      <c r="F157" s="1246">
        <v>-7.8</v>
      </c>
      <c r="G157" s="1247" t="s">
        <v>11</v>
      </c>
      <c r="H157" s="1248">
        <v>5666.82</v>
      </c>
      <c r="I157" s="1249" t="s">
        <v>11</v>
      </c>
      <c r="J157" s="1250" t="s">
        <v>323</v>
      </c>
      <c r="K157" s="5940" t="s">
        <v>1145</v>
      </c>
      <c r="L157" s="6760" t="str">
        <f>VLOOKUP(K157,'COD.'!$A$1:$B$39,2,0)</f>
        <v xml:space="preserve">Ocio y Entretenimiento </v>
      </c>
    </row>
    <row r="158" spans="1:12" x14ac:dyDescent="0.2">
      <c r="A158" s="6174" t="s">
        <v>324</v>
      </c>
      <c r="B158" s="1251" t="s">
        <v>315</v>
      </c>
      <c r="C158" s="6013">
        <f t="shared" si="2"/>
        <v>9</v>
      </c>
      <c r="D158" s="1252" t="s">
        <v>96</v>
      </c>
      <c r="E158" s="1253" t="s">
        <v>10</v>
      </c>
      <c r="F158" s="1254">
        <v>-2.4900000000000002</v>
      </c>
      <c r="G158" s="1255" t="s">
        <v>11</v>
      </c>
      <c r="H158" s="1256">
        <v>5674.62</v>
      </c>
      <c r="I158" s="1257" t="s">
        <v>11</v>
      </c>
      <c r="J158" s="1258" t="s">
        <v>97</v>
      </c>
      <c r="K158" s="5972" t="s">
        <v>1150</v>
      </c>
      <c r="L158" s="6760" t="str">
        <f>VLOOKUP(K158,'COD.'!$A$1:$B$39,2,0)</f>
        <v xml:space="preserve">Ocio y Entretenimiento </v>
      </c>
    </row>
    <row r="159" spans="1:12" x14ac:dyDescent="0.2">
      <c r="A159" s="6175" t="s">
        <v>315</v>
      </c>
      <c r="B159" s="1259" t="s">
        <v>315</v>
      </c>
      <c r="C159" s="6013">
        <f t="shared" si="2"/>
        <v>9</v>
      </c>
      <c r="D159" s="1260" t="s">
        <v>179</v>
      </c>
      <c r="E159" s="1261" t="s">
        <v>180</v>
      </c>
      <c r="F159" s="1262">
        <v>-92.49</v>
      </c>
      <c r="G159" s="1263" t="s">
        <v>11</v>
      </c>
      <c r="H159" s="1264">
        <v>5677.11</v>
      </c>
      <c r="I159" s="1265" t="s">
        <v>11</v>
      </c>
      <c r="J159" s="1266" t="s">
        <v>181</v>
      </c>
      <c r="K159" s="5980" t="s">
        <v>179</v>
      </c>
      <c r="L159" s="6760" t="str">
        <f>VLOOKUP(K159,'COD.'!$A$1:$B$39,2,0)</f>
        <v xml:space="preserve">Vivienda y Préstamos </v>
      </c>
    </row>
    <row r="160" spans="1:12" x14ac:dyDescent="0.2">
      <c r="A160" s="6176" t="s">
        <v>324</v>
      </c>
      <c r="B160" s="1267" t="s">
        <v>325</v>
      </c>
      <c r="C160" s="6013">
        <f t="shared" si="2"/>
        <v>9</v>
      </c>
      <c r="D160" s="1268" t="s">
        <v>158</v>
      </c>
      <c r="E160" s="1269" t="s">
        <v>10</v>
      </c>
      <c r="F160" s="1270">
        <v>-4.99</v>
      </c>
      <c r="G160" s="1271" t="s">
        <v>11</v>
      </c>
      <c r="H160" s="1272">
        <v>5769.6</v>
      </c>
      <c r="I160" s="1273" t="s">
        <v>11</v>
      </c>
      <c r="J160" s="1274" t="s">
        <v>159</v>
      </c>
      <c r="K160" s="6010" t="s">
        <v>1177</v>
      </c>
      <c r="L160" s="6760" t="str">
        <f>VLOOKUP(K160,'COD.'!$A$1:$B$39,2,0)</f>
        <v xml:space="preserve">Ocio y Entretenimiento </v>
      </c>
    </row>
    <row r="161" spans="1:12" x14ac:dyDescent="0.2">
      <c r="A161" s="6177" t="s">
        <v>325</v>
      </c>
      <c r="B161" s="1275" t="s">
        <v>325</v>
      </c>
      <c r="C161" s="6013">
        <f t="shared" si="2"/>
        <v>9</v>
      </c>
      <c r="D161" s="1276" t="s">
        <v>163</v>
      </c>
      <c r="E161" s="1277" t="s">
        <v>164</v>
      </c>
      <c r="F161" s="1278">
        <v>-59.45</v>
      </c>
      <c r="G161" s="1279" t="s">
        <v>11</v>
      </c>
      <c r="H161" s="1280">
        <v>5774.59</v>
      </c>
      <c r="I161" s="1281" t="s">
        <v>11</v>
      </c>
      <c r="J161" s="1282" t="s">
        <v>165</v>
      </c>
      <c r="K161" s="5976" t="s">
        <v>1160</v>
      </c>
      <c r="L161" s="6760" t="str">
        <f>VLOOKUP(K161,'COD.'!$A$1:$B$39,2,0)</f>
        <v xml:space="preserve">Vivienda y Préstamos </v>
      </c>
    </row>
    <row r="162" spans="1:12" x14ac:dyDescent="0.2">
      <c r="A162" s="6178" t="s">
        <v>326</v>
      </c>
      <c r="B162" s="1283" t="s">
        <v>326</v>
      </c>
      <c r="C162" s="6013">
        <f t="shared" si="2"/>
        <v>9</v>
      </c>
      <c r="D162" s="1284" t="s">
        <v>60</v>
      </c>
      <c r="E162" s="1285" t="s">
        <v>327</v>
      </c>
      <c r="F162" s="1286">
        <v>30</v>
      </c>
      <c r="G162" s="1287" t="s">
        <v>11</v>
      </c>
      <c r="H162" s="1288">
        <v>5834.04</v>
      </c>
      <c r="I162" s="1289" t="s">
        <v>11</v>
      </c>
      <c r="J162" s="1290" t="s">
        <v>328</v>
      </c>
      <c r="K162" s="5984" t="s">
        <v>1152</v>
      </c>
      <c r="L162" s="6760" t="str">
        <f>VLOOKUP(K162,'COD.'!$A$1:$B$39,2,0)</f>
        <v xml:space="preserve">Suministros </v>
      </c>
    </row>
    <row r="163" spans="1:12" x14ac:dyDescent="0.2">
      <c r="A163" s="6179" t="s">
        <v>326</v>
      </c>
      <c r="B163" s="1291" t="s">
        <v>326</v>
      </c>
      <c r="C163" s="6013">
        <f t="shared" si="2"/>
        <v>9</v>
      </c>
      <c r="D163" s="1292" t="s">
        <v>329</v>
      </c>
      <c r="E163" s="1293" t="s">
        <v>330</v>
      </c>
      <c r="F163" s="1294">
        <v>-56.43</v>
      </c>
      <c r="G163" s="1295" t="s">
        <v>11</v>
      </c>
      <c r="H163" s="1296">
        <v>5804.04</v>
      </c>
      <c r="I163" s="1297" t="s">
        <v>11</v>
      </c>
      <c r="J163" s="1298" t="s">
        <v>331</v>
      </c>
      <c r="K163" s="5985" t="s">
        <v>1153</v>
      </c>
      <c r="L163" s="6760" t="str">
        <f>VLOOKUP(K163,'COD.'!$A$1:$B$39,2,0)</f>
        <v xml:space="preserve">Vivienda y Préstamos </v>
      </c>
    </row>
    <row r="164" spans="1:12" x14ac:dyDescent="0.2">
      <c r="A164" s="6180" t="s">
        <v>326</v>
      </c>
      <c r="B164" s="1299" t="s">
        <v>326</v>
      </c>
      <c r="C164" s="6013">
        <f t="shared" si="2"/>
        <v>9</v>
      </c>
      <c r="D164" s="1300" t="s">
        <v>16</v>
      </c>
      <c r="E164" s="1301" t="s">
        <v>332</v>
      </c>
      <c r="F164" s="1302">
        <v>-88.34</v>
      </c>
      <c r="G164" s="1303" t="s">
        <v>11</v>
      </c>
      <c r="H164" s="1304">
        <v>5860.47</v>
      </c>
      <c r="I164" s="1305" t="s">
        <v>11</v>
      </c>
      <c r="J164" s="1306" t="s">
        <v>333</v>
      </c>
      <c r="K164" s="5941" t="s">
        <v>1188</v>
      </c>
      <c r="L164" s="6760" t="str">
        <f>VLOOKUP(K164,'COD.'!$A$1:$B$39,2,0)</f>
        <v xml:space="preserve">Suministros </v>
      </c>
    </row>
    <row r="165" spans="1:12" x14ac:dyDescent="0.2">
      <c r="A165" s="6181" t="s">
        <v>324</v>
      </c>
      <c r="B165" s="1307" t="s">
        <v>324</v>
      </c>
      <c r="C165" s="6013">
        <f t="shared" si="2"/>
        <v>9</v>
      </c>
      <c r="D165" s="1308" t="s">
        <v>334</v>
      </c>
      <c r="E165" s="1309" t="s">
        <v>10</v>
      </c>
      <c r="F165" s="1310">
        <v>-5.43</v>
      </c>
      <c r="G165" s="1311" t="s">
        <v>11</v>
      </c>
      <c r="H165" s="1312">
        <v>5948.81</v>
      </c>
      <c r="I165" s="1313" t="s">
        <v>11</v>
      </c>
      <c r="J165" s="1314" t="s">
        <v>335</v>
      </c>
      <c r="K165" s="5940" t="s">
        <v>1148</v>
      </c>
      <c r="L165" s="6760" t="str">
        <f>VLOOKUP(K165,'COD.'!$A$1:$B$39,2,0)</f>
        <v xml:space="preserve">Supermercado </v>
      </c>
    </row>
    <row r="166" spans="1:12" x14ac:dyDescent="0.2">
      <c r="A166" s="6182" t="s">
        <v>324</v>
      </c>
      <c r="B166" s="1315" t="s">
        <v>324</v>
      </c>
      <c r="C166" s="6013">
        <f t="shared" si="2"/>
        <v>9</v>
      </c>
      <c r="D166" s="1316" t="s">
        <v>320</v>
      </c>
      <c r="E166" s="1317" t="s">
        <v>164</v>
      </c>
      <c r="F166" s="1318">
        <v>-40</v>
      </c>
      <c r="G166" s="1319" t="s">
        <v>11</v>
      </c>
      <c r="H166" s="1320">
        <v>5954.24</v>
      </c>
      <c r="I166" s="1321" t="s">
        <v>11</v>
      </c>
      <c r="J166" s="1322" t="s">
        <v>336</v>
      </c>
      <c r="K166" s="5986" t="s">
        <v>1159</v>
      </c>
      <c r="L166" s="6760" t="str">
        <f>VLOOKUP(K166,'COD.'!$A$1:$B$39,2,0)</f>
        <v xml:space="preserve">Ocio y Entretenimiento </v>
      </c>
    </row>
    <row r="167" spans="1:12" x14ac:dyDescent="0.2">
      <c r="A167" s="6183" t="s">
        <v>337</v>
      </c>
      <c r="B167" s="1323" t="s">
        <v>324</v>
      </c>
      <c r="C167" s="6013">
        <f t="shared" si="2"/>
        <v>9</v>
      </c>
      <c r="D167" s="1324" t="s">
        <v>183</v>
      </c>
      <c r="E167" s="1325" t="s">
        <v>10</v>
      </c>
      <c r="F167" s="1326">
        <v>-9</v>
      </c>
      <c r="G167" s="1327" t="s">
        <v>11</v>
      </c>
      <c r="H167" s="1328">
        <v>5994.24</v>
      </c>
      <c r="I167" s="1329" t="s">
        <v>11</v>
      </c>
      <c r="J167" s="1330" t="s">
        <v>184</v>
      </c>
      <c r="K167" s="5940" t="s">
        <v>1165</v>
      </c>
      <c r="L167" s="6760" t="str">
        <f>VLOOKUP(K167,'COD.'!$A$1:$B$39,2,0)</f>
        <v xml:space="preserve">Otros Gastos Generales </v>
      </c>
    </row>
    <row r="168" spans="1:12" x14ac:dyDescent="0.2">
      <c r="A168" s="6184" t="s">
        <v>337</v>
      </c>
      <c r="B168" s="1331" t="s">
        <v>337</v>
      </c>
      <c r="C168" s="6013">
        <f t="shared" si="2"/>
        <v>9</v>
      </c>
      <c r="D168" s="1332" t="s">
        <v>338</v>
      </c>
      <c r="E168" s="1333" t="s">
        <v>10</v>
      </c>
      <c r="F168" s="1334">
        <v>-13</v>
      </c>
      <c r="G168" s="1335" t="s">
        <v>11</v>
      </c>
      <c r="H168" s="1336">
        <v>6003.24</v>
      </c>
      <c r="I168" s="1337" t="s">
        <v>11</v>
      </c>
      <c r="J168" s="1338" t="s">
        <v>339</v>
      </c>
      <c r="K168" s="5940" t="s">
        <v>1148</v>
      </c>
      <c r="L168" s="6760" t="str">
        <f>VLOOKUP(K168,'COD.'!$A$1:$B$39,2,0)</f>
        <v xml:space="preserve">Supermercado </v>
      </c>
    </row>
    <row r="169" spans="1:12" x14ac:dyDescent="0.2">
      <c r="A169" s="6185" t="s">
        <v>337</v>
      </c>
      <c r="B169" s="1339" t="s">
        <v>337</v>
      </c>
      <c r="C169" s="6013">
        <f t="shared" si="2"/>
        <v>9</v>
      </c>
      <c r="D169" s="1340" t="s">
        <v>42</v>
      </c>
      <c r="E169" s="1341" t="s">
        <v>10</v>
      </c>
      <c r="F169" s="1342">
        <v>-26.03</v>
      </c>
      <c r="G169" s="1343" t="s">
        <v>11</v>
      </c>
      <c r="H169" s="1344">
        <v>6016.24</v>
      </c>
      <c r="I169" s="1345" t="s">
        <v>11</v>
      </c>
      <c r="J169" s="1346" t="s">
        <v>43</v>
      </c>
      <c r="K169" s="5940" t="s">
        <v>1146</v>
      </c>
      <c r="L169" s="6760" t="str">
        <f>VLOOKUP(K169,'COD.'!$A$1:$B$39,2,0)</f>
        <v xml:space="preserve">Supermercado </v>
      </c>
    </row>
    <row r="170" spans="1:12" x14ac:dyDescent="0.2">
      <c r="A170" s="6186" t="s">
        <v>340</v>
      </c>
      <c r="B170" s="1347" t="s">
        <v>337</v>
      </c>
      <c r="C170" s="6013">
        <f t="shared" si="2"/>
        <v>8</v>
      </c>
      <c r="D170" s="1348" t="s">
        <v>341</v>
      </c>
      <c r="E170" s="1349" t="s">
        <v>10</v>
      </c>
      <c r="F170" s="1350">
        <v>-25.5</v>
      </c>
      <c r="G170" s="1351" t="s">
        <v>11</v>
      </c>
      <c r="H170" s="1352">
        <v>6042.27</v>
      </c>
      <c r="I170" s="1353" t="s">
        <v>11</v>
      </c>
      <c r="J170" s="1354" t="s">
        <v>342</v>
      </c>
      <c r="K170" s="5940" t="s">
        <v>1145</v>
      </c>
      <c r="L170" s="6760" t="str">
        <f>VLOOKUP(K170,'COD.'!$A$1:$B$39,2,0)</f>
        <v xml:space="preserve">Ocio y Entretenimiento </v>
      </c>
    </row>
    <row r="171" spans="1:12" x14ac:dyDescent="0.2">
      <c r="A171" s="6187" t="s">
        <v>343</v>
      </c>
      <c r="B171" s="1355" t="s">
        <v>337</v>
      </c>
      <c r="C171" s="6013">
        <f t="shared" si="2"/>
        <v>8</v>
      </c>
      <c r="D171" s="1356" t="s">
        <v>14</v>
      </c>
      <c r="E171" s="1357" t="s">
        <v>10</v>
      </c>
      <c r="F171" s="1358">
        <v>-6.99</v>
      </c>
      <c r="G171" s="1359" t="s">
        <v>11</v>
      </c>
      <c r="H171" s="1360">
        <v>6067.77</v>
      </c>
      <c r="I171" s="1361" t="s">
        <v>11</v>
      </c>
      <c r="J171" s="1362" t="s">
        <v>15</v>
      </c>
      <c r="K171" s="6010" t="s">
        <v>1178</v>
      </c>
      <c r="L171" s="6760" t="str">
        <f>VLOOKUP(K171,'COD.'!$A$1:$B$39,2,0)</f>
        <v xml:space="preserve">Ocio y Entretenimiento </v>
      </c>
    </row>
    <row r="172" spans="1:12" x14ac:dyDescent="0.2">
      <c r="A172" s="6188" t="s">
        <v>337</v>
      </c>
      <c r="B172" s="1363" t="s">
        <v>337</v>
      </c>
      <c r="C172" s="6013">
        <f t="shared" si="2"/>
        <v>9</v>
      </c>
      <c r="D172" s="1364" t="s">
        <v>191</v>
      </c>
      <c r="E172" s="1365" t="s">
        <v>192</v>
      </c>
      <c r="F172" s="1366">
        <v>-30</v>
      </c>
      <c r="G172" s="1367" t="s">
        <v>11</v>
      </c>
      <c r="H172" s="1368">
        <v>6074.76</v>
      </c>
      <c r="I172" s="1369" t="s">
        <v>11</v>
      </c>
      <c r="J172" s="1370" t="s">
        <v>193</v>
      </c>
      <c r="K172" s="5940" t="s">
        <v>1168</v>
      </c>
      <c r="L172" s="6760" t="str">
        <f>VLOOKUP(K172,'COD.'!$A$1:$B$39,2,0)</f>
        <v>Moto</v>
      </c>
    </row>
    <row r="173" spans="1:12" x14ac:dyDescent="0.2">
      <c r="A173" s="6189" t="s">
        <v>337</v>
      </c>
      <c r="B173" s="1371" t="s">
        <v>337</v>
      </c>
      <c r="C173" s="6013">
        <f t="shared" si="2"/>
        <v>9</v>
      </c>
      <c r="D173" s="1372" t="s">
        <v>194</v>
      </c>
      <c r="E173" s="1373" t="s">
        <v>344</v>
      </c>
      <c r="F173" s="1374">
        <v>-50</v>
      </c>
      <c r="G173" s="1375" t="s">
        <v>11</v>
      </c>
      <c r="H173" s="1376">
        <v>6104.76</v>
      </c>
      <c r="I173" s="1377" t="s">
        <v>11</v>
      </c>
      <c r="J173" s="1378" t="s">
        <v>345</v>
      </c>
      <c r="K173" s="5940" t="s">
        <v>1154</v>
      </c>
      <c r="L173" s="6760" t="str">
        <f>VLOOKUP(K173,'COD.'!$A$1:$B$39,2,0)</f>
        <v xml:space="preserve">Vivienda y Préstamos </v>
      </c>
    </row>
    <row r="174" spans="1:12" x14ac:dyDescent="0.2">
      <c r="A174" s="6190" t="s">
        <v>337</v>
      </c>
      <c r="B174" s="1379" t="s">
        <v>337</v>
      </c>
      <c r="C174" s="6013">
        <f t="shared" si="2"/>
        <v>9</v>
      </c>
      <c r="D174" s="1380" t="s">
        <v>197</v>
      </c>
      <c r="E174" s="1381" t="s">
        <v>346</v>
      </c>
      <c r="F174" s="1382">
        <v>-65</v>
      </c>
      <c r="G174" s="1383" t="s">
        <v>11</v>
      </c>
      <c r="H174" s="1384">
        <v>6154.76</v>
      </c>
      <c r="I174" s="1385" t="s">
        <v>11</v>
      </c>
      <c r="J174" s="1386" t="s">
        <v>347</v>
      </c>
      <c r="K174" s="5940" t="s">
        <v>1155</v>
      </c>
      <c r="L174" s="6760" t="str">
        <f>VLOOKUP(K174,'COD.'!$A$1:$B$39,2,0)</f>
        <v xml:space="preserve">Ocio y Entretenimiento </v>
      </c>
    </row>
    <row r="175" spans="1:12" x14ac:dyDescent="0.2">
      <c r="A175" s="6191" t="s">
        <v>340</v>
      </c>
      <c r="B175" s="1387" t="s">
        <v>337</v>
      </c>
      <c r="C175" s="6013">
        <f t="shared" si="2"/>
        <v>8</v>
      </c>
      <c r="D175" s="1388" t="s">
        <v>348</v>
      </c>
      <c r="E175" s="1389" t="s">
        <v>10</v>
      </c>
      <c r="F175" s="1390">
        <v>-179.48</v>
      </c>
      <c r="G175" s="1391" t="s">
        <v>11</v>
      </c>
      <c r="H175" s="1392">
        <v>6219.76</v>
      </c>
      <c r="I175" s="1393" t="s">
        <v>11</v>
      </c>
      <c r="J175" s="1394" t="s">
        <v>349</v>
      </c>
      <c r="K175" s="5940" t="s">
        <v>1169</v>
      </c>
      <c r="L175" s="6760" t="str">
        <f>VLOOKUP(K175,'COD.'!$A$1:$B$39,2,0)</f>
        <v xml:space="preserve">Ocio y Entretenimiento </v>
      </c>
    </row>
    <row r="176" spans="1:12" x14ac:dyDescent="0.2">
      <c r="A176" s="6192" t="s">
        <v>340</v>
      </c>
      <c r="B176" s="1395" t="s">
        <v>337</v>
      </c>
      <c r="C176" s="6013">
        <f t="shared" si="2"/>
        <v>8</v>
      </c>
      <c r="D176" s="1396" t="s">
        <v>350</v>
      </c>
      <c r="E176" s="1397" t="s">
        <v>10</v>
      </c>
      <c r="F176" s="1398">
        <v>-2.4</v>
      </c>
      <c r="G176" s="1399" t="s">
        <v>11</v>
      </c>
      <c r="H176" s="1400">
        <v>6399.24</v>
      </c>
      <c r="I176" s="1401" t="s">
        <v>11</v>
      </c>
      <c r="J176" s="1402" t="s">
        <v>351</v>
      </c>
      <c r="K176" s="5940" t="s">
        <v>1145</v>
      </c>
      <c r="L176" s="6760" t="str">
        <f>VLOOKUP(K176,'COD.'!$A$1:$B$39,2,0)</f>
        <v xml:space="preserve">Ocio y Entretenimiento </v>
      </c>
    </row>
    <row r="177" spans="1:12" x14ac:dyDescent="0.2">
      <c r="A177" s="6193" t="s">
        <v>340</v>
      </c>
      <c r="B177" s="1403" t="s">
        <v>337</v>
      </c>
      <c r="C177" s="6013">
        <f t="shared" si="2"/>
        <v>8</v>
      </c>
      <c r="D177" s="1404" t="s">
        <v>98</v>
      </c>
      <c r="E177" s="1405" t="s">
        <v>10</v>
      </c>
      <c r="F177" s="1406">
        <v>-1.2</v>
      </c>
      <c r="G177" s="1407" t="s">
        <v>11</v>
      </c>
      <c r="H177" s="1408">
        <v>6401.64</v>
      </c>
      <c r="I177" s="1409" t="s">
        <v>11</v>
      </c>
      <c r="J177" s="1410" t="s">
        <v>99</v>
      </c>
      <c r="K177" s="5940" t="s">
        <v>1145</v>
      </c>
      <c r="L177" s="6760" t="str">
        <f>VLOOKUP(K177,'COD.'!$A$1:$B$39,2,0)</f>
        <v xml:space="preserve">Ocio y Entretenimiento </v>
      </c>
    </row>
    <row r="178" spans="1:12" x14ac:dyDescent="0.2">
      <c r="A178" s="6194" t="s">
        <v>340</v>
      </c>
      <c r="B178" s="1411" t="s">
        <v>337</v>
      </c>
      <c r="C178" s="6013">
        <f t="shared" si="2"/>
        <v>8</v>
      </c>
      <c r="D178" s="1412" t="s">
        <v>19</v>
      </c>
      <c r="E178" s="1413" t="s">
        <v>20</v>
      </c>
      <c r="F178" s="1414">
        <v>-461.91</v>
      </c>
      <c r="G178" s="1415" t="s">
        <v>11</v>
      </c>
      <c r="H178" s="1416">
        <v>6402.84</v>
      </c>
      <c r="I178" s="1417" t="s">
        <v>11</v>
      </c>
      <c r="J178" s="1418" t="s">
        <v>21</v>
      </c>
      <c r="K178" s="5942" t="s">
        <v>1170</v>
      </c>
      <c r="L178" s="6760" t="str">
        <f>VLOOKUP(K178,'COD.'!$A$1:$B$39,2,0)</f>
        <v xml:space="preserve">Vivienda y Préstamos </v>
      </c>
    </row>
    <row r="179" spans="1:12" x14ac:dyDescent="0.2">
      <c r="A179" s="6195" t="s">
        <v>343</v>
      </c>
      <c r="B179" s="1419" t="s">
        <v>337</v>
      </c>
      <c r="C179" s="6013">
        <f t="shared" si="2"/>
        <v>8</v>
      </c>
      <c r="D179" s="1420" t="s">
        <v>352</v>
      </c>
      <c r="E179" s="1421" t="s">
        <v>10</v>
      </c>
      <c r="F179" s="1422">
        <v>-9</v>
      </c>
      <c r="G179" s="1423" t="s">
        <v>11</v>
      </c>
      <c r="H179" s="1424">
        <v>6864.75</v>
      </c>
      <c r="I179" s="1425" t="s">
        <v>11</v>
      </c>
      <c r="J179" s="1426" t="s">
        <v>353</v>
      </c>
      <c r="K179" s="5940" t="s">
        <v>1145</v>
      </c>
      <c r="L179" s="6760" t="str">
        <f>VLOOKUP(K179,'COD.'!$A$1:$B$39,2,0)</f>
        <v xml:space="preserve">Ocio y Entretenimiento </v>
      </c>
    </row>
    <row r="180" spans="1:12" x14ac:dyDescent="0.2">
      <c r="A180" s="6196" t="s">
        <v>343</v>
      </c>
      <c r="B180" s="1427" t="s">
        <v>337</v>
      </c>
      <c r="C180" s="6013">
        <f t="shared" si="2"/>
        <v>8</v>
      </c>
      <c r="D180" s="1428" t="s">
        <v>174</v>
      </c>
      <c r="E180" s="1429" t="s">
        <v>10</v>
      </c>
      <c r="F180" s="1430">
        <v>-2.2599999999999998</v>
      </c>
      <c r="G180" s="1431" t="s">
        <v>11</v>
      </c>
      <c r="H180" s="1432">
        <v>6873.75</v>
      </c>
      <c r="I180" s="1433" t="s">
        <v>11</v>
      </c>
      <c r="J180" s="1434" t="s">
        <v>175</v>
      </c>
      <c r="K180" s="5940" t="s">
        <v>1145</v>
      </c>
      <c r="L180" s="6760" t="str">
        <f>VLOOKUP(K180,'COD.'!$A$1:$B$39,2,0)</f>
        <v xml:space="preserve">Ocio y Entretenimiento </v>
      </c>
    </row>
    <row r="181" spans="1:12" x14ac:dyDescent="0.2">
      <c r="A181" s="6197" t="s">
        <v>354</v>
      </c>
      <c r="B181" s="1435" t="s">
        <v>354</v>
      </c>
      <c r="C181" s="6013">
        <f t="shared" si="2"/>
        <v>8</v>
      </c>
      <c r="D181" s="1436" t="s">
        <v>200</v>
      </c>
      <c r="E181" s="1437" t="s">
        <v>10</v>
      </c>
      <c r="F181" s="1438">
        <v>-1.99</v>
      </c>
      <c r="G181" s="1439" t="s">
        <v>11</v>
      </c>
      <c r="H181" s="1440">
        <v>6876.01</v>
      </c>
      <c r="I181" s="1441" t="s">
        <v>11</v>
      </c>
      <c r="J181" s="1442" t="s">
        <v>201</v>
      </c>
      <c r="K181" s="5940" t="s">
        <v>1161</v>
      </c>
      <c r="L181" s="6760" t="str">
        <f>VLOOKUP(K181,'COD.'!$A$1:$B$39,2,0)</f>
        <v xml:space="preserve">Ocio y Entretenimiento </v>
      </c>
    </row>
    <row r="182" spans="1:12" x14ac:dyDescent="0.2">
      <c r="A182" s="6198" t="s">
        <v>354</v>
      </c>
      <c r="B182" s="1443" t="s">
        <v>354</v>
      </c>
      <c r="C182" s="6013">
        <f t="shared" si="2"/>
        <v>8</v>
      </c>
      <c r="D182" s="1444" t="s">
        <v>355</v>
      </c>
      <c r="E182" s="1445" t="s">
        <v>356</v>
      </c>
      <c r="F182" s="1446">
        <v>699.84</v>
      </c>
      <c r="G182" s="1447" t="s">
        <v>11</v>
      </c>
      <c r="H182" s="1448">
        <v>6878</v>
      </c>
      <c r="I182" s="1449" t="s">
        <v>11</v>
      </c>
      <c r="J182" s="1450" t="s">
        <v>357</v>
      </c>
      <c r="K182" s="5980" t="s">
        <v>179</v>
      </c>
      <c r="L182" s="6760" t="str">
        <f>VLOOKUP(K182,'COD.'!$A$1:$B$39,2,0)</f>
        <v xml:space="preserve">Vivienda y Préstamos </v>
      </c>
    </row>
    <row r="183" spans="1:12" x14ac:dyDescent="0.2">
      <c r="A183" s="6199" t="s">
        <v>358</v>
      </c>
      <c r="B183" s="1451" t="s">
        <v>354</v>
      </c>
      <c r="C183" s="6013">
        <f t="shared" si="2"/>
        <v>8</v>
      </c>
      <c r="D183" s="1452" t="s">
        <v>359</v>
      </c>
      <c r="E183" s="1453" t="s">
        <v>10</v>
      </c>
      <c r="F183" s="1454">
        <v>-11.5</v>
      </c>
      <c r="G183" s="1455" t="s">
        <v>11</v>
      </c>
      <c r="H183" s="1456">
        <v>6178.16</v>
      </c>
      <c r="I183" s="1457" t="s">
        <v>11</v>
      </c>
      <c r="J183" s="1458" t="s">
        <v>360</v>
      </c>
      <c r="K183" s="5940" t="s">
        <v>1148</v>
      </c>
      <c r="L183" s="6760" t="str">
        <f>VLOOKUP(K183,'COD.'!$A$1:$B$39,2,0)</f>
        <v xml:space="preserve">Supermercado </v>
      </c>
    </row>
    <row r="184" spans="1:12" x14ac:dyDescent="0.2">
      <c r="A184" s="6200" t="s">
        <v>358</v>
      </c>
      <c r="B184" s="1459" t="s">
        <v>354</v>
      </c>
      <c r="C184" s="6013">
        <f t="shared" si="2"/>
        <v>8</v>
      </c>
      <c r="D184" s="1460" t="s">
        <v>361</v>
      </c>
      <c r="E184" s="1461" t="s">
        <v>10</v>
      </c>
      <c r="F184" s="1462">
        <v>-26.2</v>
      </c>
      <c r="G184" s="1463" t="s">
        <v>11</v>
      </c>
      <c r="H184" s="1464">
        <v>6189.66</v>
      </c>
      <c r="I184" s="1465" t="s">
        <v>11</v>
      </c>
      <c r="J184" s="1466" t="s">
        <v>362</v>
      </c>
      <c r="K184" s="5940" t="s">
        <v>1145</v>
      </c>
      <c r="L184" s="6760" t="str">
        <f>VLOOKUP(K184,'COD.'!$A$1:$B$39,2,0)</f>
        <v xml:space="preserve">Ocio y Entretenimiento </v>
      </c>
    </row>
    <row r="185" spans="1:12" x14ac:dyDescent="0.2">
      <c r="A185" s="6201" t="s">
        <v>358</v>
      </c>
      <c r="B185" s="1467" t="s">
        <v>358</v>
      </c>
      <c r="C185" s="6013">
        <f t="shared" si="2"/>
        <v>8</v>
      </c>
      <c r="D185" s="1468" t="s">
        <v>363</v>
      </c>
      <c r="E185" s="1469" t="s">
        <v>10</v>
      </c>
      <c r="F185" s="1470">
        <v>-1.5</v>
      </c>
      <c r="G185" s="1471" t="s">
        <v>11</v>
      </c>
      <c r="H185" s="1472">
        <v>6215.86</v>
      </c>
      <c r="I185" s="1473" t="s">
        <v>11</v>
      </c>
      <c r="J185" s="1474" t="s">
        <v>364</v>
      </c>
      <c r="K185" s="5940" t="s">
        <v>1147</v>
      </c>
      <c r="L185" s="6760" t="str">
        <f>VLOOKUP(K185,'COD.'!$A$1:$B$39,2,0)</f>
        <v xml:space="preserve">Otros Gastos Generales </v>
      </c>
    </row>
    <row r="186" spans="1:12" x14ac:dyDescent="0.2">
      <c r="A186" s="6202" t="s">
        <v>358</v>
      </c>
      <c r="B186" s="1475" t="s">
        <v>358</v>
      </c>
      <c r="C186" s="6013">
        <f t="shared" si="2"/>
        <v>8</v>
      </c>
      <c r="D186" s="1476" t="s">
        <v>26</v>
      </c>
      <c r="E186" s="1477" t="s">
        <v>365</v>
      </c>
      <c r="F186" s="1478">
        <v>-44.47</v>
      </c>
      <c r="G186" s="1479" t="s">
        <v>11</v>
      </c>
      <c r="H186" s="1480">
        <v>6217.36</v>
      </c>
      <c r="I186" s="1481" t="s">
        <v>11</v>
      </c>
      <c r="J186" s="1482" t="s">
        <v>366</v>
      </c>
      <c r="K186" s="5940" t="s">
        <v>1189</v>
      </c>
      <c r="L186" s="6760" t="str">
        <f>VLOOKUP(K186,'COD.'!$A$1:$B$39,2,0)</f>
        <v xml:space="preserve">Suministros </v>
      </c>
    </row>
    <row r="187" spans="1:12" x14ac:dyDescent="0.2">
      <c r="A187" s="6203" t="s">
        <v>367</v>
      </c>
      <c r="B187" s="1483" t="s">
        <v>367</v>
      </c>
      <c r="C187" s="6013">
        <f t="shared" si="2"/>
        <v>8</v>
      </c>
      <c r="D187" s="1484" t="s">
        <v>129</v>
      </c>
      <c r="E187" s="1485" t="s">
        <v>10</v>
      </c>
      <c r="F187" s="1486">
        <v>-7.5</v>
      </c>
      <c r="G187" s="1487" t="s">
        <v>11</v>
      </c>
      <c r="H187" s="1488">
        <v>6261.83</v>
      </c>
      <c r="I187" s="1489" t="s">
        <v>11</v>
      </c>
      <c r="J187" s="1490" t="s">
        <v>130</v>
      </c>
      <c r="K187" s="5940" t="s">
        <v>1147</v>
      </c>
      <c r="L187" s="6760" t="str">
        <f>VLOOKUP(K187,'COD.'!$A$1:$B$39,2,0)</f>
        <v xml:space="preserve">Otros Gastos Generales </v>
      </c>
    </row>
    <row r="188" spans="1:12" x14ac:dyDescent="0.2">
      <c r="A188" s="6204" t="s">
        <v>367</v>
      </c>
      <c r="B188" s="1491" t="s">
        <v>367</v>
      </c>
      <c r="C188" s="6013">
        <f t="shared" si="2"/>
        <v>8</v>
      </c>
      <c r="D188" s="1492" t="s">
        <v>101</v>
      </c>
      <c r="E188" s="1493" t="s">
        <v>10</v>
      </c>
      <c r="F188" s="1494">
        <v>-47.61</v>
      </c>
      <c r="G188" s="1495" t="s">
        <v>11</v>
      </c>
      <c r="H188" s="1496">
        <v>6269.33</v>
      </c>
      <c r="I188" s="1497" t="s">
        <v>11</v>
      </c>
      <c r="J188" s="1498" t="s">
        <v>102</v>
      </c>
      <c r="K188" s="5940" t="s">
        <v>443</v>
      </c>
      <c r="L188" s="6760" t="str">
        <f>VLOOKUP(K188,'COD.'!$A$1:$B$39,2,0)</f>
        <v xml:space="preserve">Salud y Cuidado </v>
      </c>
    </row>
    <row r="189" spans="1:12" x14ac:dyDescent="0.2">
      <c r="A189" s="6205" t="s">
        <v>368</v>
      </c>
      <c r="B189" s="1499" t="s">
        <v>367</v>
      </c>
      <c r="C189" s="6013">
        <f t="shared" si="2"/>
        <v>8</v>
      </c>
      <c r="D189" s="1500" t="s">
        <v>369</v>
      </c>
      <c r="E189" s="1501" t="s">
        <v>10</v>
      </c>
      <c r="F189" s="1502">
        <v>-44.75</v>
      </c>
      <c r="G189" s="1503" t="s">
        <v>11</v>
      </c>
      <c r="H189" s="1504">
        <v>6316.94</v>
      </c>
      <c r="I189" s="1505" t="s">
        <v>11</v>
      </c>
      <c r="J189" s="1506" t="s">
        <v>370</v>
      </c>
      <c r="K189" s="5940" t="s">
        <v>1149</v>
      </c>
      <c r="L189" s="6760" t="str">
        <f>VLOOKUP(K189,'COD.'!$A$1:$B$39,2,0)</f>
        <v xml:space="preserve">Ocio y Entretenimiento </v>
      </c>
    </row>
    <row r="190" spans="1:12" x14ac:dyDescent="0.2">
      <c r="A190" s="6206" t="s">
        <v>371</v>
      </c>
      <c r="B190" s="1507" t="s">
        <v>367</v>
      </c>
      <c r="C190" s="6013">
        <f t="shared" si="2"/>
        <v>8</v>
      </c>
      <c r="D190" s="1508" t="s">
        <v>372</v>
      </c>
      <c r="E190" s="1509" t="s">
        <v>10</v>
      </c>
      <c r="F190" s="1510">
        <v>-10.99</v>
      </c>
      <c r="G190" s="1511" t="s">
        <v>11</v>
      </c>
      <c r="H190" s="1512">
        <v>6361.69</v>
      </c>
      <c r="I190" s="1513" t="s">
        <v>11</v>
      </c>
      <c r="J190" s="1514" t="s">
        <v>373</v>
      </c>
      <c r="K190" s="5940" t="s">
        <v>1173</v>
      </c>
      <c r="L190" s="6760" t="str">
        <f>VLOOKUP(K190,'COD.'!$A$1:$B$39,2,0)</f>
        <v xml:space="preserve">Ocio y Entretenimiento </v>
      </c>
    </row>
    <row r="191" spans="1:12" x14ac:dyDescent="0.2">
      <c r="A191" s="6207" t="s">
        <v>374</v>
      </c>
      <c r="B191" s="1515" t="s">
        <v>367</v>
      </c>
      <c r="C191" s="6013">
        <f t="shared" si="2"/>
        <v>8</v>
      </c>
      <c r="D191" s="1516" t="s">
        <v>375</v>
      </c>
      <c r="E191" s="1517" t="s">
        <v>10</v>
      </c>
      <c r="F191" s="1518">
        <v>-6.67</v>
      </c>
      <c r="G191" s="1519" t="s">
        <v>11</v>
      </c>
      <c r="H191" s="1520">
        <v>6372.68</v>
      </c>
      <c r="I191" s="1521" t="s">
        <v>11</v>
      </c>
      <c r="J191" s="1522" t="s">
        <v>376</v>
      </c>
      <c r="K191" s="5940" t="s">
        <v>1145</v>
      </c>
      <c r="L191" s="6760" t="str">
        <f>VLOOKUP(K191,'COD.'!$A$1:$B$39,2,0)</f>
        <v xml:space="preserve">Ocio y Entretenimiento </v>
      </c>
    </row>
    <row r="192" spans="1:12" x14ac:dyDescent="0.2">
      <c r="A192" s="6208" t="s">
        <v>377</v>
      </c>
      <c r="B192" s="1523" t="s">
        <v>377</v>
      </c>
      <c r="C192" s="6013">
        <f t="shared" si="2"/>
        <v>8</v>
      </c>
      <c r="D192" s="1524" t="s">
        <v>378</v>
      </c>
      <c r="E192" s="1525" t="s">
        <v>10</v>
      </c>
      <c r="F192" s="1526">
        <v>-13.2</v>
      </c>
      <c r="G192" s="1527" t="s">
        <v>11</v>
      </c>
      <c r="H192" s="1528">
        <v>6379.35</v>
      </c>
      <c r="I192" s="1529" t="s">
        <v>11</v>
      </c>
      <c r="J192" s="1530" t="s">
        <v>379</v>
      </c>
      <c r="K192" s="5940" t="s">
        <v>1146</v>
      </c>
      <c r="L192" s="6760" t="str">
        <f>VLOOKUP(K192,'COD.'!$A$1:$B$39,2,0)</f>
        <v xml:space="preserve">Supermercado </v>
      </c>
    </row>
    <row r="193" spans="1:12" x14ac:dyDescent="0.2">
      <c r="A193" s="6209" t="s">
        <v>377</v>
      </c>
      <c r="B193" s="1531" t="s">
        <v>377</v>
      </c>
      <c r="C193" s="6013">
        <f t="shared" si="2"/>
        <v>8</v>
      </c>
      <c r="D193" s="1532" t="s">
        <v>380</v>
      </c>
      <c r="E193" s="1533" t="s">
        <v>10</v>
      </c>
      <c r="F193" s="1534">
        <v>-12.9</v>
      </c>
      <c r="G193" s="1535" t="s">
        <v>11</v>
      </c>
      <c r="H193" s="1536">
        <v>6392.55</v>
      </c>
      <c r="I193" s="1537" t="s">
        <v>11</v>
      </c>
      <c r="J193" s="1538" t="s">
        <v>381</v>
      </c>
      <c r="K193" s="5940" t="s">
        <v>1145</v>
      </c>
      <c r="L193" s="6760" t="str">
        <f>VLOOKUP(K193,'COD.'!$A$1:$B$39,2,0)</f>
        <v xml:space="preserve">Ocio y Entretenimiento </v>
      </c>
    </row>
    <row r="194" spans="1:12" x14ac:dyDescent="0.2">
      <c r="A194" s="6210" t="s">
        <v>377</v>
      </c>
      <c r="B194" s="1539" t="s">
        <v>377</v>
      </c>
      <c r="C194" s="6013">
        <f t="shared" si="2"/>
        <v>8</v>
      </c>
      <c r="D194" s="1540" t="s">
        <v>382</v>
      </c>
      <c r="E194" s="1541" t="s">
        <v>10</v>
      </c>
      <c r="F194" s="1542">
        <v>-3.26</v>
      </c>
      <c r="G194" s="1543" t="s">
        <v>11</v>
      </c>
      <c r="H194" s="1544">
        <v>6405.45</v>
      </c>
      <c r="I194" s="1545" t="s">
        <v>11</v>
      </c>
      <c r="J194" s="1546" t="s">
        <v>383</v>
      </c>
      <c r="K194" s="5940" t="s">
        <v>443</v>
      </c>
      <c r="L194" s="6760" t="str">
        <f>VLOOKUP(K194,'COD.'!$A$1:$B$39,2,0)</f>
        <v xml:space="preserve">Salud y Cuidado </v>
      </c>
    </row>
    <row r="195" spans="1:12" x14ac:dyDescent="0.2">
      <c r="A195" s="6211" t="s">
        <v>374</v>
      </c>
      <c r="B195" s="1547" t="s">
        <v>377</v>
      </c>
      <c r="C195" s="6013">
        <f t="shared" ref="C195:C258" si="3">MONTH(A195)</f>
        <v>8</v>
      </c>
      <c r="D195" s="1548" t="s">
        <v>384</v>
      </c>
      <c r="E195" s="1549" t="s">
        <v>10</v>
      </c>
      <c r="F195" s="1550">
        <v>-65.05</v>
      </c>
      <c r="G195" s="1551" t="s">
        <v>11</v>
      </c>
      <c r="H195" s="1552">
        <v>6408.71</v>
      </c>
      <c r="I195" s="1553" t="s">
        <v>11</v>
      </c>
      <c r="J195" s="1554" t="s">
        <v>385</v>
      </c>
      <c r="K195" s="5940" t="s">
        <v>1149</v>
      </c>
      <c r="L195" s="6760" t="str">
        <f>VLOOKUP(K195,'COD.'!$A$1:$B$39,2,0)</f>
        <v xml:space="preserve">Ocio y Entretenimiento </v>
      </c>
    </row>
    <row r="196" spans="1:12" x14ac:dyDescent="0.2">
      <c r="A196" s="6212" t="s">
        <v>374</v>
      </c>
      <c r="B196" s="1555" t="s">
        <v>377</v>
      </c>
      <c r="C196" s="6013">
        <f t="shared" si="3"/>
        <v>8</v>
      </c>
      <c r="D196" s="1556" t="s">
        <v>386</v>
      </c>
      <c r="E196" s="1557" t="s">
        <v>10</v>
      </c>
      <c r="F196" s="1558">
        <v>-35.76</v>
      </c>
      <c r="G196" s="1559" t="s">
        <v>11</v>
      </c>
      <c r="H196" s="1560">
        <v>6473.76</v>
      </c>
      <c r="I196" s="1561" t="s">
        <v>11</v>
      </c>
      <c r="J196" s="1562" t="s">
        <v>387</v>
      </c>
      <c r="K196" s="5940" t="s">
        <v>1145</v>
      </c>
      <c r="L196" s="6760" t="str">
        <f>VLOOKUP(K196,'COD.'!$A$1:$B$39,2,0)</f>
        <v xml:space="preserve">Ocio y Entretenimiento </v>
      </c>
    </row>
    <row r="197" spans="1:12" x14ac:dyDescent="0.2">
      <c r="A197" s="6213" t="s">
        <v>374</v>
      </c>
      <c r="B197" s="1563" t="s">
        <v>377</v>
      </c>
      <c r="C197" s="6013">
        <f t="shared" si="3"/>
        <v>8</v>
      </c>
      <c r="D197" s="1564" t="s">
        <v>388</v>
      </c>
      <c r="E197" s="1565" t="s">
        <v>10</v>
      </c>
      <c r="F197" s="1566">
        <v>-10.72</v>
      </c>
      <c r="G197" s="1567" t="s">
        <v>11</v>
      </c>
      <c r="H197" s="1568">
        <v>6509.52</v>
      </c>
      <c r="I197" s="1569" t="s">
        <v>11</v>
      </c>
      <c r="J197" s="1570" t="s">
        <v>389</v>
      </c>
      <c r="K197" s="5940" t="s">
        <v>1145</v>
      </c>
      <c r="L197" s="6760" t="str">
        <f>VLOOKUP(K197,'COD.'!$A$1:$B$39,2,0)</f>
        <v xml:space="preserve">Ocio y Entretenimiento </v>
      </c>
    </row>
    <row r="198" spans="1:12" x14ac:dyDescent="0.2">
      <c r="A198" s="6214" t="s">
        <v>374</v>
      </c>
      <c r="B198" s="1571" t="s">
        <v>377</v>
      </c>
      <c r="C198" s="6013">
        <f t="shared" si="3"/>
        <v>8</v>
      </c>
      <c r="D198" s="1572" t="s">
        <v>390</v>
      </c>
      <c r="E198" s="1573" t="s">
        <v>10</v>
      </c>
      <c r="F198" s="1574">
        <v>-4.4000000000000004</v>
      </c>
      <c r="G198" s="1575" t="s">
        <v>11</v>
      </c>
      <c r="H198" s="1576">
        <v>6520.24</v>
      </c>
      <c r="I198" s="1577" t="s">
        <v>11</v>
      </c>
      <c r="J198" s="1578" t="s">
        <v>391</v>
      </c>
      <c r="K198" s="5940" t="s">
        <v>1145</v>
      </c>
      <c r="L198" s="6760" t="str">
        <f>VLOOKUP(K198,'COD.'!$A$1:$B$39,2,0)</f>
        <v xml:space="preserve">Ocio y Entretenimiento </v>
      </c>
    </row>
    <row r="199" spans="1:12" x14ac:dyDescent="0.2">
      <c r="A199" s="6215" t="s">
        <v>371</v>
      </c>
      <c r="B199" s="1579" t="s">
        <v>377</v>
      </c>
      <c r="C199" s="6013">
        <f t="shared" si="3"/>
        <v>8</v>
      </c>
      <c r="D199" s="1580" t="s">
        <v>375</v>
      </c>
      <c r="E199" s="1581" t="s">
        <v>10</v>
      </c>
      <c r="F199" s="1582">
        <v>-8.11</v>
      </c>
      <c r="G199" s="1583" t="s">
        <v>11</v>
      </c>
      <c r="H199" s="1584">
        <v>6524.64</v>
      </c>
      <c r="I199" s="1585" t="s">
        <v>11</v>
      </c>
      <c r="J199" s="1586" t="s">
        <v>376</v>
      </c>
      <c r="K199" s="5940" t="s">
        <v>1145</v>
      </c>
      <c r="L199" s="6760" t="str">
        <f>VLOOKUP(K199,'COD.'!$A$1:$B$39,2,0)</f>
        <v xml:space="preserve">Ocio y Entretenimiento </v>
      </c>
    </row>
    <row r="200" spans="1:12" x14ac:dyDescent="0.2">
      <c r="A200" s="6216" t="s">
        <v>377</v>
      </c>
      <c r="B200" s="1587" t="s">
        <v>377</v>
      </c>
      <c r="C200" s="6013">
        <f t="shared" si="3"/>
        <v>8</v>
      </c>
      <c r="D200" s="1588" t="s">
        <v>29</v>
      </c>
      <c r="E200" s="1589" t="s">
        <v>30</v>
      </c>
      <c r="F200" s="1590">
        <v>1867.53</v>
      </c>
      <c r="G200" s="1591" t="s">
        <v>11</v>
      </c>
      <c r="H200" s="1592">
        <v>6532.75</v>
      </c>
      <c r="I200" s="1593" t="s">
        <v>11</v>
      </c>
      <c r="J200" s="1594" t="s">
        <v>30</v>
      </c>
      <c r="K200" s="5987" t="s">
        <v>1144</v>
      </c>
      <c r="L200" s="6760" t="str">
        <f>VLOOKUP(K200,'COD.'!$A$1:$B$39,2,0)</f>
        <v xml:space="preserve">Transferencias y Efectivo </v>
      </c>
    </row>
    <row r="201" spans="1:12" x14ac:dyDescent="0.2">
      <c r="A201" s="6217" t="s">
        <v>392</v>
      </c>
      <c r="B201" s="1595" t="s">
        <v>368</v>
      </c>
      <c r="C201" s="6013">
        <f t="shared" si="3"/>
        <v>8</v>
      </c>
      <c r="D201" s="5937" t="s">
        <v>393</v>
      </c>
      <c r="E201" s="1596" t="s">
        <v>10</v>
      </c>
      <c r="F201" s="1597">
        <v>-80.86</v>
      </c>
      <c r="G201" s="1598" t="s">
        <v>11</v>
      </c>
      <c r="H201" s="1599">
        <v>4665.22</v>
      </c>
      <c r="I201" s="1600" t="s">
        <v>11</v>
      </c>
      <c r="J201" s="1601" t="s">
        <v>394</v>
      </c>
      <c r="K201" s="5940" t="s">
        <v>1169</v>
      </c>
      <c r="L201" s="6760" t="str">
        <f>VLOOKUP(K201,'COD.'!$A$1:$B$39,2,0)</f>
        <v xml:space="preserve">Ocio y Entretenimiento </v>
      </c>
    </row>
    <row r="202" spans="1:12" x14ac:dyDescent="0.2">
      <c r="A202" s="6218" t="s">
        <v>392</v>
      </c>
      <c r="B202" s="1602" t="s">
        <v>368</v>
      </c>
      <c r="C202" s="6013">
        <f t="shared" si="3"/>
        <v>8</v>
      </c>
      <c r="D202" s="5938" t="s">
        <v>395</v>
      </c>
      <c r="E202" s="1603" t="s">
        <v>10</v>
      </c>
      <c r="F202" s="1604">
        <v>-173.78</v>
      </c>
      <c r="G202" s="1605" t="s">
        <v>11</v>
      </c>
      <c r="H202" s="1606">
        <v>4746.08</v>
      </c>
      <c r="I202" s="1607" t="s">
        <v>11</v>
      </c>
      <c r="J202" s="1608" t="s">
        <v>396</v>
      </c>
      <c r="K202" s="5940" t="s">
        <v>1161</v>
      </c>
      <c r="L202" s="6760" t="str">
        <f>VLOOKUP(K202,'COD.'!$A$1:$B$39,2,0)</f>
        <v xml:space="preserve">Ocio y Entretenimiento </v>
      </c>
    </row>
    <row r="203" spans="1:12" x14ac:dyDescent="0.2">
      <c r="A203" s="6219" t="s">
        <v>397</v>
      </c>
      <c r="B203" s="1609" t="s">
        <v>368</v>
      </c>
      <c r="C203" s="6013">
        <f t="shared" si="3"/>
        <v>8</v>
      </c>
      <c r="D203" s="1610" t="s">
        <v>398</v>
      </c>
      <c r="E203" s="1611" t="s">
        <v>10</v>
      </c>
      <c r="F203" s="1612">
        <v>-13.28</v>
      </c>
      <c r="G203" s="1613" t="s">
        <v>11</v>
      </c>
      <c r="H203" s="1614">
        <v>4919.8599999999997</v>
      </c>
      <c r="I203" s="1615" t="s">
        <v>11</v>
      </c>
      <c r="J203" s="1616" t="s">
        <v>399</v>
      </c>
      <c r="K203" s="5940" t="s">
        <v>1149</v>
      </c>
      <c r="L203" s="6760" t="str">
        <f>VLOOKUP(K203,'COD.'!$A$1:$B$39,2,0)</f>
        <v xml:space="preserve">Ocio y Entretenimiento </v>
      </c>
    </row>
    <row r="204" spans="1:12" x14ac:dyDescent="0.2">
      <c r="A204" s="6220" t="s">
        <v>371</v>
      </c>
      <c r="B204" s="1617" t="s">
        <v>368</v>
      </c>
      <c r="C204" s="6013">
        <f t="shared" si="3"/>
        <v>8</v>
      </c>
      <c r="D204" s="1618" t="s">
        <v>400</v>
      </c>
      <c r="E204" s="1619" t="s">
        <v>10</v>
      </c>
      <c r="F204" s="1620">
        <v>-47.69</v>
      </c>
      <c r="G204" s="1621" t="s">
        <v>11</v>
      </c>
      <c r="H204" s="1622">
        <v>4933.1400000000003</v>
      </c>
      <c r="I204" s="1623" t="s">
        <v>11</v>
      </c>
      <c r="J204" s="1624" t="s">
        <v>401</v>
      </c>
      <c r="K204" s="5940" t="s">
        <v>1145</v>
      </c>
      <c r="L204" s="6760" t="str">
        <f>VLOOKUP(K204,'COD.'!$A$1:$B$39,2,0)</f>
        <v xml:space="preserve">Ocio y Entretenimiento </v>
      </c>
    </row>
    <row r="205" spans="1:12" x14ac:dyDescent="0.2">
      <c r="A205" s="6221" t="s">
        <v>371</v>
      </c>
      <c r="B205" s="1625" t="s">
        <v>368</v>
      </c>
      <c r="C205" s="6013">
        <f t="shared" si="3"/>
        <v>8</v>
      </c>
      <c r="D205" s="1626" t="s">
        <v>402</v>
      </c>
      <c r="E205" s="1627" t="s">
        <v>10</v>
      </c>
      <c r="F205" s="1628">
        <v>-34.58</v>
      </c>
      <c r="G205" s="1629" t="s">
        <v>11</v>
      </c>
      <c r="H205" s="1630">
        <v>4980.83</v>
      </c>
      <c r="I205" s="1631" t="s">
        <v>11</v>
      </c>
      <c r="J205" s="1632" t="s">
        <v>403</v>
      </c>
      <c r="K205" s="5940" t="s">
        <v>1145</v>
      </c>
      <c r="L205" s="6760" t="str">
        <f>VLOOKUP(K205,'COD.'!$A$1:$B$39,2,0)</f>
        <v xml:space="preserve">Ocio y Entretenimiento </v>
      </c>
    </row>
    <row r="206" spans="1:12" x14ac:dyDescent="0.2">
      <c r="A206" s="6222" t="s">
        <v>371</v>
      </c>
      <c r="B206" s="1633" t="s">
        <v>368</v>
      </c>
      <c r="C206" s="6013">
        <f t="shared" si="3"/>
        <v>8</v>
      </c>
      <c r="D206" s="1634" t="s">
        <v>404</v>
      </c>
      <c r="E206" s="1635" t="s">
        <v>10</v>
      </c>
      <c r="F206" s="1636">
        <v>-6.25</v>
      </c>
      <c r="G206" s="1637" t="s">
        <v>11</v>
      </c>
      <c r="H206" s="1638">
        <v>5015.41</v>
      </c>
      <c r="I206" s="1639" t="s">
        <v>11</v>
      </c>
      <c r="J206" s="1640" t="s">
        <v>405</v>
      </c>
      <c r="K206" s="5940" t="s">
        <v>1169</v>
      </c>
      <c r="L206" s="6760" t="str">
        <f>VLOOKUP(K206,'COD.'!$A$1:$B$39,2,0)</f>
        <v xml:space="preserve">Ocio y Entretenimiento </v>
      </c>
    </row>
    <row r="207" spans="1:12" x14ac:dyDescent="0.2">
      <c r="A207" s="6223" t="s">
        <v>371</v>
      </c>
      <c r="B207" s="1641" t="s">
        <v>368</v>
      </c>
      <c r="C207" s="6013">
        <f t="shared" si="3"/>
        <v>8</v>
      </c>
      <c r="D207" s="1642" t="s">
        <v>406</v>
      </c>
      <c r="E207" s="1643" t="s">
        <v>10</v>
      </c>
      <c r="F207" s="1644">
        <v>-8.5</v>
      </c>
      <c r="G207" s="1645" t="s">
        <v>11</v>
      </c>
      <c r="H207" s="1646">
        <v>5021.66</v>
      </c>
      <c r="I207" s="1647" t="s">
        <v>11</v>
      </c>
      <c r="J207" s="1648" t="s">
        <v>407</v>
      </c>
      <c r="K207" s="5940" t="s">
        <v>1145</v>
      </c>
      <c r="L207" s="6760" t="str">
        <f>VLOOKUP(K207,'COD.'!$A$1:$B$39,2,0)</f>
        <v xml:space="preserve">Ocio y Entretenimiento </v>
      </c>
    </row>
    <row r="208" spans="1:12" x14ac:dyDescent="0.2">
      <c r="A208" s="6224" t="s">
        <v>397</v>
      </c>
      <c r="B208" s="1649" t="s">
        <v>368</v>
      </c>
      <c r="C208" s="6013">
        <f t="shared" si="3"/>
        <v>8</v>
      </c>
      <c r="D208" s="1650" t="s">
        <v>408</v>
      </c>
      <c r="E208" s="1651" t="s">
        <v>10</v>
      </c>
      <c r="F208" s="1652">
        <v>-41.9</v>
      </c>
      <c r="G208" s="1653" t="s">
        <v>11</v>
      </c>
      <c r="H208" s="1654">
        <v>5030.16</v>
      </c>
      <c r="I208" s="1655" t="s">
        <v>11</v>
      </c>
      <c r="J208" s="1656" t="s">
        <v>409</v>
      </c>
      <c r="K208" s="5940" t="s">
        <v>1145</v>
      </c>
      <c r="L208" s="6760" t="str">
        <f>VLOOKUP(K208,'COD.'!$A$1:$B$39,2,0)</f>
        <v xml:space="preserve">Ocio y Entretenimiento </v>
      </c>
    </row>
    <row r="209" spans="1:12" x14ac:dyDescent="0.2">
      <c r="A209" s="6225" t="s">
        <v>397</v>
      </c>
      <c r="B209" s="1657" t="s">
        <v>397</v>
      </c>
      <c r="C209" s="6013">
        <f t="shared" si="3"/>
        <v>8</v>
      </c>
      <c r="D209" s="1658" t="s">
        <v>9</v>
      </c>
      <c r="E209" s="1659" t="s">
        <v>10</v>
      </c>
      <c r="F209" s="1660">
        <v>-5.42</v>
      </c>
      <c r="G209" s="1661" t="s">
        <v>11</v>
      </c>
      <c r="H209" s="1662">
        <v>5072.0600000000004</v>
      </c>
      <c r="I209" s="1663" t="s">
        <v>11</v>
      </c>
      <c r="J209" s="1664" t="s">
        <v>12</v>
      </c>
      <c r="K209" s="5940" t="s">
        <v>1163</v>
      </c>
      <c r="L209" s="6760" t="str">
        <f>VLOOKUP(K209,'COD.'!$A$1:$B$39,2,0)</f>
        <v xml:space="preserve">Otros Gastos Generales </v>
      </c>
    </row>
    <row r="210" spans="1:12" x14ac:dyDescent="0.2">
      <c r="A210" s="6226" t="s">
        <v>397</v>
      </c>
      <c r="B210" s="1665" t="s">
        <v>397</v>
      </c>
      <c r="C210" s="6013">
        <f t="shared" si="3"/>
        <v>8</v>
      </c>
      <c r="D210" s="1666" t="s">
        <v>410</v>
      </c>
      <c r="E210" s="1667" t="s">
        <v>10</v>
      </c>
      <c r="F210" s="1668">
        <v>-12.55</v>
      </c>
      <c r="G210" s="1669" t="s">
        <v>11</v>
      </c>
      <c r="H210" s="1670">
        <v>5077.4799999999996</v>
      </c>
      <c r="I210" s="1671" t="s">
        <v>11</v>
      </c>
      <c r="J210" s="1672" t="s">
        <v>411</v>
      </c>
      <c r="K210" s="5940" t="s">
        <v>1163</v>
      </c>
      <c r="L210" s="6760" t="str">
        <f>VLOOKUP(K210,'COD.'!$A$1:$B$39,2,0)</f>
        <v xml:space="preserve">Otros Gastos Generales </v>
      </c>
    </row>
    <row r="211" spans="1:12" x14ac:dyDescent="0.2">
      <c r="A211" s="6227" t="s">
        <v>392</v>
      </c>
      <c r="B211" s="1673" t="s">
        <v>397</v>
      </c>
      <c r="C211" s="6013">
        <f t="shared" si="3"/>
        <v>8</v>
      </c>
      <c r="D211" s="1674" t="s">
        <v>412</v>
      </c>
      <c r="E211" s="1675" t="s">
        <v>10</v>
      </c>
      <c r="F211" s="1676">
        <v>-49.09</v>
      </c>
      <c r="G211" s="1677" t="s">
        <v>11</v>
      </c>
      <c r="H211" s="1678">
        <v>5090.03</v>
      </c>
      <c r="I211" s="1679" t="s">
        <v>11</v>
      </c>
      <c r="J211" s="1680" t="s">
        <v>413</v>
      </c>
      <c r="K211" s="5940" t="s">
        <v>1149</v>
      </c>
      <c r="L211" s="6760" t="str">
        <f>VLOOKUP(K211,'COD.'!$A$1:$B$39,2,0)</f>
        <v xml:space="preserve">Ocio y Entretenimiento </v>
      </c>
    </row>
    <row r="212" spans="1:12" x14ac:dyDescent="0.2">
      <c r="A212" s="6228" t="s">
        <v>414</v>
      </c>
      <c r="B212" s="1681" t="s">
        <v>414</v>
      </c>
      <c r="C212" s="6013">
        <f t="shared" si="3"/>
        <v>8</v>
      </c>
      <c r="D212" s="1682" t="s">
        <v>415</v>
      </c>
      <c r="E212" s="1683" t="s">
        <v>10</v>
      </c>
      <c r="F212" s="1684">
        <v>-5.8</v>
      </c>
      <c r="G212" s="1685" t="s">
        <v>11</v>
      </c>
      <c r="H212" s="1686">
        <v>5139.12</v>
      </c>
      <c r="I212" s="1687" t="s">
        <v>11</v>
      </c>
      <c r="J212" s="1688" t="s">
        <v>416</v>
      </c>
      <c r="K212" s="5940" t="s">
        <v>1145</v>
      </c>
      <c r="L212" s="6760" t="str">
        <f>VLOOKUP(K212,'COD.'!$A$1:$B$39,2,0)</f>
        <v xml:space="preserve">Ocio y Entretenimiento </v>
      </c>
    </row>
    <row r="213" spans="1:12" x14ac:dyDescent="0.2">
      <c r="A213" s="6229" t="s">
        <v>417</v>
      </c>
      <c r="B213" s="1689" t="s">
        <v>414</v>
      </c>
      <c r="C213" s="6013">
        <f t="shared" si="3"/>
        <v>8</v>
      </c>
      <c r="D213" s="1690" t="s">
        <v>418</v>
      </c>
      <c r="E213" s="1691" t="s">
        <v>10</v>
      </c>
      <c r="F213" s="1692">
        <v>-17</v>
      </c>
      <c r="G213" s="1693" t="s">
        <v>11</v>
      </c>
      <c r="H213" s="1694">
        <v>5144.92</v>
      </c>
      <c r="I213" s="1695" t="s">
        <v>11</v>
      </c>
      <c r="J213" s="1696" t="s">
        <v>419</v>
      </c>
      <c r="K213" s="5940" t="s">
        <v>1149</v>
      </c>
      <c r="L213" s="6760" t="str">
        <f>VLOOKUP(K213,'COD.'!$A$1:$B$39,2,0)</f>
        <v xml:space="preserve">Ocio y Entretenimiento </v>
      </c>
    </row>
    <row r="214" spans="1:12" x14ac:dyDescent="0.2">
      <c r="A214" s="6230" t="s">
        <v>420</v>
      </c>
      <c r="B214" s="1697" t="s">
        <v>421</v>
      </c>
      <c r="C214" s="6013">
        <f t="shared" si="3"/>
        <v>8</v>
      </c>
      <c r="D214" s="1698" t="s">
        <v>422</v>
      </c>
      <c r="E214" s="1699" t="s">
        <v>10</v>
      </c>
      <c r="F214" s="1700">
        <v>-36.479999999999997</v>
      </c>
      <c r="G214" s="1701" t="s">
        <v>11</v>
      </c>
      <c r="H214" s="1702">
        <v>5161.92</v>
      </c>
      <c r="I214" s="1703" t="s">
        <v>11</v>
      </c>
      <c r="J214" s="1704" t="s">
        <v>423</v>
      </c>
      <c r="K214" s="5940" t="s">
        <v>1148</v>
      </c>
      <c r="L214" s="6760" t="str">
        <f>VLOOKUP(K214,'COD.'!$A$1:$B$39,2,0)</f>
        <v xml:space="preserve">Supermercado </v>
      </c>
    </row>
    <row r="215" spans="1:12" x14ac:dyDescent="0.2">
      <c r="A215" s="6231" t="s">
        <v>420</v>
      </c>
      <c r="B215" s="1705" t="s">
        <v>421</v>
      </c>
      <c r="C215" s="6013">
        <f t="shared" si="3"/>
        <v>8</v>
      </c>
      <c r="D215" s="1706" t="s">
        <v>96</v>
      </c>
      <c r="E215" s="1707" t="s">
        <v>10</v>
      </c>
      <c r="F215" s="1708">
        <v>-2.99</v>
      </c>
      <c r="G215" s="1709" t="s">
        <v>11</v>
      </c>
      <c r="H215" s="1710">
        <v>5198.3999999999996</v>
      </c>
      <c r="I215" s="1711" t="s">
        <v>11</v>
      </c>
      <c r="J215" s="1712" t="s">
        <v>97</v>
      </c>
      <c r="K215" s="5972" t="s">
        <v>1150</v>
      </c>
      <c r="L215" s="6760" t="str">
        <f>VLOOKUP(K215,'COD.'!$A$1:$B$39,2,0)</f>
        <v xml:space="preserve">Ocio y Entretenimiento </v>
      </c>
    </row>
    <row r="216" spans="1:12" x14ac:dyDescent="0.2">
      <c r="A216" s="6232" t="s">
        <v>417</v>
      </c>
      <c r="B216" s="1713" t="s">
        <v>421</v>
      </c>
      <c r="C216" s="6013">
        <f t="shared" si="3"/>
        <v>8</v>
      </c>
      <c r="D216" s="1714" t="s">
        <v>424</v>
      </c>
      <c r="E216" s="1715" t="s">
        <v>10</v>
      </c>
      <c r="F216" s="1716">
        <v>-29.5</v>
      </c>
      <c r="G216" s="1717" t="s">
        <v>11</v>
      </c>
      <c r="H216" s="1718">
        <v>5201.3900000000003</v>
      </c>
      <c r="I216" s="1719" t="s">
        <v>11</v>
      </c>
      <c r="J216" s="1720" t="s">
        <v>425</v>
      </c>
      <c r="K216" s="5940" t="s">
        <v>1145</v>
      </c>
      <c r="L216" s="6760" t="str">
        <f>VLOOKUP(K216,'COD.'!$A$1:$B$39,2,0)</f>
        <v xml:space="preserve">Ocio y Entretenimiento </v>
      </c>
    </row>
    <row r="217" spans="1:12" x14ac:dyDescent="0.2">
      <c r="A217" s="6233" t="s">
        <v>417</v>
      </c>
      <c r="B217" s="1721" t="s">
        <v>421</v>
      </c>
      <c r="C217" s="6013">
        <f t="shared" si="3"/>
        <v>8</v>
      </c>
      <c r="D217" s="1722" t="s">
        <v>426</v>
      </c>
      <c r="E217" s="1723" t="s">
        <v>10</v>
      </c>
      <c r="F217" s="1724">
        <v>-1.02</v>
      </c>
      <c r="G217" s="1725" t="s">
        <v>11</v>
      </c>
      <c r="H217" s="1726">
        <v>5230.8900000000003</v>
      </c>
      <c r="I217" s="1727" t="s">
        <v>11</v>
      </c>
      <c r="J217" s="1728" t="s">
        <v>427</v>
      </c>
      <c r="K217" s="5940" t="s">
        <v>1145</v>
      </c>
      <c r="L217" s="6760" t="str">
        <f>VLOOKUP(K217,'COD.'!$A$1:$B$39,2,0)</f>
        <v xml:space="preserve">Ocio y Entretenimiento </v>
      </c>
    </row>
    <row r="218" spans="1:12" x14ac:dyDescent="0.2">
      <c r="A218" s="6234" t="s">
        <v>417</v>
      </c>
      <c r="B218" s="1729" t="s">
        <v>421</v>
      </c>
      <c r="C218" s="6013">
        <f t="shared" si="3"/>
        <v>8</v>
      </c>
      <c r="D218" s="1730" t="s">
        <v>39</v>
      </c>
      <c r="E218" s="1731" t="s">
        <v>10</v>
      </c>
      <c r="F218" s="1732">
        <v>-28.95</v>
      </c>
      <c r="G218" s="1733" t="s">
        <v>11</v>
      </c>
      <c r="H218" s="1734">
        <v>5231.91</v>
      </c>
      <c r="I218" s="1735" t="s">
        <v>11</v>
      </c>
      <c r="J218" s="1736" t="s">
        <v>111</v>
      </c>
      <c r="K218" s="5940" t="s">
        <v>443</v>
      </c>
      <c r="L218" s="6760" t="str">
        <f>VLOOKUP(K218,'COD.'!$A$1:$B$39,2,0)</f>
        <v xml:space="preserve">Salud y Cuidado </v>
      </c>
    </row>
    <row r="219" spans="1:12" x14ac:dyDescent="0.2">
      <c r="A219" s="6235" t="s">
        <v>428</v>
      </c>
      <c r="B219" s="1737" t="s">
        <v>421</v>
      </c>
      <c r="C219" s="6013">
        <f t="shared" si="3"/>
        <v>8</v>
      </c>
      <c r="D219" s="1738" t="s">
        <v>352</v>
      </c>
      <c r="E219" s="1739" t="s">
        <v>10</v>
      </c>
      <c r="F219" s="1740">
        <v>-24</v>
      </c>
      <c r="G219" s="1741" t="s">
        <v>11</v>
      </c>
      <c r="H219" s="1742">
        <v>5260.86</v>
      </c>
      <c r="I219" s="1743" t="s">
        <v>11</v>
      </c>
      <c r="J219" s="1744" t="s">
        <v>353</v>
      </c>
      <c r="K219" s="5940" t="s">
        <v>1145</v>
      </c>
      <c r="L219" s="6760" t="str">
        <f>VLOOKUP(K219,'COD.'!$A$1:$B$39,2,0)</f>
        <v xml:space="preserve">Ocio y Entretenimiento </v>
      </c>
    </row>
    <row r="220" spans="1:12" x14ac:dyDescent="0.2">
      <c r="A220" s="6236" t="s">
        <v>420</v>
      </c>
      <c r="B220" s="1745" t="s">
        <v>420</v>
      </c>
      <c r="C220" s="6013">
        <f t="shared" si="3"/>
        <v>8</v>
      </c>
      <c r="D220" s="1746" t="s">
        <v>69</v>
      </c>
      <c r="E220" s="1747" t="s">
        <v>10</v>
      </c>
      <c r="F220" s="1748">
        <v>-13.36</v>
      </c>
      <c r="G220" s="1749" t="s">
        <v>11</v>
      </c>
      <c r="H220" s="1750">
        <v>5284.86</v>
      </c>
      <c r="I220" s="1751" t="s">
        <v>11</v>
      </c>
      <c r="J220" s="1752" t="s">
        <v>70</v>
      </c>
      <c r="K220" s="5940" t="s">
        <v>1148</v>
      </c>
      <c r="L220" s="6760" t="str">
        <f>VLOOKUP(K220,'COD.'!$A$1:$B$39,2,0)</f>
        <v xml:space="preserve">Supermercado </v>
      </c>
    </row>
    <row r="221" spans="1:12" x14ac:dyDescent="0.2">
      <c r="A221" s="6237" t="s">
        <v>429</v>
      </c>
      <c r="B221" s="1753" t="s">
        <v>420</v>
      </c>
      <c r="C221" s="6013">
        <f t="shared" si="3"/>
        <v>8</v>
      </c>
      <c r="D221" s="1754" t="s">
        <v>430</v>
      </c>
      <c r="E221" s="1755" t="s">
        <v>10</v>
      </c>
      <c r="F221" s="1756">
        <v>-699.84</v>
      </c>
      <c r="G221" s="1757" t="s">
        <v>11</v>
      </c>
      <c r="H221" s="1758">
        <v>5298.22</v>
      </c>
      <c r="I221" s="1759" t="s">
        <v>11</v>
      </c>
      <c r="J221" s="1760" t="s">
        <v>431</v>
      </c>
      <c r="K221" s="5940" t="s">
        <v>1169</v>
      </c>
      <c r="L221" s="6760" t="str">
        <f>VLOOKUP(K221,'COD.'!$A$1:$B$39,2,0)</f>
        <v xml:space="preserve">Ocio y Entretenimiento </v>
      </c>
    </row>
    <row r="222" spans="1:12" x14ac:dyDescent="0.2">
      <c r="A222" s="6238" t="s">
        <v>420</v>
      </c>
      <c r="B222" s="1761" t="s">
        <v>420</v>
      </c>
      <c r="C222" s="6013">
        <f t="shared" si="3"/>
        <v>8</v>
      </c>
      <c r="D222" s="1762" t="s">
        <v>60</v>
      </c>
      <c r="E222" s="1763" t="s">
        <v>432</v>
      </c>
      <c r="F222" s="1764">
        <v>377</v>
      </c>
      <c r="G222" s="1765" t="s">
        <v>11</v>
      </c>
      <c r="H222" s="1766">
        <v>5998.06</v>
      </c>
      <c r="I222" s="1767" t="s">
        <v>11</v>
      </c>
      <c r="J222" s="1768" t="s">
        <v>433</v>
      </c>
      <c r="K222" s="5982" t="s">
        <v>60</v>
      </c>
      <c r="L222" s="6760" t="str">
        <f>VLOOKUP(K222,'COD.'!$A$1:$B$39,2,0)</f>
        <v xml:space="preserve">Transferencias y Efectivo </v>
      </c>
    </row>
    <row r="223" spans="1:12" x14ac:dyDescent="0.2">
      <c r="A223" s="6239" t="s">
        <v>429</v>
      </c>
      <c r="B223" s="1769" t="s">
        <v>429</v>
      </c>
      <c r="C223" s="6013">
        <f t="shared" si="3"/>
        <v>8</v>
      </c>
      <c r="D223" s="1770" t="s">
        <v>434</v>
      </c>
      <c r="E223" s="1771" t="s">
        <v>10</v>
      </c>
      <c r="F223" s="1772">
        <v>-3.3</v>
      </c>
      <c r="G223" s="1773" t="s">
        <v>11</v>
      </c>
      <c r="H223" s="1774">
        <v>5621.06</v>
      </c>
      <c r="I223" s="1775" t="s">
        <v>11</v>
      </c>
      <c r="J223" s="1776" t="s">
        <v>435</v>
      </c>
      <c r="K223" s="5940" t="s">
        <v>1145</v>
      </c>
      <c r="L223" s="6760" t="str">
        <f>VLOOKUP(K223,'COD.'!$A$1:$B$39,2,0)</f>
        <v xml:space="preserve">Ocio y Entretenimiento </v>
      </c>
    </row>
    <row r="224" spans="1:12" x14ac:dyDescent="0.2">
      <c r="A224" s="6240" t="s">
        <v>436</v>
      </c>
      <c r="B224" s="1777" t="s">
        <v>429</v>
      </c>
      <c r="C224" s="6013">
        <f t="shared" si="3"/>
        <v>8</v>
      </c>
      <c r="D224" s="1778" t="s">
        <v>437</v>
      </c>
      <c r="E224" s="1779" t="s">
        <v>10</v>
      </c>
      <c r="F224" s="1780">
        <v>-23.92</v>
      </c>
      <c r="G224" s="1781" t="s">
        <v>11</v>
      </c>
      <c r="H224" s="1782">
        <v>5624.36</v>
      </c>
      <c r="I224" s="1783" t="s">
        <v>11</v>
      </c>
      <c r="J224" s="1784" t="s">
        <v>438</v>
      </c>
      <c r="K224" s="5940" t="s">
        <v>1149</v>
      </c>
      <c r="L224" s="6760" t="str">
        <f>VLOOKUP(K224,'COD.'!$A$1:$B$39,2,0)</f>
        <v xml:space="preserve">Ocio y Entretenimiento </v>
      </c>
    </row>
    <row r="225" spans="1:12" x14ac:dyDescent="0.2">
      <c r="A225" s="6241" t="s">
        <v>429</v>
      </c>
      <c r="B225" s="1785" t="s">
        <v>429</v>
      </c>
      <c r="C225" s="6013">
        <f t="shared" si="3"/>
        <v>8</v>
      </c>
      <c r="D225" s="1786" t="s">
        <v>439</v>
      </c>
      <c r="E225" s="1787" t="s">
        <v>10</v>
      </c>
      <c r="F225" s="1788">
        <v>-3.5</v>
      </c>
      <c r="G225" s="1789" t="s">
        <v>11</v>
      </c>
      <c r="H225" s="1790">
        <v>5648.28</v>
      </c>
      <c r="I225" s="1791" t="s">
        <v>11</v>
      </c>
      <c r="J225" s="1792" t="s">
        <v>440</v>
      </c>
      <c r="K225" s="5940" t="s">
        <v>1145</v>
      </c>
      <c r="L225" s="6760" t="str">
        <f>VLOOKUP(K225,'COD.'!$A$1:$B$39,2,0)</f>
        <v xml:space="preserve">Ocio y Entretenimiento </v>
      </c>
    </row>
    <row r="226" spans="1:12" x14ac:dyDescent="0.2">
      <c r="A226" s="6242" t="s">
        <v>429</v>
      </c>
      <c r="B226" s="1793" t="s">
        <v>429</v>
      </c>
      <c r="C226" s="6013">
        <f t="shared" si="3"/>
        <v>8</v>
      </c>
      <c r="D226" s="1794" t="s">
        <v>441</v>
      </c>
      <c r="E226" s="1795" t="s">
        <v>442</v>
      </c>
      <c r="F226" s="1796">
        <v>300</v>
      </c>
      <c r="G226" s="1797" t="s">
        <v>11</v>
      </c>
      <c r="H226" s="1798">
        <v>5651.78</v>
      </c>
      <c r="I226" s="1799" t="s">
        <v>11</v>
      </c>
      <c r="J226" s="1800" t="s">
        <v>321</v>
      </c>
      <c r="K226" s="5940" t="s">
        <v>1151</v>
      </c>
      <c r="L226" s="6760" t="str">
        <f>VLOOKUP(K226,'COD.'!$A$1:$B$39,2,0)</f>
        <v xml:space="preserve">Transferencias y Efectivo </v>
      </c>
    </row>
    <row r="227" spans="1:12" x14ac:dyDescent="0.2">
      <c r="A227" s="6243" t="s">
        <v>429</v>
      </c>
      <c r="B227" s="1801" t="s">
        <v>429</v>
      </c>
      <c r="C227" s="6013">
        <f t="shared" si="3"/>
        <v>8</v>
      </c>
      <c r="D227" s="1802" t="s">
        <v>443</v>
      </c>
      <c r="E227" s="1803" t="s">
        <v>10</v>
      </c>
      <c r="F227" s="1804">
        <v>-2.04</v>
      </c>
      <c r="G227" s="1805" t="s">
        <v>11</v>
      </c>
      <c r="H227" s="1806">
        <v>5351.78</v>
      </c>
      <c r="I227" s="1807" t="s">
        <v>11</v>
      </c>
      <c r="J227" s="1808" t="s">
        <v>444</v>
      </c>
      <c r="K227" s="5940" t="s">
        <v>443</v>
      </c>
      <c r="L227" s="6760" t="str">
        <f>VLOOKUP(K227,'COD.'!$A$1:$B$39,2,0)</f>
        <v xml:space="preserve">Salud y Cuidado </v>
      </c>
    </row>
    <row r="228" spans="1:12" x14ac:dyDescent="0.2">
      <c r="A228" s="6244" t="s">
        <v>445</v>
      </c>
      <c r="B228" s="1809" t="s">
        <v>445</v>
      </c>
      <c r="C228" s="6013">
        <f t="shared" si="3"/>
        <v>8</v>
      </c>
      <c r="D228" s="1810" t="s">
        <v>60</v>
      </c>
      <c r="E228" s="1811" t="s">
        <v>446</v>
      </c>
      <c r="F228" s="1812">
        <v>-39</v>
      </c>
      <c r="G228" s="1813" t="s">
        <v>11</v>
      </c>
      <c r="H228" s="1814">
        <v>5353.82</v>
      </c>
      <c r="I228" s="1815" t="s">
        <v>11</v>
      </c>
      <c r="J228" s="1816" t="s">
        <v>447</v>
      </c>
      <c r="K228" s="5982" t="s">
        <v>60</v>
      </c>
      <c r="L228" s="6760" t="str">
        <f>VLOOKUP(K228,'COD.'!$A$1:$B$39,2,0)</f>
        <v xml:space="preserve">Transferencias y Efectivo </v>
      </c>
    </row>
    <row r="229" spans="1:12" x14ac:dyDescent="0.2">
      <c r="A229" s="6245" t="s">
        <v>448</v>
      </c>
      <c r="B229" s="1817" t="s">
        <v>445</v>
      </c>
      <c r="C229" s="6013">
        <f t="shared" si="3"/>
        <v>8</v>
      </c>
      <c r="D229" s="1818" t="s">
        <v>449</v>
      </c>
      <c r="E229" s="1819" t="s">
        <v>10</v>
      </c>
      <c r="F229" s="1820">
        <v>-16.739999999999998</v>
      </c>
      <c r="G229" s="1821" t="s">
        <v>11</v>
      </c>
      <c r="H229" s="1822">
        <v>5392.82</v>
      </c>
      <c r="I229" s="1823" t="s">
        <v>11</v>
      </c>
      <c r="J229" s="1824" t="s">
        <v>450</v>
      </c>
      <c r="K229" s="5940" t="s">
        <v>1149</v>
      </c>
      <c r="L229" s="6760" t="str">
        <f>VLOOKUP(K229,'COD.'!$A$1:$B$39,2,0)</f>
        <v xml:space="preserve">Ocio y Entretenimiento </v>
      </c>
    </row>
    <row r="230" spans="1:12" x14ac:dyDescent="0.2">
      <c r="A230" s="6246" t="s">
        <v>451</v>
      </c>
      <c r="B230" s="1825" t="s">
        <v>445</v>
      </c>
      <c r="C230" s="6013">
        <f t="shared" si="3"/>
        <v>8</v>
      </c>
      <c r="D230" s="1826" t="s">
        <v>452</v>
      </c>
      <c r="E230" s="1827" t="s">
        <v>10</v>
      </c>
      <c r="F230" s="1828">
        <v>-6.86</v>
      </c>
      <c r="G230" s="1829" t="s">
        <v>11</v>
      </c>
      <c r="H230" s="1830">
        <v>5409.56</v>
      </c>
      <c r="I230" s="1831" t="s">
        <v>11</v>
      </c>
      <c r="J230" s="1832" t="s">
        <v>453</v>
      </c>
      <c r="K230" s="5940" t="s">
        <v>1148</v>
      </c>
      <c r="L230" s="6760" t="str">
        <f>VLOOKUP(K230,'COD.'!$A$1:$B$39,2,0)</f>
        <v xml:space="preserve">Supermercado </v>
      </c>
    </row>
    <row r="231" spans="1:12" x14ac:dyDescent="0.2">
      <c r="A231" s="6247" t="s">
        <v>445</v>
      </c>
      <c r="B231" s="1833" t="s">
        <v>445</v>
      </c>
      <c r="C231" s="6013">
        <f t="shared" si="3"/>
        <v>8</v>
      </c>
      <c r="D231" s="1834" t="s">
        <v>60</v>
      </c>
      <c r="E231" s="1835" t="s">
        <v>454</v>
      </c>
      <c r="F231" s="1836">
        <v>-17</v>
      </c>
      <c r="G231" s="1837" t="s">
        <v>11</v>
      </c>
      <c r="H231" s="1838">
        <v>5416.42</v>
      </c>
      <c r="I231" s="1839" t="s">
        <v>11</v>
      </c>
      <c r="J231" s="1840" t="s">
        <v>455</v>
      </c>
      <c r="K231" s="5982" t="s">
        <v>60</v>
      </c>
      <c r="L231" s="6760" t="str">
        <f>VLOOKUP(K231,'COD.'!$A$1:$B$39,2,0)</f>
        <v xml:space="preserve">Transferencias y Efectivo </v>
      </c>
    </row>
    <row r="232" spans="1:12" x14ac:dyDescent="0.2">
      <c r="A232" s="6248" t="s">
        <v>436</v>
      </c>
      <c r="B232" s="1841" t="s">
        <v>445</v>
      </c>
      <c r="C232" s="6013">
        <f t="shared" si="3"/>
        <v>8</v>
      </c>
      <c r="D232" s="1842" t="s">
        <v>24</v>
      </c>
      <c r="E232" s="1843" t="s">
        <v>10</v>
      </c>
      <c r="F232" s="1844">
        <v>-20.7</v>
      </c>
      <c r="G232" s="1845" t="s">
        <v>11</v>
      </c>
      <c r="H232" s="1846">
        <v>5433.42</v>
      </c>
      <c r="I232" s="1847" t="s">
        <v>11</v>
      </c>
      <c r="J232" s="1848" t="s">
        <v>25</v>
      </c>
      <c r="K232" s="5940" t="s">
        <v>1145</v>
      </c>
      <c r="L232" s="6760" t="str">
        <f>VLOOKUP(K232,'COD.'!$A$1:$B$39,2,0)</f>
        <v xml:space="preserve">Ocio y Entretenimiento </v>
      </c>
    </row>
    <row r="233" spans="1:12" x14ac:dyDescent="0.2">
      <c r="A233" s="6249" t="s">
        <v>456</v>
      </c>
      <c r="B233" s="1849" t="s">
        <v>436</v>
      </c>
      <c r="C233" s="6013">
        <f t="shared" si="3"/>
        <v>8</v>
      </c>
      <c r="D233" s="1850" t="s">
        <v>457</v>
      </c>
      <c r="E233" s="1851" t="s">
        <v>10</v>
      </c>
      <c r="F233" s="1852">
        <v>-24.5</v>
      </c>
      <c r="G233" s="1853" t="s">
        <v>11</v>
      </c>
      <c r="H233" s="1854">
        <v>5454.12</v>
      </c>
      <c r="I233" s="1855" t="s">
        <v>11</v>
      </c>
      <c r="J233" s="1856" t="s">
        <v>458</v>
      </c>
      <c r="K233" s="5940" t="s">
        <v>1157</v>
      </c>
      <c r="L233" s="6760" t="str">
        <f>VLOOKUP(K233,'COD.'!$A$1:$B$39,2,0)</f>
        <v xml:space="preserve">Ocio y Entretenimiento </v>
      </c>
    </row>
    <row r="234" spans="1:12" x14ac:dyDescent="0.2">
      <c r="A234" s="6250" t="s">
        <v>456</v>
      </c>
      <c r="B234" s="1857" t="s">
        <v>436</v>
      </c>
      <c r="C234" s="6013">
        <f t="shared" si="3"/>
        <v>8</v>
      </c>
      <c r="D234" s="1858" t="s">
        <v>457</v>
      </c>
      <c r="E234" s="1859" t="s">
        <v>10</v>
      </c>
      <c r="F234" s="1860">
        <v>-11</v>
      </c>
      <c r="G234" s="1861" t="s">
        <v>11</v>
      </c>
      <c r="H234" s="1862">
        <v>5478.62</v>
      </c>
      <c r="I234" s="1863" t="s">
        <v>11</v>
      </c>
      <c r="J234" s="1864" t="s">
        <v>458</v>
      </c>
      <c r="K234" s="5940" t="s">
        <v>1157</v>
      </c>
      <c r="L234" s="6760" t="str">
        <f>VLOOKUP(K234,'COD.'!$A$1:$B$39,2,0)</f>
        <v xml:space="preserve">Ocio y Entretenimiento </v>
      </c>
    </row>
    <row r="235" spans="1:12" x14ac:dyDescent="0.2">
      <c r="A235" s="6251" t="s">
        <v>448</v>
      </c>
      <c r="B235" s="1865" t="s">
        <v>436</v>
      </c>
      <c r="C235" s="6013">
        <f t="shared" si="3"/>
        <v>8</v>
      </c>
      <c r="D235" s="1866" t="s">
        <v>350</v>
      </c>
      <c r="E235" s="1867" t="s">
        <v>10</v>
      </c>
      <c r="F235" s="1868">
        <v>-3.3</v>
      </c>
      <c r="G235" s="1869" t="s">
        <v>11</v>
      </c>
      <c r="H235" s="1870">
        <v>5489.62</v>
      </c>
      <c r="I235" s="1871" t="s">
        <v>11</v>
      </c>
      <c r="J235" s="1872" t="s">
        <v>351</v>
      </c>
      <c r="K235" s="5940" t="s">
        <v>1145</v>
      </c>
      <c r="L235" s="6760" t="str">
        <f>VLOOKUP(K235,'COD.'!$A$1:$B$39,2,0)</f>
        <v xml:space="preserve">Ocio y Entretenimiento </v>
      </c>
    </row>
    <row r="236" spans="1:12" x14ac:dyDescent="0.2">
      <c r="A236" s="6252" t="s">
        <v>448</v>
      </c>
      <c r="B236" s="1873" t="s">
        <v>436</v>
      </c>
      <c r="C236" s="6013">
        <f t="shared" si="3"/>
        <v>8</v>
      </c>
      <c r="D236" s="1874" t="s">
        <v>459</v>
      </c>
      <c r="E236" s="1875" t="s">
        <v>10</v>
      </c>
      <c r="F236" s="1876">
        <v>-3.1</v>
      </c>
      <c r="G236" s="1877" t="s">
        <v>11</v>
      </c>
      <c r="H236" s="1878">
        <v>5492.92</v>
      </c>
      <c r="I236" s="1879" t="s">
        <v>11</v>
      </c>
      <c r="J236" s="1880" t="s">
        <v>460</v>
      </c>
      <c r="K236" s="5940" t="s">
        <v>1145</v>
      </c>
      <c r="L236" s="6760" t="str">
        <f>VLOOKUP(K236,'COD.'!$A$1:$B$39,2,0)</f>
        <v xml:space="preserve">Ocio y Entretenimiento </v>
      </c>
    </row>
    <row r="237" spans="1:12" x14ac:dyDescent="0.2">
      <c r="A237" s="6253" t="s">
        <v>451</v>
      </c>
      <c r="B237" s="1881" t="s">
        <v>436</v>
      </c>
      <c r="C237" s="6013">
        <f t="shared" si="3"/>
        <v>8</v>
      </c>
      <c r="D237" s="1882" t="s">
        <v>461</v>
      </c>
      <c r="E237" s="1883" t="s">
        <v>10</v>
      </c>
      <c r="F237" s="1884">
        <v>-8.49</v>
      </c>
      <c r="G237" s="1885" t="s">
        <v>11</v>
      </c>
      <c r="H237" s="1886">
        <v>5496.02</v>
      </c>
      <c r="I237" s="1887" t="s">
        <v>11</v>
      </c>
      <c r="J237" s="1888" t="s">
        <v>462</v>
      </c>
      <c r="K237" s="5940" t="s">
        <v>1145</v>
      </c>
      <c r="L237" s="6760" t="str">
        <f>VLOOKUP(K237,'COD.'!$A$1:$B$39,2,0)</f>
        <v xml:space="preserve">Ocio y Entretenimiento </v>
      </c>
    </row>
    <row r="238" spans="1:12" x14ac:dyDescent="0.2">
      <c r="A238" s="6254" t="s">
        <v>451</v>
      </c>
      <c r="B238" s="1889" t="s">
        <v>436</v>
      </c>
      <c r="C238" s="6013">
        <f t="shared" si="3"/>
        <v>8</v>
      </c>
      <c r="D238" s="1890" t="s">
        <v>459</v>
      </c>
      <c r="E238" s="1891" t="s">
        <v>10</v>
      </c>
      <c r="F238" s="1892">
        <v>-3.7</v>
      </c>
      <c r="G238" s="1893" t="s">
        <v>11</v>
      </c>
      <c r="H238" s="1894">
        <v>5504.51</v>
      </c>
      <c r="I238" s="1895" t="s">
        <v>11</v>
      </c>
      <c r="J238" s="1896" t="s">
        <v>460</v>
      </c>
      <c r="K238" s="5940" t="s">
        <v>1145</v>
      </c>
      <c r="L238" s="6760" t="str">
        <f>VLOOKUP(K238,'COD.'!$A$1:$B$39,2,0)</f>
        <v xml:space="preserve">Ocio y Entretenimiento </v>
      </c>
    </row>
    <row r="239" spans="1:12" x14ac:dyDescent="0.2">
      <c r="A239" s="6255" t="s">
        <v>456</v>
      </c>
      <c r="B239" s="1897" t="s">
        <v>436</v>
      </c>
      <c r="C239" s="6013">
        <f t="shared" si="3"/>
        <v>8</v>
      </c>
      <c r="D239" s="1898" t="s">
        <v>463</v>
      </c>
      <c r="E239" s="1899" t="s">
        <v>10</v>
      </c>
      <c r="F239" s="1900">
        <v>-21</v>
      </c>
      <c r="G239" s="1901" t="s">
        <v>11</v>
      </c>
      <c r="H239" s="1902">
        <v>5508.21</v>
      </c>
      <c r="I239" s="1903" t="s">
        <v>11</v>
      </c>
      <c r="J239" s="1904" t="s">
        <v>464</v>
      </c>
      <c r="K239" s="5940" t="s">
        <v>1145</v>
      </c>
      <c r="L239" s="6760" t="str">
        <f>VLOOKUP(K239,'COD.'!$A$1:$B$39,2,0)</f>
        <v xml:space="preserve">Ocio y Entretenimiento </v>
      </c>
    </row>
    <row r="240" spans="1:12" x14ac:dyDescent="0.2">
      <c r="A240" s="6256" t="s">
        <v>456</v>
      </c>
      <c r="B240" s="1905" t="s">
        <v>456</v>
      </c>
      <c r="C240" s="6013">
        <f t="shared" si="3"/>
        <v>8</v>
      </c>
      <c r="D240" s="1906" t="s">
        <v>147</v>
      </c>
      <c r="E240" s="1907" t="s">
        <v>465</v>
      </c>
      <c r="F240" s="1908">
        <v>-78.2</v>
      </c>
      <c r="G240" s="1909" t="s">
        <v>11</v>
      </c>
      <c r="H240" s="1910">
        <v>5529.21</v>
      </c>
      <c r="I240" s="1911" t="s">
        <v>11</v>
      </c>
      <c r="J240" s="1912" t="s">
        <v>466</v>
      </c>
      <c r="K240" s="5940" t="s">
        <v>1152</v>
      </c>
      <c r="L240" s="6760" t="str">
        <f>VLOOKUP(K240,'COD.'!$A$1:$B$39,2,0)</f>
        <v xml:space="preserve">Suministros </v>
      </c>
    </row>
    <row r="241" spans="1:12" x14ac:dyDescent="0.2">
      <c r="A241" s="6257" t="s">
        <v>467</v>
      </c>
      <c r="B241" s="1913" t="s">
        <v>467</v>
      </c>
      <c r="C241" s="6013">
        <f t="shared" si="3"/>
        <v>8</v>
      </c>
      <c r="D241" s="1914" t="s">
        <v>129</v>
      </c>
      <c r="E241" s="1915" t="s">
        <v>10</v>
      </c>
      <c r="F241" s="1916">
        <v>-7.5</v>
      </c>
      <c r="G241" s="1917" t="s">
        <v>11</v>
      </c>
      <c r="H241" s="1918">
        <v>5607.41</v>
      </c>
      <c r="I241" s="1919" t="s">
        <v>11</v>
      </c>
      <c r="J241" s="1920" t="s">
        <v>130</v>
      </c>
      <c r="K241" s="5940" t="s">
        <v>1147</v>
      </c>
      <c r="L241" s="6760" t="str">
        <f>VLOOKUP(K241,'COD.'!$A$1:$B$39,2,0)</f>
        <v xml:space="preserve">Otros Gastos Generales </v>
      </c>
    </row>
    <row r="242" spans="1:12" x14ac:dyDescent="0.2">
      <c r="A242" s="6258" t="s">
        <v>467</v>
      </c>
      <c r="B242" s="1921" t="s">
        <v>467</v>
      </c>
      <c r="C242" s="6013">
        <f t="shared" si="3"/>
        <v>8</v>
      </c>
      <c r="D242" s="1922" t="s">
        <v>60</v>
      </c>
      <c r="E242" s="1923" t="s">
        <v>468</v>
      </c>
      <c r="F242" s="1924">
        <v>40</v>
      </c>
      <c r="G242" s="1925" t="s">
        <v>11</v>
      </c>
      <c r="H242" s="1926">
        <v>5614.91</v>
      </c>
      <c r="I242" s="1927" t="s">
        <v>11</v>
      </c>
      <c r="J242" s="1928" t="s">
        <v>469</v>
      </c>
      <c r="K242" s="5984" t="s">
        <v>1152</v>
      </c>
      <c r="L242" s="6760" t="str">
        <f>VLOOKUP(K242,'COD.'!$A$1:$B$39,2,0)</f>
        <v xml:space="preserve">Suministros </v>
      </c>
    </row>
    <row r="243" spans="1:12" x14ac:dyDescent="0.2">
      <c r="A243" s="6259" t="s">
        <v>470</v>
      </c>
      <c r="B243" s="1929" t="s">
        <v>470</v>
      </c>
      <c r="C243" s="6013">
        <f t="shared" si="3"/>
        <v>8</v>
      </c>
      <c r="D243" s="1930" t="s">
        <v>42</v>
      </c>
      <c r="E243" s="1931" t="s">
        <v>10</v>
      </c>
      <c r="F243" s="1932">
        <v>-8.9</v>
      </c>
      <c r="G243" s="1933" t="s">
        <v>11</v>
      </c>
      <c r="H243" s="1934">
        <v>5574.91</v>
      </c>
      <c r="I243" s="1935" t="s">
        <v>11</v>
      </c>
      <c r="J243" s="1936" t="s">
        <v>43</v>
      </c>
      <c r="K243" s="5940" t="s">
        <v>1146</v>
      </c>
      <c r="L243" s="6760" t="str">
        <f>VLOOKUP(K243,'COD.'!$A$1:$B$39,2,0)</f>
        <v xml:space="preserve">Supermercado </v>
      </c>
    </row>
    <row r="244" spans="1:12" x14ac:dyDescent="0.2">
      <c r="A244" s="6260" t="s">
        <v>471</v>
      </c>
      <c r="B244" s="1937" t="s">
        <v>471</v>
      </c>
      <c r="C244" s="6013">
        <f t="shared" si="3"/>
        <v>8</v>
      </c>
      <c r="D244" s="1938" t="s">
        <v>334</v>
      </c>
      <c r="E244" s="1939" t="s">
        <v>10</v>
      </c>
      <c r="F244" s="1940">
        <v>-5.83</v>
      </c>
      <c r="G244" s="1941" t="s">
        <v>11</v>
      </c>
      <c r="H244" s="1942">
        <v>5583.81</v>
      </c>
      <c r="I244" s="1943" t="s">
        <v>11</v>
      </c>
      <c r="J244" s="1944" t="s">
        <v>335</v>
      </c>
      <c r="K244" s="5940" t="s">
        <v>1148</v>
      </c>
      <c r="L244" s="6760" t="str">
        <f>VLOOKUP(K244,'COD.'!$A$1:$B$39,2,0)</f>
        <v xml:space="preserve">Supermercado </v>
      </c>
    </row>
    <row r="245" spans="1:12" x14ac:dyDescent="0.2">
      <c r="A245" s="6261" t="s">
        <v>472</v>
      </c>
      <c r="B245" s="1945" t="s">
        <v>471</v>
      </c>
      <c r="C245" s="6013">
        <f t="shared" si="3"/>
        <v>8</v>
      </c>
      <c r="D245" s="1946" t="s">
        <v>473</v>
      </c>
      <c r="E245" s="1947" t="s">
        <v>10</v>
      </c>
      <c r="F245" s="1948">
        <v>-103</v>
      </c>
      <c r="G245" s="1949" t="s">
        <v>11</v>
      </c>
      <c r="H245" s="1950">
        <v>5589.64</v>
      </c>
      <c r="I245" s="1951" t="s">
        <v>11</v>
      </c>
      <c r="J245" s="1952" t="s">
        <v>474</v>
      </c>
      <c r="K245" s="5988" t="s">
        <v>1149</v>
      </c>
      <c r="L245" s="6760" t="str">
        <f>VLOOKUP(K245,'COD.'!$A$1:$B$39,2,0)</f>
        <v xml:space="preserve">Ocio y Entretenimiento </v>
      </c>
    </row>
    <row r="246" spans="1:12" x14ac:dyDescent="0.2">
      <c r="A246" s="6262" t="s">
        <v>471</v>
      </c>
      <c r="B246" s="1953" t="s">
        <v>471</v>
      </c>
      <c r="C246" s="6013">
        <f t="shared" si="3"/>
        <v>8</v>
      </c>
      <c r="D246" s="1954" t="s">
        <v>475</v>
      </c>
      <c r="E246" s="1955" t="s">
        <v>10</v>
      </c>
      <c r="F246" s="1956">
        <v>39.99</v>
      </c>
      <c r="G246" s="1957" t="s">
        <v>11</v>
      </c>
      <c r="H246" s="1958">
        <v>5692.64</v>
      </c>
      <c r="I246" s="1959" t="s">
        <v>11</v>
      </c>
      <c r="J246" s="1960" t="s">
        <v>476</v>
      </c>
      <c r="K246" s="5940" t="s">
        <v>1149</v>
      </c>
      <c r="L246" s="6760" t="str">
        <f>VLOOKUP(K246,'COD.'!$A$1:$B$39,2,0)</f>
        <v xml:space="preserve">Ocio y Entretenimiento </v>
      </c>
    </row>
    <row r="247" spans="1:12" x14ac:dyDescent="0.2">
      <c r="A247" s="6263" t="s">
        <v>471</v>
      </c>
      <c r="B247" s="1961" t="s">
        <v>471</v>
      </c>
      <c r="C247" s="6013">
        <f t="shared" si="3"/>
        <v>8</v>
      </c>
      <c r="D247" s="1962" t="s">
        <v>179</v>
      </c>
      <c r="E247" s="1963" t="s">
        <v>180</v>
      </c>
      <c r="F247" s="1964">
        <v>-92.48</v>
      </c>
      <c r="G247" s="1965" t="s">
        <v>11</v>
      </c>
      <c r="H247" s="1966">
        <v>5652.65</v>
      </c>
      <c r="I247" s="1967" t="s">
        <v>11</v>
      </c>
      <c r="J247" s="1968" t="s">
        <v>181</v>
      </c>
      <c r="K247" s="5980" t="s">
        <v>179</v>
      </c>
      <c r="L247" s="6760" t="str">
        <f>VLOOKUP(K247,'COD.'!$A$1:$B$39,2,0)</f>
        <v xml:space="preserve">Vivienda y Préstamos </v>
      </c>
    </row>
    <row r="248" spans="1:12" x14ac:dyDescent="0.2">
      <c r="A248" s="6264" t="s">
        <v>477</v>
      </c>
      <c r="B248" s="1969" t="s">
        <v>471</v>
      </c>
      <c r="C248" s="6013">
        <f t="shared" si="3"/>
        <v>8</v>
      </c>
      <c r="D248" s="1970" t="s">
        <v>163</v>
      </c>
      <c r="E248" s="1971" t="s">
        <v>164</v>
      </c>
      <c r="F248" s="1972">
        <v>-59.45</v>
      </c>
      <c r="G248" s="1973" t="s">
        <v>11</v>
      </c>
      <c r="H248" s="1974">
        <v>5745.13</v>
      </c>
      <c r="I248" s="1975" t="s">
        <v>11</v>
      </c>
      <c r="J248" s="1976" t="s">
        <v>165</v>
      </c>
      <c r="K248" s="5976" t="s">
        <v>1160</v>
      </c>
      <c r="L248" s="6760" t="str">
        <f>VLOOKUP(K248,'COD.'!$A$1:$B$39,2,0)</f>
        <v xml:space="preserve">Vivienda y Préstamos </v>
      </c>
    </row>
    <row r="249" spans="1:12" x14ac:dyDescent="0.2">
      <c r="A249" s="6265" t="s">
        <v>477</v>
      </c>
      <c r="B249" s="1977" t="s">
        <v>477</v>
      </c>
      <c r="C249" s="6013">
        <f t="shared" si="3"/>
        <v>8</v>
      </c>
      <c r="D249" s="1978" t="s">
        <v>103</v>
      </c>
      <c r="E249" s="1979" t="s">
        <v>10</v>
      </c>
      <c r="F249" s="1980">
        <v>-47.46</v>
      </c>
      <c r="G249" s="1981" t="s">
        <v>11</v>
      </c>
      <c r="H249" s="1982">
        <v>5804.58</v>
      </c>
      <c r="I249" s="1983" t="s">
        <v>11</v>
      </c>
      <c r="J249" s="1984" t="s">
        <v>104</v>
      </c>
      <c r="K249" s="5940" t="s">
        <v>1148</v>
      </c>
      <c r="L249" s="6760" t="str">
        <f>VLOOKUP(K249,'COD.'!$A$1:$B$39,2,0)</f>
        <v xml:space="preserve">Supermercado </v>
      </c>
    </row>
    <row r="250" spans="1:12" x14ac:dyDescent="0.2">
      <c r="A250" s="6266" t="s">
        <v>478</v>
      </c>
      <c r="B250" s="1985" t="s">
        <v>477</v>
      </c>
      <c r="C250" s="6013">
        <f t="shared" si="3"/>
        <v>7</v>
      </c>
      <c r="D250" s="1986" t="s">
        <v>479</v>
      </c>
      <c r="E250" s="1987" t="s">
        <v>10</v>
      </c>
      <c r="F250" s="1988">
        <v>-27.9</v>
      </c>
      <c r="G250" s="1989" t="s">
        <v>11</v>
      </c>
      <c r="H250" s="1990">
        <v>5852.04</v>
      </c>
      <c r="I250" s="1991" t="s">
        <v>11</v>
      </c>
      <c r="J250" s="1992" t="s">
        <v>480</v>
      </c>
      <c r="K250" s="5940" t="s">
        <v>1161</v>
      </c>
      <c r="L250" s="6760" t="str">
        <f>VLOOKUP(K250,'COD.'!$A$1:$B$39,2,0)</f>
        <v xml:space="preserve">Ocio y Entretenimiento </v>
      </c>
    </row>
    <row r="251" spans="1:12" x14ac:dyDescent="0.2">
      <c r="A251" s="6267" t="s">
        <v>481</v>
      </c>
      <c r="B251" s="1993" t="s">
        <v>477</v>
      </c>
      <c r="C251" s="6013">
        <f t="shared" si="3"/>
        <v>8</v>
      </c>
      <c r="D251" s="1994" t="s">
        <v>158</v>
      </c>
      <c r="E251" s="1995" t="s">
        <v>10</v>
      </c>
      <c r="F251" s="1996">
        <v>-0.99</v>
      </c>
      <c r="G251" s="1997" t="s">
        <v>11</v>
      </c>
      <c r="H251" s="1998">
        <v>5879.94</v>
      </c>
      <c r="I251" s="1999" t="s">
        <v>11</v>
      </c>
      <c r="J251" s="2000" t="s">
        <v>159</v>
      </c>
      <c r="K251" s="6010" t="s">
        <v>1177</v>
      </c>
      <c r="L251" s="6760" t="str">
        <f>VLOOKUP(K251,'COD.'!$A$1:$B$39,2,0)</f>
        <v xml:space="preserve">Ocio y Entretenimiento </v>
      </c>
    </row>
    <row r="252" spans="1:12" x14ac:dyDescent="0.2">
      <c r="A252" s="6268" t="s">
        <v>472</v>
      </c>
      <c r="B252" s="2001" t="s">
        <v>477</v>
      </c>
      <c r="C252" s="6013">
        <f t="shared" si="3"/>
        <v>8</v>
      </c>
      <c r="D252" s="2002" t="s">
        <v>350</v>
      </c>
      <c r="E252" s="2003" t="s">
        <v>10</v>
      </c>
      <c r="F252" s="2004">
        <v>-4.55</v>
      </c>
      <c r="G252" s="2005" t="s">
        <v>11</v>
      </c>
      <c r="H252" s="2006">
        <v>5880.93</v>
      </c>
      <c r="I252" s="2007" t="s">
        <v>11</v>
      </c>
      <c r="J252" s="2008" t="s">
        <v>351</v>
      </c>
      <c r="K252" s="5940" t="s">
        <v>1145</v>
      </c>
      <c r="L252" s="6760" t="str">
        <f>VLOOKUP(K252,'COD.'!$A$1:$B$39,2,0)</f>
        <v xml:space="preserve">Ocio y Entretenimiento </v>
      </c>
    </row>
    <row r="253" spans="1:12" x14ac:dyDescent="0.2">
      <c r="A253" s="6269" t="s">
        <v>472</v>
      </c>
      <c r="B253" s="2009" t="s">
        <v>477</v>
      </c>
      <c r="C253" s="6013">
        <f t="shared" si="3"/>
        <v>8</v>
      </c>
      <c r="D253" s="2010" t="s">
        <v>92</v>
      </c>
      <c r="E253" s="2011" t="s">
        <v>10</v>
      </c>
      <c r="F253" s="2012">
        <v>-5.95</v>
      </c>
      <c r="G253" s="2013" t="s">
        <v>11</v>
      </c>
      <c r="H253" s="2014">
        <v>5885.48</v>
      </c>
      <c r="I253" s="2015" t="s">
        <v>11</v>
      </c>
      <c r="J253" s="2016" t="s">
        <v>93</v>
      </c>
      <c r="K253" s="5940" t="s">
        <v>1148</v>
      </c>
      <c r="L253" s="6760" t="str">
        <f>VLOOKUP(K253,'COD.'!$A$1:$B$39,2,0)</f>
        <v xml:space="preserve">Supermercado </v>
      </c>
    </row>
    <row r="254" spans="1:12" x14ac:dyDescent="0.2">
      <c r="A254" s="6270" t="s">
        <v>472</v>
      </c>
      <c r="B254" s="2017" t="s">
        <v>477</v>
      </c>
      <c r="C254" s="6013">
        <f t="shared" si="3"/>
        <v>8</v>
      </c>
      <c r="D254" s="2018" t="s">
        <v>24</v>
      </c>
      <c r="E254" s="2019" t="s">
        <v>10</v>
      </c>
      <c r="F254" s="2020">
        <v>-7.8</v>
      </c>
      <c r="G254" s="2021" t="s">
        <v>11</v>
      </c>
      <c r="H254" s="2022">
        <v>5891.43</v>
      </c>
      <c r="I254" s="2023" t="s">
        <v>11</v>
      </c>
      <c r="J254" s="2024" t="s">
        <v>25</v>
      </c>
      <c r="K254" s="5940" t="s">
        <v>1145</v>
      </c>
      <c r="L254" s="6760" t="str">
        <f>VLOOKUP(K254,'COD.'!$A$1:$B$39,2,0)</f>
        <v xml:space="preserve">Ocio y Entretenimiento </v>
      </c>
    </row>
    <row r="255" spans="1:12" x14ac:dyDescent="0.2">
      <c r="A255" s="6271" t="s">
        <v>472</v>
      </c>
      <c r="B255" s="2025" t="s">
        <v>477</v>
      </c>
      <c r="C255" s="6013">
        <f t="shared" si="3"/>
        <v>8</v>
      </c>
      <c r="D255" s="2026" t="s">
        <v>482</v>
      </c>
      <c r="E255" s="2027" t="s">
        <v>10</v>
      </c>
      <c r="F255" s="2028">
        <v>-7.99</v>
      </c>
      <c r="G255" s="2029" t="s">
        <v>11</v>
      </c>
      <c r="H255" s="2030">
        <v>5899.23</v>
      </c>
      <c r="I255" s="2031" t="s">
        <v>11</v>
      </c>
      <c r="J255" s="2032" t="s">
        <v>483</v>
      </c>
      <c r="K255" s="5940" t="s">
        <v>1145</v>
      </c>
      <c r="L255" s="6760" t="str">
        <f>VLOOKUP(K255,'COD.'!$A$1:$B$39,2,0)</f>
        <v xml:space="preserve">Ocio y Entretenimiento </v>
      </c>
    </row>
    <row r="256" spans="1:12" x14ac:dyDescent="0.2">
      <c r="A256" s="6272" t="s">
        <v>481</v>
      </c>
      <c r="B256" s="2033" t="s">
        <v>477</v>
      </c>
      <c r="C256" s="6013">
        <f t="shared" si="3"/>
        <v>8</v>
      </c>
      <c r="D256" s="2034" t="s">
        <v>484</v>
      </c>
      <c r="E256" s="2035" t="s">
        <v>10</v>
      </c>
      <c r="F256" s="2036">
        <v>-4.4000000000000004</v>
      </c>
      <c r="G256" s="2037" t="s">
        <v>11</v>
      </c>
      <c r="H256" s="2038">
        <v>5907.22</v>
      </c>
      <c r="I256" s="2039" t="s">
        <v>11</v>
      </c>
      <c r="J256" s="2040" t="s">
        <v>485</v>
      </c>
      <c r="K256" s="5940" t="s">
        <v>1148</v>
      </c>
      <c r="L256" s="6760" t="str">
        <f>VLOOKUP(K256,'COD.'!$A$1:$B$39,2,0)</f>
        <v xml:space="preserve">Supermercado </v>
      </c>
    </row>
    <row r="257" spans="1:12" x14ac:dyDescent="0.2">
      <c r="A257" s="6273" t="s">
        <v>481</v>
      </c>
      <c r="B257" s="2041" t="s">
        <v>477</v>
      </c>
      <c r="C257" s="6013">
        <f t="shared" si="3"/>
        <v>8</v>
      </c>
      <c r="D257" s="2042" t="s">
        <v>486</v>
      </c>
      <c r="E257" s="2043" t="s">
        <v>10</v>
      </c>
      <c r="F257" s="2044">
        <v>-3.56</v>
      </c>
      <c r="G257" s="2045" t="s">
        <v>11</v>
      </c>
      <c r="H257" s="2046">
        <v>5911.62</v>
      </c>
      <c r="I257" s="2047" t="s">
        <v>11</v>
      </c>
      <c r="J257" s="2048" t="s">
        <v>487</v>
      </c>
      <c r="K257" s="5940" t="s">
        <v>1146</v>
      </c>
      <c r="L257" s="6760" t="str">
        <f>VLOOKUP(K257,'COD.'!$A$1:$B$39,2,0)</f>
        <v xml:space="preserve">Supermercado </v>
      </c>
    </row>
    <row r="258" spans="1:12" x14ac:dyDescent="0.2">
      <c r="A258" s="6274" t="s">
        <v>481</v>
      </c>
      <c r="B258" s="2049" t="s">
        <v>477</v>
      </c>
      <c r="C258" s="6013">
        <f t="shared" si="3"/>
        <v>8</v>
      </c>
      <c r="D258" s="2050" t="s">
        <v>92</v>
      </c>
      <c r="E258" s="2051" t="s">
        <v>10</v>
      </c>
      <c r="F258" s="2052">
        <v>-16.32</v>
      </c>
      <c r="G258" s="2053" t="s">
        <v>11</v>
      </c>
      <c r="H258" s="2054">
        <v>5915.18</v>
      </c>
      <c r="I258" s="2055" t="s">
        <v>11</v>
      </c>
      <c r="J258" s="2056" t="s">
        <v>93</v>
      </c>
      <c r="K258" s="5940" t="s">
        <v>1148</v>
      </c>
      <c r="L258" s="6760" t="str">
        <f>VLOOKUP(K258,'COD.'!$A$1:$B$39,2,0)</f>
        <v xml:space="preserve">Supermercado </v>
      </c>
    </row>
    <row r="259" spans="1:12" x14ac:dyDescent="0.2">
      <c r="A259" s="6275" t="s">
        <v>481</v>
      </c>
      <c r="B259" s="2057" t="s">
        <v>477</v>
      </c>
      <c r="C259" s="6013">
        <f t="shared" ref="C259:C322" si="4">MONTH(A259)</f>
        <v>8</v>
      </c>
      <c r="D259" s="2058" t="s">
        <v>488</v>
      </c>
      <c r="E259" s="2059" t="s">
        <v>10</v>
      </c>
      <c r="F259" s="2060">
        <v>-12</v>
      </c>
      <c r="G259" s="2061" t="s">
        <v>11</v>
      </c>
      <c r="H259" s="2062">
        <v>5931.5</v>
      </c>
      <c r="I259" s="2063" t="s">
        <v>11</v>
      </c>
      <c r="J259" s="2064" t="s">
        <v>489</v>
      </c>
      <c r="K259" s="5940" t="s">
        <v>1145</v>
      </c>
      <c r="L259" s="6760" t="str">
        <f>VLOOKUP(K259,'COD.'!$A$1:$B$39,2,0)</f>
        <v xml:space="preserve">Ocio y Entretenimiento </v>
      </c>
    </row>
    <row r="260" spans="1:12" x14ac:dyDescent="0.2">
      <c r="A260" s="6276" t="s">
        <v>481</v>
      </c>
      <c r="B260" s="2065" t="s">
        <v>477</v>
      </c>
      <c r="C260" s="6013">
        <f t="shared" si="4"/>
        <v>8</v>
      </c>
      <c r="D260" s="2066" t="s">
        <v>490</v>
      </c>
      <c r="E260" s="2067" t="s">
        <v>10</v>
      </c>
      <c r="F260" s="2068">
        <v>-25.9</v>
      </c>
      <c r="G260" s="2069" t="s">
        <v>11</v>
      </c>
      <c r="H260" s="2070">
        <v>5943.5</v>
      </c>
      <c r="I260" s="2071" t="s">
        <v>11</v>
      </c>
      <c r="J260" s="2072" t="s">
        <v>491</v>
      </c>
      <c r="K260" s="5940" t="s">
        <v>1157</v>
      </c>
      <c r="L260" s="6760" t="str">
        <f>VLOOKUP(K260,'COD.'!$A$1:$B$39,2,0)</f>
        <v xml:space="preserve">Ocio y Entretenimiento </v>
      </c>
    </row>
    <row r="261" spans="1:12" x14ac:dyDescent="0.2">
      <c r="A261" s="6277" t="s">
        <v>481</v>
      </c>
      <c r="B261" s="2073" t="s">
        <v>477</v>
      </c>
      <c r="C261" s="6013">
        <f t="shared" si="4"/>
        <v>8</v>
      </c>
      <c r="D261" s="2074" t="s">
        <v>174</v>
      </c>
      <c r="E261" s="2075" t="s">
        <v>10</v>
      </c>
      <c r="F261" s="2076">
        <v>-1.47</v>
      </c>
      <c r="G261" s="2077" t="s">
        <v>11</v>
      </c>
      <c r="H261" s="2078">
        <v>5969.4</v>
      </c>
      <c r="I261" s="2079" t="s">
        <v>11</v>
      </c>
      <c r="J261" s="2080" t="s">
        <v>175</v>
      </c>
      <c r="K261" s="5940" t="s">
        <v>1145</v>
      </c>
      <c r="L261" s="6760" t="str">
        <f>VLOOKUP(K261,'COD.'!$A$1:$B$39,2,0)</f>
        <v xml:space="preserve">Ocio y Entretenimiento </v>
      </c>
    </row>
    <row r="262" spans="1:12" x14ac:dyDescent="0.2">
      <c r="A262" s="6278" t="s">
        <v>492</v>
      </c>
      <c r="B262" s="2081" t="s">
        <v>477</v>
      </c>
      <c r="C262" s="6013">
        <f t="shared" si="4"/>
        <v>8</v>
      </c>
      <c r="D262" s="2082" t="s">
        <v>183</v>
      </c>
      <c r="E262" s="2083" t="s">
        <v>10</v>
      </c>
      <c r="F262" s="2084">
        <v>-9</v>
      </c>
      <c r="G262" s="2085" t="s">
        <v>11</v>
      </c>
      <c r="H262" s="2086">
        <v>5970.87</v>
      </c>
      <c r="I262" s="2087" t="s">
        <v>11</v>
      </c>
      <c r="J262" s="2088" t="s">
        <v>184</v>
      </c>
      <c r="K262" s="5940" t="s">
        <v>1165</v>
      </c>
      <c r="L262" s="6760" t="str">
        <f>VLOOKUP(K262,'COD.'!$A$1:$B$39,2,0)</f>
        <v xml:space="preserve">Otros Gastos Generales </v>
      </c>
    </row>
    <row r="263" spans="1:12" x14ac:dyDescent="0.2">
      <c r="A263" s="6279" t="s">
        <v>492</v>
      </c>
      <c r="B263" s="2089" t="s">
        <v>492</v>
      </c>
      <c r="C263" s="6013">
        <f t="shared" si="4"/>
        <v>8</v>
      </c>
      <c r="D263" s="2090" t="s">
        <v>60</v>
      </c>
      <c r="E263" s="2091" t="s">
        <v>493</v>
      </c>
      <c r="F263" s="2092">
        <v>72</v>
      </c>
      <c r="G263" s="2093" t="s">
        <v>11</v>
      </c>
      <c r="H263" s="2094">
        <v>5979.87</v>
      </c>
      <c r="I263" s="2095" t="s">
        <v>11</v>
      </c>
      <c r="J263" s="2096" t="s">
        <v>494</v>
      </c>
      <c r="K263" s="5979" t="s">
        <v>1159</v>
      </c>
      <c r="L263" s="6760" t="str">
        <f>VLOOKUP(K263,'COD.'!$A$1:$B$39,2,0)</f>
        <v xml:space="preserve">Ocio y Entretenimiento </v>
      </c>
    </row>
    <row r="264" spans="1:12" x14ac:dyDescent="0.2">
      <c r="A264" s="6280" t="s">
        <v>492</v>
      </c>
      <c r="B264" s="2097" t="s">
        <v>492</v>
      </c>
      <c r="C264" s="6013">
        <f t="shared" si="4"/>
        <v>8</v>
      </c>
      <c r="D264" s="2098" t="s">
        <v>194</v>
      </c>
      <c r="E264" s="2099" t="s">
        <v>495</v>
      </c>
      <c r="F264" s="2100">
        <v>-50</v>
      </c>
      <c r="G264" s="2101" t="s">
        <v>11</v>
      </c>
      <c r="H264" s="2102">
        <v>5907.87</v>
      </c>
      <c r="I264" s="2103" t="s">
        <v>11</v>
      </c>
      <c r="J264" s="2104" t="s">
        <v>496</v>
      </c>
      <c r="K264" s="5940" t="s">
        <v>1154</v>
      </c>
      <c r="L264" s="6760" t="str">
        <f>VLOOKUP(K264,'COD.'!$A$1:$B$39,2,0)</f>
        <v xml:space="preserve">Vivienda y Préstamos </v>
      </c>
    </row>
    <row r="265" spans="1:12" x14ac:dyDescent="0.2">
      <c r="A265" s="6281" t="s">
        <v>492</v>
      </c>
      <c r="B265" s="2105" t="s">
        <v>492</v>
      </c>
      <c r="C265" s="6013">
        <f t="shared" si="4"/>
        <v>8</v>
      </c>
      <c r="D265" s="2106" t="s">
        <v>197</v>
      </c>
      <c r="E265" s="2107" t="s">
        <v>497</v>
      </c>
      <c r="F265" s="2108">
        <v>-32.5</v>
      </c>
      <c r="G265" s="2109" t="s">
        <v>11</v>
      </c>
      <c r="H265" s="2110">
        <v>5957.87</v>
      </c>
      <c r="I265" s="2111" t="s">
        <v>11</v>
      </c>
      <c r="J265" s="2112" t="s">
        <v>498</v>
      </c>
      <c r="K265" s="5940" t="s">
        <v>1155</v>
      </c>
      <c r="L265" s="6760" t="str">
        <f>VLOOKUP(K265,'COD.'!$A$1:$B$39,2,0)</f>
        <v xml:space="preserve">Ocio y Entretenimiento </v>
      </c>
    </row>
    <row r="266" spans="1:12" x14ac:dyDescent="0.2">
      <c r="A266" s="6282" t="s">
        <v>492</v>
      </c>
      <c r="B266" s="2113" t="s">
        <v>492</v>
      </c>
      <c r="C266" s="6013">
        <f t="shared" si="4"/>
        <v>8</v>
      </c>
      <c r="D266" s="2114" t="s">
        <v>191</v>
      </c>
      <c r="E266" s="2115" t="s">
        <v>192</v>
      </c>
      <c r="F266" s="2116">
        <v>-30</v>
      </c>
      <c r="G266" s="2117" t="s">
        <v>11</v>
      </c>
      <c r="H266" s="2118">
        <v>5990.37</v>
      </c>
      <c r="I266" s="2119" t="s">
        <v>11</v>
      </c>
      <c r="J266" s="2120" t="s">
        <v>193</v>
      </c>
      <c r="K266" s="5940" t="s">
        <v>1168</v>
      </c>
      <c r="L266" s="6760" t="str">
        <f>VLOOKUP(K266,'COD.'!$A$1:$B$39,2,0)</f>
        <v>Moto</v>
      </c>
    </row>
    <row r="267" spans="1:12" x14ac:dyDescent="0.2">
      <c r="A267" s="6283" t="s">
        <v>499</v>
      </c>
      <c r="B267" s="2121" t="s">
        <v>478</v>
      </c>
      <c r="C267" s="6013">
        <f t="shared" si="4"/>
        <v>7</v>
      </c>
      <c r="D267" s="2122" t="s">
        <v>14</v>
      </c>
      <c r="E267" s="2123" t="s">
        <v>10</v>
      </c>
      <c r="F267" s="2124">
        <v>-6.99</v>
      </c>
      <c r="G267" s="2125" t="s">
        <v>11</v>
      </c>
      <c r="H267" s="2126">
        <v>6020.37</v>
      </c>
      <c r="I267" s="2127" t="s">
        <v>11</v>
      </c>
      <c r="J267" s="2128" t="s">
        <v>15</v>
      </c>
      <c r="K267" s="6010" t="s">
        <v>1178</v>
      </c>
      <c r="L267" s="6760" t="str">
        <f>VLOOKUP(K267,'COD.'!$A$1:$B$39,2,0)</f>
        <v xml:space="preserve">Ocio y Entretenimiento </v>
      </c>
    </row>
    <row r="268" spans="1:12" x14ac:dyDescent="0.2">
      <c r="A268" s="6284" t="s">
        <v>500</v>
      </c>
      <c r="B268" s="2129" t="s">
        <v>478</v>
      </c>
      <c r="C268" s="6013">
        <f t="shared" si="4"/>
        <v>7</v>
      </c>
      <c r="D268" s="2130" t="s">
        <v>501</v>
      </c>
      <c r="E268" s="2131" t="s">
        <v>10</v>
      </c>
      <c r="F268" s="2132">
        <v>73.58</v>
      </c>
      <c r="G268" s="2133" t="s">
        <v>11</v>
      </c>
      <c r="H268" s="2134">
        <v>6027.36</v>
      </c>
      <c r="I268" s="2135" t="s">
        <v>11</v>
      </c>
      <c r="J268" s="2136" t="s">
        <v>502</v>
      </c>
      <c r="K268" s="5940" t="s">
        <v>1169</v>
      </c>
      <c r="L268" s="6760" t="str">
        <f>VLOOKUP(K268,'COD.'!$A$1:$B$39,2,0)</f>
        <v xml:space="preserve">Ocio y Entretenimiento </v>
      </c>
    </row>
    <row r="269" spans="1:12" x14ac:dyDescent="0.2">
      <c r="A269" s="6285" t="s">
        <v>478</v>
      </c>
      <c r="B269" s="2137" t="s">
        <v>478</v>
      </c>
      <c r="C269" s="6013">
        <f t="shared" si="4"/>
        <v>7</v>
      </c>
      <c r="D269" s="2138" t="s">
        <v>19</v>
      </c>
      <c r="E269" s="2139" t="s">
        <v>20</v>
      </c>
      <c r="F269" s="2140">
        <v>-461.91</v>
      </c>
      <c r="G269" s="2141" t="s">
        <v>11</v>
      </c>
      <c r="H269" s="2142">
        <v>5953.78</v>
      </c>
      <c r="I269" s="2143" t="s">
        <v>11</v>
      </c>
      <c r="J269" s="2144" t="s">
        <v>21</v>
      </c>
      <c r="K269" s="5942" t="s">
        <v>1170</v>
      </c>
      <c r="L269" s="6760" t="str">
        <f>VLOOKUP(K269,'COD.'!$A$1:$B$39,2,0)</f>
        <v xml:space="preserve">Vivienda y Préstamos </v>
      </c>
    </row>
    <row r="270" spans="1:12" x14ac:dyDescent="0.2">
      <c r="A270" s="6286" t="s">
        <v>499</v>
      </c>
      <c r="B270" s="2145" t="s">
        <v>499</v>
      </c>
      <c r="C270" s="6013">
        <f t="shared" si="4"/>
        <v>7</v>
      </c>
      <c r="D270" s="2146" t="s">
        <v>503</v>
      </c>
      <c r="E270" s="2147" t="s">
        <v>10</v>
      </c>
      <c r="F270" s="2148">
        <v>-5.6</v>
      </c>
      <c r="G270" s="2149" t="s">
        <v>11</v>
      </c>
      <c r="H270" s="2150">
        <v>6415.69</v>
      </c>
      <c r="I270" s="2151" t="s">
        <v>11</v>
      </c>
      <c r="J270" s="2152" t="s">
        <v>504</v>
      </c>
      <c r="K270" s="5940" t="s">
        <v>1145</v>
      </c>
      <c r="L270" s="6760" t="str">
        <f>VLOOKUP(K270,'COD.'!$A$1:$B$39,2,0)</f>
        <v xml:space="preserve">Ocio y Entretenimiento </v>
      </c>
    </row>
    <row r="271" spans="1:12" x14ac:dyDescent="0.2">
      <c r="A271" s="6287" t="s">
        <v>499</v>
      </c>
      <c r="B271" s="2153" t="s">
        <v>499</v>
      </c>
      <c r="C271" s="6013">
        <f t="shared" si="4"/>
        <v>7</v>
      </c>
      <c r="D271" s="2154" t="s">
        <v>60</v>
      </c>
      <c r="E271" s="2155" t="s">
        <v>505</v>
      </c>
      <c r="F271" s="2156">
        <v>-75</v>
      </c>
      <c r="G271" s="2157" t="s">
        <v>11</v>
      </c>
      <c r="H271" s="2158">
        <v>6421.29</v>
      </c>
      <c r="I271" s="2159" t="s">
        <v>11</v>
      </c>
      <c r="J271" s="2160" t="s">
        <v>506</v>
      </c>
      <c r="K271" s="5982" t="s">
        <v>60</v>
      </c>
      <c r="L271" s="6760" t="str">
        <f>VLOOKUP(K271,'COD.'!$A$1:$B$39,2,0)</f>
        <v xml:space="preserve">Transferencias y Efectivo </v>
      </c>
    </row>
    <row r="272" spans="1:12" x14ac:dyDescent="0.2">
      <c r="A272" s="6288" t="s">
        <v>500</v>
      </c>
      <c r="B272" s="2161" t="s">
        <v>500</v>
      </c>
      <c r="C272" s="6013">
        <f t="shared" si="4"/>
        <v>7</v>
      </c>
      <c r="D272" s="2162" t="s">
        <v>103</v>
      </c>
      <c r="E272" s="2163" t="s">
        <v>10</v>
      </c>
      <c r="F272" s="2164">
        <v>-21.03</v>
      </c>
      <c r="G272" s="2165" t="s">
        <v>11</v>
      </c>
      <c r="H272" s="2166">
        <v>6496.29</v>
      </c>
      <c r="I272" s="2167" t="s">
        <v>11</v>
      </c>
      <c r="J272" s="2168" t="s">
        <v>104</v>
      </c>
      <c r="K272" s="5940" t="s">
        <v>1148</v>
      </c>
      <c r="L272" s="6760" t="str">
        <f>VLOOKUP(K272,'COD.'!$A$1:$B$39,2,0)</f>
        <v xml:space="preserve">Supermercado </v>
      </c>
    </row>
    <row r="273" spans="1:12" x14ac:dyDescent="0.2">
      <c r="A273" s="6289" t="s">
        <v>500</v>
      </c>
      <c r="B273" s="2169" t="s">
        <v>500</v>
      </c>
      <c r="C273" s="6013">
        <f t="shared" si="4"/>
        <v>7</v>
      </c>
      <c r="D273" s="2170" t="s">
        <v>507</v>
      </c>
      <c r="E273" s="2171" t="s">
        <v>10</v>
      </c>
      <c r="F273" s="2172">
        <v>-13.8</v>
      </c>
      <c r="G273" s="2173" t="s">
        <v>11</v>
      </c>
      <c r="H273" s="2174">
        <v>6517.32</v>
      </c>
      <c r="I273" s="2175" t="s">
        <v>11</v>
      </c>
      <c r="J273" s="2176" t="s">
        <v>508</v>
      </c>
      <c r="K273" s="5940" t="s">
        <v>1145</v>
      </c>
      <c r="L273" s="6760" t="str">
        <f>VLOOKUP(K273,'COD.'!$A$1:$B$39,2,0)</f>
        <v xml:space="preserve">Ocio y Entretenimiento </v>
      </c>
    </row>
    <row r="274" spans="1:12" x14ac:dyDescent="0.2">
      <c r="A274" s="6290" t="s">
        <v>509</v>
      </c>
      <c r="B274" s="2177" t="s">
        <v>509</v>
      </c>
      <c r="C274" s="6013">
        <f t="shared" si="4"/>
        <v>7</v>
      </c>
      <c r="D274" s="2178" t="s">
        <v>510</v>
      </c>
      <c r="E274" s="2179" t="s">
        <v>10</v>
      </c>
      <c r="F274" s="2180">
        <v>-62.55</v>
      </c>
      <c r="G274" s="2181" t="s">
        <v>11</v>
      </c>
      <c r="H274" s="2182">
        <v>6531.12</v>
      </c>
      <c r="I274" s="2183" t="s">
        <v>11</v>
      </c>
      <c r="J274" s="2184" t="s">
        <v>511</v>
      </c>
      <c r="K274" s="5940" t="s">
        <v>1146</v>
      </c>
      <c r="L274" s="6760" t="str">
        <f>VLOOKUP(K274,'COD.'!$A$1:$B$39,2,0)</f>
        <v xml:space="preserve">Supermercado </v>
      </c>
    </row>
    <row r="275" spans="1:12" x14ac:dyDescent="0.2">
      <c r="A275" s="6291" t="s">
        <v>509</v>
      </c>
      <c r="B275" s="2185" t="s">
        <v>509</v>
      </c>
      <c r="C275" s="6013">
        <f t="shared" si="4"/>
        <v>7</v>
      </c>
      <c r="D275" s="2186" t="s">
        <v>512</v>
      </c>
      <c r="E275" s="2187" t="s">
        <v>10</v>
      </c>
      <c r="F275" s="2188">
        <v>-1.7</v>
      </c>
      <c r="G275" s="2189" t="s">
        <v>11</v>
      </c>
      <c r="H275" s="2190">
        <v>6593.67</v>
      </c>
      <c r="I275" s="2191" t="s">
        <v>11</v>
      </c>
      <c r="J275" s="2192" t="s">
        <v>513</v>
      </c>
      <c r="K275" s="5940" t="s">
        <v>1145</v>
      </c>
      <c r="L275" s="6760" t="str">
        <f>VLOOKUP(K275,'COD.'!$A$1:$B$39,2,0)</f>
        <v xml:space="preserve">Ocio y Entretenimiento </v>
      </c>
    </row>
    <row r="276" spans="1:12" x14ac:dyDescent="0.2">
      <c r="A276" s="6292" t="s">
        <v>509</v>
      </c>
      <c r="B276" s="2193" t="s">
        <v>509</v>
      </c>
      <c r="C276" s="6013">
        <f t="shared" si="4"/>
        <v>7</v>
      </c>
      <c r="D276" s="2194" t="s">
        <v>16</v>
      </c>
      <c r="E276" s="2195" t="s">
        <v>514</v>
      </c>
      <c r="F276" s="2196">
        <v>-89.77</v>
      </c>
      <c r="G276" s="2197" t="s">
        <v>11</v>
      </c>
      <c r="H276" s="2198">
        <v>6595.37</v>
      </c>
      <c r="I276" s="2199" t="s">
        <v>11</v>
      </c>
      <c r="J276" s="2200" t="s">
        <v>515</v>
      </c>
      <c r="K276" s="5941" t="s">
        <v>1188</v>
      </c>
      <c r="L276" s="6760" t="str">
        <f>VLOOKUP(K276,'COD.'!$A$1:$B$39,2,0)</f>
        <v xml:space="preserve">Suministros </v>
      </c>
    </row>
    <row r="277" spans="1:12" x14ac:dyDescent="0.2">
      <c r="A277" s="6293" t="s">
        <v>509</v>
      </c>
      <c r="B277" s="2201" t="s">
        <v>509</v>
      </c>
      <c r="C277" s="6013">
        <f t="shared" si="4"/>
        <v>7</v>
      </c>
      <c r="D277" s="2202" t="s">
        <v>29</v>
      </c>
      <c r="E277" s="2203" t="s">
        <v>30</v>
      </c>
      <c r="F277" s="2204">
        <v>1867.53</v>
      </c>
      <c r="G277" s="2205" t="s">
        <v>11</v>
      </c>
      <c r="H277" s="2206">
        <v>6685.14</v>
      </c>
      <c r="I277" s="2207" t="s">
        <v>11</v>
      </c>
      <c r="J277" s="2208" t="s">
        <v>30</v>
      </c>
      <c r="K277" s="5989" t="s">
        <v>1144</v>
      </c>
      <c r="L277" s="6760" t="str">
        <f>VLOOKUP(K277,'COD.'!$A$1:$B$39,2,0)</f>
        <v xml:space="preserve">Transferencias y Efectivo </v>
      </c>
    </row>
    <row r="278" spans="1:12" x14ac:dyDescent="0.2">
      <c r="A278" s="6294" t="s">
        <v>516</v>
      </c>
      <c r="B278" s="2209" t="s">
        <v>509</v>
      </c>
      <c r="C278" s="6013">
        <f t="shared" si="4"/>
        <v>7</v>
      </c>
      <c r="D278" s="2210" t="s">
        <v>517</v>
      </c>
      <c r="E278" s="2211" t="s">
        <v>10</v>
      </c>
      <c r="F278" s="2212">
        <v>-4.05</v>
      </c>
      <c r="G278" s="2213" t="s">
        <v>11</v>
      </c>
      <c r="H278" s="2214">
        <v>4817.6099999999997</v>
      </c>
      <c r="I278" s="2215" t="s">
        <v>11</v>
      </c>
      <c r="J278" s="2216" t="s">
        <v>518</v>
      </c>
      <c r="K278" s="5940" t="s">
        <v>1145</v>
      </c>
      <c r="L278" s="6760" t="str">
        <f>VLOOKUP(K278,'COD.'!$A$1:$B$39,2,0)</f>
        <v xml:space="preserve">Ocio y Entretenimiento </v>
      </c>
    </row>
    <row r="279" spans="1:12" x14ac:dyDescent="0.2">
      <c r="A279" s="6295" t="s">
        <v>516</v>
      </c>
      <c r="B279" s="2217" t="s">
        <v>509</v>
      </c>
      <c r="C279" s="6013">
        <f t="shared" si="4"/>
        <v>7</v>
      </c>
      <c r="D279" s="2218" t="s">
        <v>174</v>
      </c>
      <c r="E279" s="2219" t="s">
        <v>10</v>
      </c>
      <c r="F279" s="2220">
        <v>-3.59</v>
      </c>
      <c r="G279" s="2221" t="s">
        <v>11</v>
      </c>
      <c r="H279" s="2222">
        <v>4821.66</v>
      </c>
      <c r="I279" s="2223" t="s">
        <v>11</v>
      </c>
      <c r="J279" s="2224" t="s">
        <v>175</v>
      </c>
      <c r="K279" s="5940" t="s">
        <v>1145</v>
      </c>
      <c r="L279" s="6760" t="str">
        <f>VLOOKUP(K279,'COD.'!$A$1:$B$39,2,0)</f>
        <v xml:space="preserve">Ocio y Entretenimiento </v>
      </c>
    </row>
    <row r="280" spans="1:12" x14ac:dyDescent="0.2">
      <c r="A280" s="6296" t="s">
        <v>519</v>
      </c>
      <c r="B280" s="2225" t="s">
        <v>509</v>
      </c>
      <c r="C280" s="6013">
        <f t="shared" si="4"/>
        <v>7</v>
      </c>
      <c r="D280" s="2226" t="s">
        <v>520</v>
      </c>
      <c r="E280" s="2227" t="s">
        <v>10</v>
      </c>
      <c r="F280" s="2228">
        <v>-35</v>
      </c>
      <c r="G280" s="2229" t="s">
        <v>11</v>
      </c>
      <c r="H280" s="2230">
        <v>4825.25</v>
      </c>
      <c r="I280" s="2231" t="s">
        <v>11</v>
      </c>
      <c r="J280" s="2232" t="s">
        <v>521</v>
      </c>
      <c r="K280" s="5940" t="s">
        <v>1145</v>
      </c>
      <c r="L280" s="6760" t="str">
        <f>VLOOKUP(K280,'COD.'!$A$1:$B$39,2,0)</f>
        <v xml:space="preserve">Ocio y Entretenimiento </v>
      </c>
    </row>
    <row r="281" spans="1:12" x14ac:dyDescent="0.2">
      <c r="A281" s="6297" t="s">
        <v>519</v>
      </c>
      <c r="B281" s="2233" t="s">
        <v>509</v>
      </c>
      <c r="C281" s="6013">
        <f t="shared" si="4"/>
        <v>7</v>
      </c>
      <c r="D281" s="2234" t="s">
        <v>520</v>
      </c>
      <c r="E281" s="2235" t="s">
        <v>10</v>
      </c>
      <c r="F281" s="2236">
        <v>-6.7</v>
      </c>
      <c r="G281" s="2237" t="s">
        <v>11</v>
      </c>
      <c r="H281" s="2238">
        <v>4860.25</v>
      </c>
      <c r="I281" s="2239" t="s">
        <v>11</v>
      </c>
      <c r="J281" s="2240" t="s">
        <v>521</v>
      </c>
      <c r="K281" s="5940" t="s">
        <v>1145</v>
      </c>
      <c r="L281" s="6760" t="str">
        <f>VLOOKUP(K281,'COD.'!$A$1:$B$39,2,0)</f>
        <v xml:space="preserve">Ocio y Entretenimiento </v>
      </c>
    </row>
    <row r="282" spans="1:12" x14ac:dyDescent="0.2">
      <c r="A282" s="6298" t="s">
        <v>519</v>
      </c>
      <c r="B282" s="2241" t="s">
        <v>509</v>
      </c>
      <c r="C282" s="6013">
        <f t="shared" si="4"/>
        <v>7</v>
      </c>
      <c r="D282" s="2242" t="s">
        <v>522</v>
      </c>
      <c r="E282" s="2243" t="s">
        <v>10</v>
      </c>
      <c r="F282" s="2244">
        <v>-6.4</v>
      </c>
      <c r="G282" s="2245" t="s">
        <v>11</v>
      </c>
      <c r="H282" s="2246">
        <v>4866.95</v>
      </c>
      <c r="I282" s="2247" t="s">
        <v>11</v>
      </c>
      <c r="J282" s="2248" t="s">
        <v>523</v>
      </c>
      <c r="K282" s="5940" t="s">
        <v>1145</v>
      </c>
      <c r="L282" s="6760" t="str">
        <f>VLOOKUP(K282,'COD.'!$A$1:$B$39,2,0)</f>
        <v xml:space="preserve">Ocio y Entretenimiento </v>
      </c>
    </row>
    <row r="283" spans="1:12" x14ac:dyDescent="0.2">
      <c r="A283" s="6299" t="s">
        <v>519</v>
      </c>
      <c r="B283" s="2249" t="s">
        <v>509</v>
      </c>
      <c r="C283" s="6013">
        <f t="shared" si="4"/>
        <v>7</v>
      </c>
      <c r="D283" s="2250" t="s">
        <v>295</v>
      </c>
      <c r="E283" s="2251" t="s">
        <v>10</v>
      </c>
      <c r="F283" s="2252">
        <v>-7</v>
      </c>
      <c r="G283" s="2253" t="s">
        <v>11</v>
      </c>
      <c r="H283" s="2254">
        <v>4873.3500000000004</v>
      </c>
      <c r="I283" s="2255" t="s">
        <v>11</v>
      </c>
      <c r="J283" s="2256" t="s">
        <v>296</v>
      </c>
      <c r="K283" s="5940" t="s">
        <v>1147</v>
      </c>
      <c r="L283" s="6760" t="str">
        <f>VLOOKUP(K283,'COD.'!$A$1:$B$39,2,0)</f>
        <v xml:space="preserve">Otros Gastos Generales </v>
      </c>
    </row>
    <row r="284" spans="1:12" x14ac:dyDescent="0.2">
      <c r="A284" s="6300" t="s">
        <v>524</v>
      </c>
      <c r="B284" s="2257" t="s">
        <v>525</v>
      </c>
      <c r="C284" s="6013">
        <f t="shared" si="4"/>
        <v>7</v>
      </c>
      <c r="D284" s="2258" t="s">
        <v>526</v>
      </c>
      <c r="E284" s="2259" t="s">
        <v>10</v>
      </c>
      <c r="F284" s="2260">
        <v>-10.99</v>
      </c>
      <c r="G284" s="2261" t="s">
        <v>11</v>
      </c>
      <c r="H284" s="2262">
        <v>4880.3500000000004</v>
      </c>
      <c r="I284" s="2263" t="s">
        <v>11</v>
      </c>
      <c r="J284" s="2264" t="s">
        <v>527</v>
      </c>
      <c r="K284" s="5940" t="s">
        <v>1173</v>
      </c>
      <c r="L284" s="6760" t="str">
        <f>VLOOKUP(K284,'COD.'!$A$1:$B$39,2,0)</f>
        <v xml:space="preserve">Ocio y Entretenimiento </v>
      </c>
    </row>
    <row r="285" spans="1:12" x14ac:dyDescent="0.2">
      <c r="A285" s="6301" t="s">
        <v>528</v>
      </c>
      <c r="B285" s="2265" t="s">
        <v>525</v>
      </c>
      <c r="C285" s="6013">
        <f t="shared" si="4"/>
        <v>7</v>
      </c>
      <c r="D285" s="2266" t="s">
        <v>338</v>
      </c>
      <c r="E285" s="2267" t="s">
        <v>10</v>
      </c>
      <c r="F285" s="2268">
        <v>-16.89</v>
      </c>
      <c r="G285" s="2269" t="s">
        <v>11</v>
      </c>
      <c r="H285" s="2270">
        <v>4891.34</v>
      </c>
      <c r="I285" s="2271" t="s">
        <v>11</v>
      </c>
      <c r="J285" s="2272" t="s">
        <v>339</v>
      </c>
      <c r="K285" s="5940" t="s">
        <v>1148</v>
      </c>
      <c r="L285" s="6760" t="str">
        <f>VLOOKUP(K285,'COD.'!$A$1:$B$39,2,0)</f>
        <v xml:space="preserve">Supermercado </v>
      </c>
    </row>
    <row r="286" spans="1:12" x14ac:dyDescent="0.2">
      <c r="A286" s="6302" t="s">
        <v>528</v>
      </c>
      <c r="B286" s="2273" t="s">
        <v>528</v>
      </c>
      <c r="C286" s="6013">
        <f t="shared" si="4"/>
        <v>7</v>
      </c>
      <c r="D286" s="2274" t="s">
        <v>90</v>
      </c>
      <c r="E286" s="2275" t="s">
        <v>10</v>
      </c>
      <c r="F286" s="2276">
        <v>-10.9</v>
      </c>
      <c r="G286" s="2277" t="s">
        <v>11</v>
      </c>
      <c r="H286" s="2278">
        <v>4908.2299999999996</v>
      </c>
      <c r="I286" s="2279" t="s">
        <v>11</v>
      </c>
      <c r="J286" s="2280" t="s">
        <v>91</v>
      </c>
      <c r="K286" s="5940" t="s">
        <v>1156</v>
      </c>
      <c r="L286" s="6760" t="str">
        <f>VLOOKUP(K286,'COD.'!$A$1:$B$39,2,0)</f>
        <v>Moto</v>
      </c>
    </row>
    <row r="287" spans="1:12" x14ac:dyDescent="0.2">
      <c r="A287" s="6303" t="s">
        <v>529</v>
      </c>
      <c r="B287" s="2281" t="s">
        <v>528</v>
      </c>
      <c r="C287" s="6013">
        <f t="shared" si="4"/>
        <v>7</v>
      </c>
      <c r="D287" s="2282" t="s">
        <v>530</v>
      </c>
      <c r="E287" s="2283" t="s">
        <v>10</v>
      </c>
      <c r="F287" s="2284">
        <v>-31.98</v>
      </c>
      <c r="G287" s="2285" t="s">
        <v>11</v>
      </c>
      <c r="H287" s="2286">
        <v>4919.13</v>
      </c>
      <c r="I287" s="2287" t="s">
        <v>11</v>
      </c>
      <c r="J287" s="2288" t="s">
        <v>531</v>
      </c>
      <c r="K287" s="5940" t="s">
        <v>1149</v>
      </c>
      <c r="L287" s="6760" t="str">
        <f>VLOOKUP(K287,'COD.'!$A$1:$B$39,2,0)</f>
        <v xml:space="preserve">Ocio y Entretenimiento </v>
      </c>
    </row>
    <row r="288" spans="1:12" x14ac:dyDescent="0.2">
      <c r="A288" s="6304" t="s">
        <v>532</v>
      </c>
      <c r="B288" s="2289" t="s">
        <v>528</v>
      </c>
      <c r="C288" s="6013">
        <f t="shared" si="4"/>
        <v>7</v>
      </c>
      <c r="D288" s="2290" t="s">
        <v>533</v>
      </c>
      <c r="E288" s="2291" t="s">
        <v>10</v>
      </c>
      <c r="F288" s="2292">
        <v>-123</v>
      </c>
      <c r="G288" s="2293" t="s">
        <v>11</v>
      </c>
      <c r="H288" s="2294">
        <v>4951.1099999999997</v>
      </c>
      <c r="I288" s="2295" t="s">
        <v>11</v>
      </c>
      <c r="J288" s="2296" t="s">
        <v>534</v>
      </c>
      <c r="K288" s="5990" t="s">
        <v>1149</v>
      </c>
      <c r="L288" s="6760" t="str">
        <f>VLOOKUP(K288,'COD.'!$A$1:$B$39,2,0)</f>
        <v xml:space="preserve">Ocio y Entretenimiento </v>
      </c>
    </row>
    <row r="289" spans="1:12" x14ac:dyDescent="0.2">
      <c r="A289" s="6305" t="s">
        <v>529</v>
      </c>
      <c r="B289" s="2297" t="s">
        <v>528</v>
      </c>
      <c r="C289" s="6013">
        <f t="shared" si="4"/>
        <v>7</v>
      </c>
      <c r="D289" s="2298" t="s">
        <v>501</v>
      </c>
      <c r="E289" s="2299" t="s">
        <v>10</v>
      </c>
      <c r="F289" s="2300">
        <v>-96.67</v>
      </c>
      <c r="G289" s="2301" t="s">
        <v>11</v>
      </c>
      <c r="H289" s="2302">
        <v>5074.1099999999997</v>
      </c>
      <c r="I289" s="2303" t="s">
        <v>11</v>
      </c>
      <c r="J289" s="2304" t="s">
        <v>502</v>
      </c>
      <c r="K289" s="5940" t="s">
        <v>1169</v>
      </c>
      <c r="L289" s="6760" t="str">
        <f>VLOOKUP(K289,'COD.'!$A$1:$B$39,2,0)</f>
        <v xml:space="preserve">Ocio y Entretenimiento </v>
      </c>
    </row>
    <row r="290" spans="1:12" x14ac:dyDescent="0.2">
      <c r="A290" s="6306" t="s">
        <v>529</v>
      </c>
      <c r="B290" s="2305" t="s">
        <v>524</v>
      </c>
      <c r="C290" s="6013">
        <f t="shared" si="4"/>
        <v>7</v>
      </c>
      <c r="D290" s="2306" t="s">
        <v>475</v>
      </c>
      <c r="E290" s="2307" t="s">
        <v>10</v>
      </c>
      <c r="F290" s="2308">
        <v>-65.98</v>
      </c>
      <c r="G290" s="2309" t="s">
        <v>11</v>
      </c>
      <c r="H290" s="2310">
        <v>5170.78</v>
      </c>
      <c r="I290" s="2311" t="s">
        <v>11</v>
      </c>
      <c r="J290" s="2312" t="s">
        <v>476</v>
      </c>
      <c r="K290" s="5940" t="s">
        <v>1149</v>
      </c>
      <c r="L290" s="6760" t="str">
        <f>VLOOKUP(K290,'COD.'!$A$1:$B$39,2,0)</f>
        <v xml:space="preserve">Ocio y Entretenimiento </v>
      </c>
    </row>
    <row r="291" spans="1:12" x14ac:dyDescent="0.2">
      <c r="A291" s="6307" t="s">
        <v>535</v>
      </c>
      <c r="B291" s="2313" t="s">
        <v>532</v>
      </c>
      <c r="C291" s="6013">
        <f t="shared" si="4"/>
        <v>7</v>
      </c>
      <c r="D291" s="2314" t="s">
        <v>536</v>
      </c>
      <c r="E291" s="2315" t="s">
        <v>10</v>
      </c>
      <c r="F291" s="2316">
        <v>-49.9</v>
      </c>
      <c r="G291" s="2317" t="s">
        <v>11</v>
      </c>
      <c r="H291" s="2318">
        <v>5236.76</v>
      </c>
      <c r="I291" s="2319" t="s">
        <v>11</v>
      </c>
      <c r="J291" s="2320" t="s">
        <v>537</v>
      </c>
      <c r="K291" s="5991" t="s">
        <v>1176</v>
      </c>
      <c r="L291" s="6760" t="str">
        <f>VLOOKUP(K291,'COD.'!$A$1:$B$39,2,0)</f>
        <v xml:space="preserve">Ocio y Entretenimiento </v>
      </c>
    </row>
    <row r="292" spans="1:12" x14ac:dyDescent="0.2">
      <c r="A292" s="6308" t="s">
        <v>535</v>
      </c>
      <c r="B292" s="2321" t="s">
        <v>532</v>
      </c>
      <c r="C292" s="6013">
        <f t="shared" si="4"/>
        <v>7</v>
      </c>
      <c r="D292" s="2322" t="s">
        <v>69</v>
      </c>
      <c r="E292" s="2323" t="s">
        <v>10</v>
      </c>
      <c r="F292" s="2324">
        <v>-4.6900000000000004</v>
      </c>
      <c r="G292" s="2325" t="s">
        <v>11</v>
      </c>
      <c r="H292" s="2326">
        <v>5286.66</v>
      </c>
      <c r="I292" s="2327" t="s">
        <v>11</v>
      </c>
      <c r="J292" s="2328" t="s">
        <v>70</v>
      </c>
      <c r="K292" s="5940" t="s">
        <v>1148</v>
      </c>
      <c r="L292" s="6760" t="str">
        <f>VLOOKUP(K292,'COD.'!$A$1:$B$39,2,0)</f>
        <v xml:space="preserve">Supermercado </v>
      </c>
    </row>
    <row r="293" spans="1:12" x14ac:dyDescent="0.2">
      <c r="A293" s="6309" t="s">
        <v>535</v>
      </c>
      <c r="B293" s="2329" t="s">
        <v>532</v>
      </c>
      <c r="C293" s="6013">
        <f t="shared" si="4"/>
        <v>7</v>
      </c>
      <c r="D293" s="2330" t="s">
        <v>538</v>
      </c>
      <c r="E293" s="2331" t="s">
        <v>10</v>
      </c>
      <c r="F293" s="2332">
        <v>-26</v>
      </c>
      <c r="G293" s="2333" t="s">
        <v>11</v>
      </c>
      <c r="H293" s="2334">
        <v>5291.35</v>
      </c>
      <c r="I293" s="2335" t="s">
        <v>11</v>
      </c>
      <c r="J293" s="2336" t="s">
        <v>539</v>
      </c>
      <c r="K293" s="5992" t="s">
        <v>1162</v>
      </c>
      <c r="L293" s="6760" t="str">
        <f>VLOOKUP(K293,'COD.'!$A$1:$B$39,2,0)</f>
        <v xml:space="preserve">Ocio y Entretenimiento </v>
      </c>
    </row>
    <row r="294" spans="1:12" x14ac:dyDescent="0.2">
      <c r="A294" s="6310" t="s">
        <v>535</v>
      </c>
      <c r="B294" s="2337" t="s">
        <v>532</v>
      </c>
      <c r="C294" s="6013">
        <f t="shared" si="4"/>
        <v>7</v>
      </c>
      <c r="D294" s="2338" t="s">
        <v>540</v>
      </c>
      <c r="E294" s="2339" t="s">
        <v>10</v>
      </c>
      <c r="F294" s="2340">
        <v>-6.75</v>
      </c>
      <c r="G294" s="2341" t="s">
        <v>11</v>
      </c>
      <c r="H294" s="2342">
        <v>5317.35</v>
      </c>
      <c r="I294" s="2343" t="s">
        <v>11</v>
      </c>
      <c r="J294" s="2344" t="s">
        <v>541</v>
      </c>
      <c r="K294" s="5940" t="s">
        <v>1147</v>
      </c>
      <c r="L294" s="6760" t="str">
        <f>VLOOKUP(K294,'COD.'!$A$1:$B$39,2,0)</f>
        <v xml:space="preserve">Otros Gastos Generales </v>
      </c>
    </row>
    <row r="295" spans="1:12" x14ac:dyDescent="0.2">
      <c r="A295" s="6311" t="s">
        <v>535</v>
      </c>
      <c r="B295" s="2345" t="s">
        <v>532</v>
      </c>
      <c r="C295" s="6013">
        <f t="shared" si="4"/>
        <v>7</v>
      </c>
      <c r="D295" s="2346" t="s">
        <v>205</v>
      </c>
      <c r="E295" s="2347" t="s">
        <v>10</v>
      </c>
      <c r="F295" s="2348">
        <v>-5.05</v>
      </c>
      <c r="G295" s="2349" t="s">
        <v>11</v>
      </c>
      <c r="H295" s="2350">
        <v>5324.1</v>
      </c>
      <c r="I295" s="2351" t="s">
        <v>11</v>
      </c>
      <c r="J295" s="2352" t="s">
        <v>542</v>
      </c>
      <c r="K295" s="5940" t="s">
        <v>1145</v>
      </c>
      <c r="L295" s="6760" t="str">
        <f>VLOOKUP(K295,'COD.'!$A$1:$B$39,2,0)</f>
        <v xml:space="preserve">Ocio y Entretenimiento </v>
      </c>
    </row>
    <row r="296" spans="1:12" x14ac:dyDescent="0.2">
      <c r="A296" s="6312" t="s">
        <v>543</v>
      </c>
      <c r="B296" s="2353" t="s">
        <v>543</v>
      </c>
      <c r="C296" s="6013">
        <f t="shared" si="4"/>
        <v>7</v>
      </c>
      <c r="D296" s="2354" t="s">
        <v>39</v>
      </c>
      <c r="E296" s="2355" t="s">
        <v>10</v>
      </c>
      <c r="F296" s="2356">
        <v>-2.04</v>
      </c>
      <c r="G296" s="2357" t="s">
        <v>11</v>
      </c>
      <c r="H296" s="2358">
        <v>5329.15</v>
      </c>
      <c r="I296" s="2359" t="s">
        <v>11</v>
      </c>
      <c r="J296" s="2360" t="s">
        <v>111</v>
      </c>
      <c r="K296" s="5940" t="s">
        <v>443</v>
      </c>
      <c r="L296" s="6760" t="str">
        <f>VLOOKUP(K296,'COD.'!$A$1:$B$39,2,0)</f>
        <v xml:space="preserve">Salud y Cuidado </v>
      </c>
    </row>
    <row r="297" spans="1:12" x14ac:dyDescent="0.2">
      <c r="A297" s="6313" t="s">
        <v>543</v>
      </c>
      <c r="B297" s="2361" t="s">
        <v>543</v>
      </c>
      <c r="C297" s="6013">
        <f t="shared" si="4"/>
        <v>7</v>
      </c>
      <c r="D297" s="2362" t="s">
        <v>544</v>
      </c>
      <c r="E297" s="2363" t="s">
        <v>10</v>
      </c>
      <c r="F297" s="2364">
        <v>-4.0599999999999996</v>
      </c>
      <c r="G297" s="2365" t="s">
        <v>11</v>
      </c>
      <c r="H297" s="2366">
        <v>5331.19</v>
      </c>
      <c r="I297" s="2367" t="s">
        <v>11</v>
      </c>
      <c r="J297" s="2368" t="s">
        <v>545</v>
      </c>
      <c r="K297" s="5940" t="s">
        <v>1148</v>
      </c>
      <c r="L297" s="6760" t="str">
        <f>VLOOKUP(K297,'COD.'!$A$1:$B$39,2,0)</f>
        <v xml:space="preserve">Supermercado </v>
      </c>
    </row>
    <row r="298" spans="1:12" x14ac:dyDescent="0.2">
      <c r="A298" s="6314" t="s">
        <v>543</v>
      </c>
      <c r="B298" s="2369" t="s">
        <v>543</v>
      </c>
      <c r="C298" s="6013">
        <f t="shared" si="4"/>
        <v>7</v>
      </c>
      <c r="D298" s="2370" t="s">
        <v>212</v>
      </c>
      <c r="E298" s="2371" t="s">
        <v>10</v>
      </c>
      <c r="F298" s="2372">
        <v>-23.9</v>
      </c>
      <c r="G298" s="2373" t="s">
        <v>11</v>
      </c>
      <c r="H298" s="2374">
        <v>5335.25</v>
      </c>
      <c r="I298" s="2375" t="s">
        <v>11</v>
      </c>
      <c r="J298" s="2376" t="s">
        <v>213</v>
      </c>
      <c r="K298" s="5940" t="s">
        <v>1146</v>
      </c>
      <c r="L298" s="6760" t="str">
        <f>VLOOKUP(K298,'COD.'!$A$1:$B$39,2,0)</f>
        <v xml:space="preserve">Supermercado </v>
      </c>
    </row>
    <row r="299" spans="1:12" x14ac:dyDescent="0.2">
      <c r="A299" s="6315" t="s">
        <v>546</v>
      </c>
      <c r="B299" s="2377" t="s">
        <v>547</v>
      </c>
      <c r="C299" s="6013">
        <f t="shared" si="4"/>
        <v>7</v>
      </c>
      <c r="D299" s="2378" t="s">
        <v>96</v>
      </c>
      <c r="E299" s="2379" t="s">
        <v>10</v>
      </c>
      <c r="F299" s="2380">
        <v>-2.99</v>
      </c>
      <c r="G299" s="2381" t="s">
        <v>11</v>
      </c>
      <c r="H299" s="2382">
        <v>5359.15</v>
      </c>
      <c r="I299" s="2383" t="s">
        <v>11</v>
      </c>
      <c r="J299" s="2384" t="s">
        <v>97</v>
      </c>
      <c r="K299" s="5972" t="s">
        <v>1150</v>
      </c>
      <c r="L299" s="6760" t="str">
        <f>VLOOKUP(K299,'COD.'!$A$1:$B$39,2,0)</f>
        <v xml:space="preserve">Ocio y Entretenimiento </v>
      </c>
    </row>
    <row r="300" spans="1:12" x14ac:dyDescent="0.2">
      <c r="A300" s="6316" t="s">
        <v>548</v>
      </c>
      <c r="B300" s="2385" t="s">
        <v>547</v>
      </c>
      <c r="C300" s="6013">
        <f t="shared" si="4"/>
        <v>7</v>
      </c>
      <c r="D300" s="2386" t="s">
        <v>549</v>
      </c>
      <c r="E300" s="2387" t="s">
        <v>10</v>
      </c>
      <c r="F300" s="2388">
        <v>185.54</v>
      </c>
      <c r="G300" s="2389" t="s">
        <v>11</v>
      </c>
      <c r="H300" s="2390">
        <v>5362.14</v>
      </c>
      <c r="I300" s="2391" t="s">
        <v>11</v>
      </c>
      <c r="J300" s="2392" t="s">
        <v>550</v>
      </c>
      <c r="K300" s="5940" t="s">
        <v>1169</v>
      </c>
      <c r="L300" s="6760" t="str">
        <f>VLOOKUP(K300,'COD.'!$A$1:$B$39,2,0)</f>
        <v xml:space="preserve">Ocio y Entretenimiento </v>
      </c>
    </row>
    <row r="301" spans="1:12" x14ac:dyDescent="0.2">
      <c r="A301" s="6317" t="s">
        <v>546</v>
      </c>
      <c r="B301" s="2393" t="s">
        <v>551</v>
      </c>
      <c r="C301" s="6013">
        <f t="shared" si="4"/>
        <v>7</v>
      </c>
      <c r="D301" s="2394" t="s">
        <v>552</v>
      </c>
      <c r="E301" s="2395" t="s">
        <v>10</v>
      </c>
      <c r="F301" s="2396">
        <v>-23.34</v>
      </c>
      <c r="G301" s="2397" t="s">
        <v>11</v>
      </c>
      <c r="H301" s="2398">
        <v>5176.6000000000004</v>
      </c>
      <c r="I301" s="2399" t="s">
        <v>11</v>
      </c>
      <c r="J301" s="2400" t="s">
        <v>553</v>
      </c>
      <c r="K301" s="5940" t="s">
        <v>1148</v>
      </c>
      <c r="L301" s="6760" t="str">
        <f>VLOOKUP(K301,'COD.'!$A$1:$B$39,2,0)</f>
        <v xml:space="preserve">Supermercado </v>
      </c>
    </row>
    <row r="302" spans="1:12" x14ac:dyDescent="0.2">
      <c r="A302" s="6318" t="s">
        <v>551</v>
      </c>
      <c r="B302" s="2401" t="s">
        <v>551</v>
      </c>
      <c r="C302" s="6013">
        <f t="shared" si="4"/>
        <v>7</v>
      </c>
      <c r="D302" s="2402" t="s">
        <v>119</v>
      </c>
      <c r="E302" s="2403" t="s">
        <v>10</v>
      </c>
      <c r="F302" s="2404">
        <v>-3.2</v>
      </c>
      <c r="G302" s="2405" t="s">
        <v>11</v>
      </c>
      <c r="H302" s="2406">
        <v>5199.9399999999996</v>
      </c>
      <c r="I302" s="2407" t="s">
        <v>11</v>
      </c>
      <c r="J302" s="2408" t="s">
        <v>120</v>
      </c>
      <c r="K302" s="5940" t="s">
        <v>1145</v>
      </c>
      <c r="L302" s="6760" t="str">
        <f>VLOOKUP(K302,'COD.'!$A$1:$B$39,2,0)</f>
        <v xml:space="preserve">Ocio y Entretenimiento </v>
      </c>
    </row>
    <row r="303" spans="1:12" x14ac:dyDescent="0.2">
      <c r="A303" s="6319" t="s">
        <v>554</v>
      </c>
      <c r="B303" s="2409" t="s">
        <v>554</v>
      </c>
      <c r="C303" s="6013">
        <f t="shared" si="4"/>
        <v>7</v>
      </c>
      <c r="D303" s="2410" t="s">
        <v>288</v>
      </c>
      <c r="E303" s="2411" t="s">
        <v>10</v>
      </c>
      <c r="F303" s="2412">
        <v>-6.8</v>
      </c>
      <c r="G303" s="2413" t="s">
        <v>11</v>
      </c>
      <c r="H303" s="2414">
        <v>5203.1400000000003</v>
      </c>
      <c r="I303" s="2415" t="s">
        <v>11</v>
      </c>
      <c r="J303" s="2416" t="s">
        <v>289</v>
      </c>
      <c r="K303" s="5993" t="s">
        <v>1145</v>
      </c>
      <c r="L303" s="6760" t="str">
        <f>VLOOKUP(K303,'COD.'!$A$1:$B$39,2,0)</f>
        <v xml:space="preserve">Ocio y Entretenimiento </v>
      </c>
    </row>
    <row r="304" spans="1:12" x14ac:dyDescent="0.2">
      <c r="A304" s="6320" t="s">
        <v>554</v>
      </c>
      <c r="B304" s="2417" t="s">
        <v>554</v>
      </c>
      <c r="C304" s="6013">
        <f t="shared" si="4"/>
        <v>7</v>
      </c>
      <c r="D304" s="2418" t="s">
        <v>555</v>
      </c>
      <c r="E304" s="2419" t="s">
        <v>10</v>
      </c>
      <c r="F304" s="2420">
        <v>-8.5</v>
      </c>
      <c r="G304" s="2421" t="s">
        <v>11</v>
      </c>
      <c r="H304" s="2422">
        <v>5209.9399999999996</v>
      </c>
      <c r="I304" s="2423" t="s">
        <v>11</v>
      </c>
      <c r="J304" s="2424" t="s">
        <v>556</v>
      </c>
      <c r="K304" s="5940" t="s">
        <v>1149</v>
      </c>
      <c r="L304" s="6760" t="str">
        <f>VLOOKUP(K304,'COD.'!$A$1:$B$39,2,0)</f>
        <v xml:space="preserve">Ocio y Entretenimiento </v>
      </c>
    </row>
    <row r="305" spans="1:12" x14ac:dyDescent="0.2">
      <c r="A305" s="6321" t="s">
        <v>554</v>
      </c>
      <c r="B305" s="2425" t="s">
        <v>554</v>
      </c>
      <c r="C305" s="6013">
        <f t="shared" si="4"/>
        <v>7</v>
      </c>
      <c r="D305" s="2426" t="s">
        <v>557</v>
      </c>
      <c r="E305" s="2427" t="s">
        <v>10</v>
      </c>
      <c r="F305" s="2428">
        <v>-4.8499999999999996</v>
      </c>
      <c r="G305" s="2429" t="s">
        <v>11</v>
      </c>
      <c r="H305" s="2430">
        <v>5218.4399999999996</v>
      </c>
      <c r="I305" s="2431" t="s">
        <v>11</v>
      </c>
      <c r="J305" s="2432" t="s">
        <v>558</v>
      </c>
      <c r="K305" s="5940" t="s">
        <v>1145</v>
      </c>
      <c r="L305" s="6760" t="str">
        <f>VLOOKUP(K305,'COD.'!$A$1:$B$39,2,0)</f>
        <v xml:space="preserve">Ocio y Entretenimiento </v>
      </c>
    </row>
    <row r="306" spans="1:12" x14ac:dyDescent="0.2">
      <c r="A306" s="6322" t="s">
        <v>548</v>
      </c>
      <c r="B306" s="2433" t="s">
        <v>546</v>
      </c>
      <c r="C306" s="6013">
        <f t="shared" si="4"/>
        <v>7</v>
      </c>
      <c r="D306" s="2434" t="s">
        <v>549</v>
      </c>
      <c r="E306" s="2435" t="s">
        <v>10</v>
      </c>
      <c r="F306" s="2436">
        <v>-185.54</v>
      </c>
      <c r="G306" s="2437" t="s">
        <v>11</v>
      </c>
      <c r="H306" s="2438">
        <v>5223.29</v>
      </c>
      <c r="I306" s="2439" t="s">
        <v>11</v>
      </c>
      <c r="J306" s="2440" t="s">
        <v>550</v>
      </c>
      <c r="K306" s="5940" t="s">
        <v>1169</v>
      </c>
      <c r="L306" s="6760" t="str">
        <f>VLOOKUP(K306,'COD.'!$A$1:$B$39,2,0)</f>
        <v xml:space="preserve">Ocio y Entretenimiento </v>
      </c>
    </row>
    <row r="307" spans="1:12" x14ac:dyDescent="0.2">
      <c r="A307" s="6323" t="s">
        <v>559</v>
      </c>
      <c r="B307" s="2441" t="s">
        <v>546</v>
      </c>
      <c r="C307" s="6013">
        <f t="shared" si="4"/>
        <v>7</v>
      </c>
      <c r="D307" s="2442" t="s">
        <v>172</v>
      </c>
      <c r="E307" s="2443" t="s">
        <v>10</v>
      </c>
      <c r="F307" s="2444">
        <v>-2</v>
      </c>
      <c r="G307" s="2445" t="s">
        <v>11</v>
      </c>
      <c r="H307" s="2446">
        <v>5408.83</v>
      </c>
      <c r="I307" s="2447" t="s">
        <v>11</v>
      </c>
      <c r="J307" s="2448" t="s">
        <v>173</v>
      </c>
      <c r="K307" s="5940" t="s">
        <v>1145</v>
      </c>
      <c r="L307" s="6760" t="str">
        <f>VLOOKUP(K307,'COD.'!$A$1:$B$39,2,0)</f>
        <v xml:space="preserve">Ocio y Entretenimiento </v>
      </c>
    </row>
    <row r="308" spans="1:12" x14ac:dyDescent="0.2">
      <c r="A308" s="6324" t="s">
        <v>560</v>
      </c>
      <c r="B308" s="2449" t="s">
        <v>546</v>
      </c>
      <c r="C308" s="6013">
        <f t="shared" si="4"/>
        <v>7</v>
      </c>
      <c r="D308" s="2450" t="s">
        <v>98</v>
      </c>
      <c r="E308" s="2451" t="s">
        <v>10</v>
      </c>
      <c r="F308" s="2452">
        <v>-11.45</v>
      </c>
      <c r="G308" s="2453" t="s">
        <v>11</v>
      </c>
      <c r="H308" s="2454">
        <v>5410.83</v>
      </c>
      <c r="I308" s="2455" t="s">
        <v>11</v>
      </c>
      <c r="J308" s="2456" t="s">
        <v>561</v>
      </c>
      <c r="K308" s="5940" t="s">
        <v>1145</v>
      </c>
      <c r="L308" s="6760" t="str">
        <f>VLOOKUP(K308,'COD.'!$A$1:$B$39,2,0)</f>
        <v xml:space="preserve">Ocio y Entretenimiento </v>
      </c>
    </row>
    <row r="309" spans="1:12" x14ac:dyDescent="0.2">
      <c r="A309" s="6325" t="s">
        <v>560</v>
      </c>
      <c r="B309" s="2457" t="s">
        <v>546</v>
      </c>
      <c r="C309" s="6013">
        <f t="shared" si="4"/>
        <v>7</v>
      </c>
      <c r="D309" s="2458" t="s">
        <v>562</v>
      </c>
      <c r="E309" s="2459" t="s">
        <v>10</v>
      </c>
      <c r="F309" s="2460">
        <v>-3.48</v>
      </c>
      <c r="G309" s="2461" t="s">
        <v>11</v>
      </c>
      <c r="H309" s="2462">
        <v>5422.28</v>
      </c>
      <c r="I309" s="2463" t="s">
        <v>11</v>
      </c>
      <c r="J309" s="2464" t="s">
        <v>563</v>
      </c>
      <c r="K309" s="5940" t="s">
        <v>1158</v>
      </c>
      <c r="L309" s="6760" t="str">
        <f>VLOOKUP(K309,'COD.'!$A$1:$B$39,2,0)</f>
        <v xml:space="preserve">Vivienda y Préstamos </v>
      </c>
    </row>
    <row r="310" spans="1:12" x14ac:dyDescent="0.2">
      <c r="A310" s="6326" t="s">
        <v>560</v>
      </c>
      <c r="B310" s="2465" t="s">
        <v>546</v>
      </c>
      <c r="C310" s="6013">
        <f t="shared" si="4"/>
        <v>7</v>
      </c>
      <c r="D310" s="2466" t="s">
        <v>129</v>
      </c>
      <c r="E310" s="2467" t="s">
        <v>10</v>
      </c>
      <c r="F310" s="2468">
        <v>-6.3</v>
      </c>
      <c r="G310" s="2469" t="s">
        <v>11</v>
      </c>
      <c r="H310" s="2470">
        <v>5425.76</v>
      </c>
      <c r="I310" s="2471" t="s">
        <v>11</v>
      </c>
      <c r="J310" s="2472" t="s">
        <v>130</v>
      </c>
      <c r="K310" s="5940" t="s">
        <v>1147</v>
      </c>
      <c r="L310" s="6760" t="str">
        <f>VLOOKUP(K310,'COD.'!$A$1:$B$39,2,0)</f>
        <v xml:space="preserve">Otros Gastos Generales </v>
      </c>
    </row>
    <row r="311" spans="1:12" x14ac:dyDescent="0.2">
      <c r="A311" s="6327" t="s">
        <v>564</v>
      </c>
      <c r="B311" s="2473" t="s">
        <v>546</v>
      </c>
      <c r="C311" s="6013">
        <f t="shared" si="4"/>
        <v>7</v>
      </c>
      <c r="D311" s="2474" t="s">
        <v>350</v>
      </c>
      <c r="E311" s="2475" t="s">
        <v>10</v>
      </c>
      <c r="F311" s="2476">
        <v>-5.65</v>
      </c>
      <c r="G311" s="2477" t="s">
        <v>11</v>
      </c>
      <c r="H311" s="2478">
        <v>5432.06</v>
      </c>
      <c r="I311" s="2479" t="s">
        <v>11</v>
      </c>
      <c r="J311" s="2480" t="s">
        <v>351</v>
      </c>
      <c r="K311" s="5940" t="s">
        <v>1145</v>
      </c>
      <c r="L311" s="6760" t="str">
        <f>VLOOKUP(K311,'COD.'!$A$1:$B$39,2,0)</f>
        <v xml:space="preserve">Ocio y Entretenimiento </v>
      </c>
    </row>
    <row r="312" spans="1:12" x14ac:dyDescent="0.2">
      <c r="A312" s="6328" t="s">
        <v>564</v>
      </c>
      <c r="B312" s="2481" t="s">
        <v>564</v>
      </c>
      <c r="C312" s="6013">
        <f t="shared" si="4"/>
        <v>7</v>
      </c>
      <c r="D312" s="2482" t="s">
        <v>103</v>
      </c>
      <c r="E312" s="2483" t="s">
        <v>10</v>
      </c>
      <c r="F312" s="2484">
        <v>-38.36</v>
      </c>
      <c r="G312" s="2485" t="s">
        <v>11</v>
      </c>
      <c r="H312" s="2486">
        <v>5437.71</v>
      </c>
      <c r="I312" s="2487" t="s">
        <v>11</v>
      </c>
      <c r="J312" s="2488" t="s">
        <v>104</v>
      </c>
      <c r="K312" s="5940" t="s">
        <v>1148</v>
      </c>
      <c r="L312" s="6760" t="str">
        <f>VLOOKUP(K312,'COD.'!$A$1:$B$39,2,0)</f>
        <v xml:space="preserve">Supermercado </v>
      </c>
    </row>
    <row r="313" spans="1:12" x14ac:dyDescent="0.2">
      <c r="A313" s="6329" t="s">
        <v>548</v>
      </c>
      <c r="B313" s="2489" t="s">
        <v>564</v>
      </c>
      <c r="C313" s="6013">
        <f t="shared" si="4"/>
        <v>7</v>
      </c>
      <c r="D313" s="2490" t="s">
        <v>565</v>
      </c>
      <c r="E313" s="2491" t="s">
        <v>566</v>
      </c>
      <c r="F313" s="2492">
        <v>-185.54</v>
      </c>
      <c r="G313" s="2493" t="s">
        <v>11</v>
      </c>
      <c r="H313" s="2494">
        <v>5476.07</v>
      </c>
      <c r="I313" s="2495" t="s">
        <v>11</v>
      </c>
      <c r="J313" s="2496" t="s">
        <v>567</v>
      </c>
      <c r="K313" s="5940" t="s">
        <v>1169</v>
      </c>
      <c r="L313" s="6760" t="str">
        <f>VLOOKUP(K313,'COD.'!$A$1:$B$39,2,0)</f>
        <v xml:space="preserve">Ocio y Entretenimiento </v>
      </c>
    </row>
    <row r="314" spans="1:12" x14ac:dyDescent="0.2">
      <c r="A314" s="6330" t="s">
        <v>568</v>
      </c>
      <c r="B314" s="2497" t="s">
        <v>568</v>
      </c>
      <c r="C314" s="6013">
        <f t="shared" si="4"/>
        <v>7</v>
      </c>
      <c r="D314" s="2498" t="s">
        <v>510</v>
      </c>
      <c r="E314" s="2499" t="s">
        <v>10</v>
      </c>
      <c r="F314" s="2500">
        <v>-14.8</v>
      </c>
      <c r="G314" s="2501" t="s">
        <v>11</v>
      </c>
      <c r="H314" s="2502">
        <v>5661.61</v>
      </c>
      <c r="I314" s="2503" t="s">
        <v>11</v>
      </c>
      <c r="J314" s="2504" t="s">
        <v>511</v>
      </c>
      <c r="K314" s="5940" t="s">
        <v>1146</v>
      </c>
      <c r="L314" s="6760" t="str">
        <f>VLOOKUP(K314,'COD.'!$A$1:$B$39,2,0)</f>
        <v xml:space="preserve">Supermercado </v>
      </c>
    </row>
    <row r="315" spans="1:12" x14ac:dyDescent="0.2">
      <c r="A315" s="6331" t="s">
        <v>569</v>
      </c>
      <c r="B315" s="2505" t="s">
        <v>568</v>
      </c>
      <c r="C315" s="6013">
        <f t="shared" si="4"/>
        <v>7</v>
      </c>
      <c r="D315" s="2506" t="s">
        <v>570</v>
      </c>
      <c r="E315" s="2507" t="s">
        <v>10</v>
      </c>
      <c r="F315" s="2508">
        <v>-40.869999999999997</v>
      </c>
      <c r="G315" s="2509" t="s">
        <v>11</v>
      </c>
      <c r="H315" s="2510">
        <v>5676.41</v>
      </c>
      <c r="I315" s="2511" t="s">
        <v>11</v>
      </c>
      <c r="J315" s="2512" t="s">
        <v>571</v>
      </c>
      <c r="K315" s="5940" t="s">
        <v>1149</v>
      </c>
      <c r="L315" s="6760" t="str">
        <f>VLOOKUP(K315,'COD.'!$A$1:$B$39,2,0)</f>
        <v xml:space="preserve">Ocio y Entretenimiento </v>
      </c>
    </row>
    <row r="316" spans="1:12" x14ac:dyDescent="0.2">
      <c r="A316" s="6332" t="s">
        <v>568</v>
      </c>
      <c r="B316" s="2513" t="s">
        <v>568</v>
      </c>
      <c r="C316" s="6013">
        <f t="shared" si="4"/>
        <v>7</v>
      </c>
      <c r="D316" s="2514" t="s">
        <v>147</v>
      </c>
      <c r="E316" s="2515" t="s">
        <v>572</v>
      </c>
      <c r="F316" s="2516">
        <v>-78.2</v>
      </c>
      <c r="G316" s="2517" t="s">
        <v>11</v>
      </c>
      <c r="H316" s="2518">
        <v>5717.28</v>
      </c>
      <c r="I316" s="2519" t="s">
        <v>11</v>
      </c>
      <c r="J316" s="2520" t="s">
        <v>573</v>
      </c>
      <c r="K316" s="5940" t="s">
        <v>1152</v>
      </c>
      <c r="L316" s="6760" t="str">
        <f>VLOOKUP(K316,'COD.'!$A$1:$B$39,2,0)</f>
        <v xml:space="preserve">Suministros </v>
      </c>
    </row>
    <row r="317" spans="1:12" x14ac:dyDescent="0.2">
      <c r="A317" s="6333" t="s">
        <v>574</v>
      </c>
      <c r="B317" s="2521" t="s">
        <v>574</v>
      </c>
      <c r="C317" s="6013">
        <f t="shared" si="4"/>
        <v>7</v>
      </c>
      <c r="D317" s="2522" t="s">
        <v>334</v>
      </c>
      <c r="E317" s="2523" t="s">
        <v>10</v>
      </c>
      <c r="F317" s="2524">
        <v>-5.57</v>
      </c>
      <c r="G317" s="2525" t="s">
        <v>11</v>
      </c>
      <c r="H317" s="2526">
        <v>5795.48</v>
      </c>
      <c r="I317" s="2527" t="s">
        <v>11</v>
      </c>
      <c r="J317" s="2528" t="s">
        <v>335</v>
      </c>
      <c r="K317" s="5940" t="s">
        <v>1148</v>
      </c>
      <c r="L317" s="6760" t="str">
        <f>VLOOKUP(K317,'COD.'!$A$1:$B$39,2,0)</f>
        <v xml:space="preserve">Supermercado </v>
      </c>
    </row>
    <row r="318" spans="1:12" x14ac:dyDescent="0.2">
      <c r="A318" s="6334" t="s">
        <v>575</v>
      </c>
      <c r="B318" s="2529" t="s">
        <v>574</v>
      </c>
      <c r="C318" s="6013">
        <f t="shared" si="4"/>
        <v>7</v>
      </c>
      <c r="D318" s="2530" t="s">
        <v>576</v>
      </c>
      <c r="E318" s="2531" t="s">
        <v>10</v>
      </c>
      <c r="F318" s="2532">
        <v>-25.94</v>
      </c>
      <c r="G318" s="2533" t="s">
        <v>11</v>
      </c>
      <c r="H318" s="2534">
        <v>5801.05</v>
      </c>
      <c r="I318" s="2535" t="s">
        <v>11</v>
      </c>
      <c r="J318" s="2536" t="s">
        <v>577</v>
      </c>
      <c r="K318" s="5940" t="s">
        <v>1149</v>
      </c>
      <c r="L318" s="6760" t="str">
        <f>VLOOKUP(K318,'COD.'!$A$1:$B$39,2,0)</f>
        <v xml:space="preserve">Ocio y Entretenimiento </v>
      </c>
    </row>
    <row r="319" spans="1:12" x14ac:dyDescent="0.2">
      <c r="A319" s="6335" t="s">
        <v>575</v>
      </c>
      <c r="B319" s="2537" t="s">
        <v>574</v>
      </c>
      <c r="C319" s="6013">
        <f t="shared" si="4"/>
        <v>7</v>
      </c>
      <c r="D319" s="2538" t="s">
        <v>578</v>
      </c>
      <c r="E319" s="2539" t="s">
        <v>10</v>
      </c>
      <c r="F319" s="2540">
        <v>-34.979999999999997</v>
      </c>
      <c r="G319" s="2541" t="s">
        <v>11</v>
      </c>
      <c r="H319" s="2542">
        <v>5826.99</v>
      </c>
      <c r="I319" s="2543" t="s">
        <v>11</v>
      </c>
      <c r="J319" s="2544" t="s">
        <v>579</v>
      </c>
      <c r="K319" s="5940" t="s">
        <v>1149</v>
      </c>
      <c r="L319" s="6760" t="str">
        <f>VLOOKUP(K319,'COD.'!$A$1:$B$39,2,0)</f>
        <v xml:space="preserve">Ocio y Entretenimiento </v>
      </c>
    </row>
    <row r="320" spans="1:12" x14ac:dyDescent="0.2">
      <c r="A320" s="6336" t="s">
        <v>580</v>
      </c>
      <c r="B320" s="2545" t="s">
        <v>569</v>
      </c>
      <c r="C320" s="6013">
        <f t="shared" si="4"/>
        <v>7</v>
      </c>
      <c r="D320" s="2546" t="s">
        <v>212</v>
      </c>
      <c r="E320" s="2547" t="s">
        <v>10</v>
      </c>
      <c r="F320" s="2548">
        <v>-20.8</v>
      </c>
      <c r="G320" s="2549" t="s">
        <v>11</v>
      </c>
      <c r="H320" s="2550">
        <v>5861.97</v>
      </c>
      <c r="I320" s="2551" t="s">
        <v>11</v>
      </c>
      <c r="J320" s="2552" t="s">
        <v>581</v>
      </c>
      <c r="K320" s="5940" t="s">
        <v>1146</v>
      </c>
      <c r="L320" s="6760" t="str">
        <f>VLOOKUP(K320,'COD.'!$A$1:$B$39,2,0)</f>
        <v xml:space="preserve">Supermercado </v>
      </c>
    </row>
    <row r="321" spans="1:12" x14ac:dyDescent="0.2">
      <c r="A321" s="6337" t="s">
        <v>575</v>
      </c>
      <c r="B321" s="2553" t="s">
        <v>569</v>
      </c>
      <c r="C321" s="6013">
        <f t="shared" si="4"/>
        <v>7</v>
      </c>
      <c r="D321" s="2554" t="s">
        <v>73</v>
      </c>
      <c r="E321" s="2555" t="s">
        <v>10</v>
      </c>
      <c r="F321" s="2556">
        <v>-2</v>
      </c>
      <c r="G321" s="2557" t="s">
        <v>11</v>
      </c>
      <c r="H321" s="2558">
        <v>5882.77</v>
      </c>
      <c r="I321" s="2559" t="s">
        <v>11</v>
      </c>
      <c r="J321" s="2560" t="s">
        <v>74</v>
      </c>
      <c r="K321" s="5940" t="s">
        <v>1145</v>
      </c>
      <c r="L321" s="6760" t="str">
        <f>VLOOKUP(K321,'COD.'!$A$1:$B$39,2,0)</f>
        <v xml:space="preserve">Ocio y Entretenimiento </v>
      </c>
    </row>
    <row r="322" spans="1:12" x14ac:dyDescent="0.2">
      <c r="A322" s="6338" t="s">
        <v>580</v>
      </c>
      <c r="B322" s="2561" t="s">
        <v>569</v>
      </c>
      <c r="C322" s="6013">
        <f t="shared" si="4"/>
        <v>7</v>
      </c>
      <c r="D322" s="2562" t="s">
        <v>98</v>
      </c>
      <c r="E322" s="2563" t="s">
        <v>10</v>
      </c>
      <c r="F322" s="2564">
        <v>-2.1</v>
      </c>
      <c r="G322" s="2565" t="s">
        <v>11</v>
      </c>
      <c r="H322" s="2566">
        <v>5884.77</v>
      </c>
      <c r="I322" s="2567" t="s">
        <v>11</v>
      </c>
      <c r="J322" s="2568" t="s">
        <v>582</v>
      </c>
      <c r="K322" s="5940" t="s">
        <v>1145</v>
      </c>
      <c r="L322" s="6760" t="str">
        <f>VLOOKUP(K322,'COD.'!$A$1:$B$39,2,0)</f>
        <v xml:space="preserve">Ocio y Entretenimiento </v>
      </c>
    </row>
    <row r="323" spans="1:12" x14ac:dyDescent="0.2">
      <c r="A323" s="6339" t="s">
        <v>580</v>
      </c>
      <c r="B323" s="2569" t="s">
        <v>569</v>
      </c>
      <c r="C323" s="6013">
        <f t="shared" ref="C323:C386" si="5">MONTH(A323)</f>
        <v>7</v>
      </c>
      <c r="D323" s="2570" t="s">
        <v>103</v>
      </c>
      <c r="E323" s="2571" t="s">
        <v>10</v>
      </c>
      <c r="F323" s="2572">
        <v>-39.67</v>
      </c>
      <c r="G323" s="2573" t="s">
        <v>11</v>
      </c>
      <c r="H323" s="2574">
        <v>5886.87</v>
      </c>
      <c r="I323" s="2575" t="s">
        <v>11</v>
      </c>
      <c r="J323" s="2576" t="s">
        <v>104</v>
      </c>
      <c r="K323" s="5940" t="s">
        <v>1148</v>
      </c>
      <c r="L323" s="6760" t="str">
        <f>VLOOKUP(K323,'COD.'!$A$1:$B$39,2,0)</f>
        <v xml:space="preserve">Supermercado </v>
      </c>
    </row>
    <row r="324" spans="1:12" x14ac:dyDescent="0.2">
      <c r="A324" s="6340" t="s">
        <v>580</v>
      </c>
      <c r="B324" s="2577" t="s">
        <v>569</v>
      </c>
      <c r="C324" s="6013">
        <f t="shared" si="5"/>
        <v>7</v>
      </c>
      <c r="D324" s="2578" t="s">
        <v>538</v>
      </c>
      <c r="E324" s="2579" t="s">
        <v>10</v>
      </c>
      <c r="F324" s="2580">
        <v>-18</v>
      </c>
      <c r="G324" s="2581" t="s">
        <v>11</v>
      </c>
      <c r="H324" s="2582">
        <v>5926.54</v>
      </c>
      <c r="I324" s="2583" t="s">
        <v>11</v>
      </c>
      <c r="J324" s="2584" t="s">
        <v>539</v>
      </c>
      <c r="K324" s="5994" t="s">
        <v>1162</v>
      </c>
      <c r="L324" s="6760" t="str">
        <f>VLOOKUP(K324,'COD.'!$A$1:$B$39,2,0)</f>
        <v xml:space="preserve">Ocio y Entretenimiento </v>
      </c>
    </row>
    <row r="325" spans="1:12" x14ac:dyDescent="0.2">
      <c r="A325" s="6341" t="s">
        <v>580</v>
      </c>
      <c r="B325" s="2585" t="s">
        <v>569</v>
      </c>
      <c r="C325" s="6013">
        <f t="shared" si="5"/>
        <v>7</v>
      </c>
      <c r="D325" s="2586" t="s">
        <v>108</v>
      </c>
      <c r="E325" s="2587" t="s">
        <v>10</v>
      </c>
      <c r="F325" s="2588">
        <v>-2.94</v>
      </c>
      <c r="G325" s="2589" t="s">
        <v>11</v>
      </c>
      <c r="H325" s="2590">
        <v>5944.54</v>
      </c>
      <c r="I325" s="2591" t="s">
        <v>11</v>
      </c>
      <c r="J325" s="2592" t="s">
        <v>109</v>
      </c>
      <c r="K325" s="5940" t="s">
        <v>1145</v>
      </c>
      <c r="L325" s="6760" t="str">
        <f>VLOOKUP(K325,'COD.'!$A$1:$B$39,2,0)</f>
        <v xml:space="preserve">Ocio y Entretenimiento </v>
      </c>
    </row>
    <row r="326" spans="1:12" x14ac:dyDescent="0.2">
      <c r="A326" s="6342" t="s">
        <v>583</v>
      </c>
      <c r="B326" s="2593" t="s">
        <v>569</v>
      </c>
      <c r="C326" s="6013">
        <f t="shared" si="5"/>
        <v>7</v>
      </c>
      <c r="D326" s="2594" t="s">
        <v>584</v>
      </c>
      <c r="E326" s="2595" t="s">
        <v>10</v>
      </c>
      <c r="F326" s="2596">
        <v>-23.7</v>
      </c>
      <c r="G326" s="2597" t="s">
        <v>11</v>
      </c>
      <c r="H326" s="2598">
        <v>5947.48</v>
      </c>
      <c r="I326" s="2599" t="s">
        <v>11</v>
      </c>
      <c r="J326" s="2600" t="s">
        <v>585</v>
      </c>
      <c r="K326" s="5940" t="s">
        <v>1145</v>
      </c>
      <c r="L326" s="6760" t="str">
        <f>VLOOKUP(K326,'COD.'!$A$1:$B$39,2,0)</f>
        <v xml:space="preserve">Ocio y Entretenimiento </v>
      </c>
    </row>
    <row r="327" spans="1:12" x14ac:dyDescent="0.2">
      <c r="A327" s="6343" t="s">
        <v>583</v>
      </c>
      <c r="B327" s="2601" t="s">
        <v>569</v>
      </c>
      <c r="C327" s="6013">
        <f t="shared" si="5"/>
        <v>7</v>
      </c>
      <c r="D327" s="2602" t="s">
        <v>584</v>
      </c>
      <c r="E327" s="2603" t="s">
        <v>10</v>
      </c>
      <c r="F327" s="2604">
        <v>-3.9</v>
      </c>
      <c r="G327" s="2605" t="s">
        <v>11</v>
      </c>
      <c r="H327" s="2606">
        <v>5971.18</v>
      </c>
      <c r="I327" s="2607" t="s">
        <v>11</v>
      </c>
      <c r="J327" s="2608" t="s">
        <v>585</v>
      </c>
      <c r="K327" s="5940" t="s">
        <v>1145</v>
      </c>
      <c r="L327" s="6760" t="str">
        <f>VLOOKUP(K327,'COD.'!$A$1:$B$39,2,0)</f>
        <v xml:space="preserve">Ocio y Entretenimiento </v>
      </c>
    </row>
    <row r="328" spans="1:12" x14ac:dyDescent="0.2">
      <c r="A328" s="6344" t="s">
        <v>586</v>
      </c>
      <c r="B328" s="2609" t="s">
        <v>583</v>
      </c>
      <c r="C328" s="6013">
        <f t="shared" si="5"/>
        <v>7</v>
      </c>
      <c r="D328" s="2610" t="s">
        <v>158</v>
      </c>
      <c r="E328" s="2611" t="s">
        <v>10</v>
      </c>
      <c r="F328" s="2612">
        <v>-0.99</v>
      </c>
      <c r="G328" s="2613" t="s">
        <v>11</v>
      </c>
      <c r="H328" s="2614">
        <v>5975.08</v>
      </c>
      <c r="I328" s="2615" t="s">
        <v>11</v>
      </c>
      <c r="J328" s="2616" t="s">
        <v>159</v>
      </c>
      <c r="K328" s="6010" t="s">
        <v>1177</v>
      </c>
      <c r="L328" s="6760" t="str">
        <f>VLOOKUP(K328,'COD.'!$A$1:$B$39,2,0)</f>
        <v xml:space="preserve">Ocio y Entretenimiento </v>
      </c>
    </row>
    <row r="329" spans="1:12" x14ac:dyDescent="0.2">
      <c r="A329" s="6345" t="s">
        <v>583</v>
      </c>
      <c r="B329" s="2617" t="s">
        <v>583</v>
      </c>
      <c r="C329" s="6013">
        <f t="shared" si="5"/>
        <v>7</v>
      </c>
      <c r="D329" s="2618" t="s">
        <v>426</v>
      </c>
      <c r="E329" s="2619" t="s">
        <v>10</v>
      </c>
      <c r="F329" s="2620">
        <v>-0.95</v>
      </c>
      <c r="G329" s="2621" t="s">
        <v>11</v>
      </c>
      <c r="H329" s="2622">
        <v>5976.07</v>
      </c>
      <c r="I329" s="2623" t="s">
        <v>11</v>
      </c>
      <c r="J329" s="2624" t="s">
        <v>427</v>
      </c>
      <c r="K329" s="5940" t="s">
        <v>1145</v>
      </c>
      <c r="L329" s="6760" t="str">
        <f>VLOOKUP(K329,'COD.'!$A$1:$B$39,2,0)</f>
        <v xml:space="preserve">Ocio y Entretenimiento </v>
      </c>
    </row>
    <row r="330" spans="1:12" x14ac:dyDescent="0.2">
      <c r="A330" s="6346" t="s">
        <v>583</v>
      </c>
      <c r="B330" s="2625" t="s">
        <v>583</v>
      </c>
      <c r="C330" s="6013">
        <f t="shared" si="5"/>
        <v>7</v>
      </c>
      <c r="D330" s="2626" t="s">
        <v>60</v>
      </c>
      <c r="E330" s="2627" t="s">
        <v>493</v>
      </c>
      <c r="F330" s="2628">
        <v>72</v>
      </c>
      <c r="G330" s="2629" t="s">
        <v>11</v>
      </c>
      <c r="H330" s="2630">
        <v>5977.02</v>
      </c>
      <c r="I330" s="2631" t="s">
        <v>11</v>
      </c>
      <c r="J330" s="2632" t="s">
        <v>494</v>
      </c>
      <c r="K330" s="5979" t="s">
        <v>1159</v>
      </c>
      <c r="L330" s="6760" t="str">
        <f>VLOOKUP(K330,'COD.'!$A$1:$B$39,2,0)</f>
        <v xml:space="preserve">Ocio y Entretenimiento </v>
      </c>
    </row>
    <row r="331" spans="1:12" x14ac:dyDescent="0.2">
      <c r="A331" s="6347" t="s">
        <v>580</v>
      </c>
      <c r="B331" s="2633" t="s">
        <v>583</v>
      </c>
      <c r="C331" s="6013">
        <f t="shared" si="5"/>
        <v>7</v>
      </c>
      <c r="D331" s="2634" t="s">
        <v>179</v>
      </c>
      <c r="E331" s="2635" t="s">
        <v>180</v>
      </c>
      <c r="F331" s="2636">
        <v>-92.48</v>
      </c>
      <c r="G331" s="2637" t="s">
        <v>11</v>
      </c>
      <c r="H331" s="2638">
        <v>5905.02</v>
      </c>
      <c r="I331" s="2639" t="s">
        <v>11</v>
      </c>
      <c r="J331" s="2640" t="s">
        <v>181</v>
      </c>
      <c r="K331" s="5980" t="s">
        <v>179</v>
      </c>
      <c r="L331" s="6760" t="str">
        <f>VLOOKUP(K331,'COD.'!$A$1:$B$39,2,0)</f>
        <v xml:space="preserve">Vivienda y Préstamos </v>
      </c>
    </row>
    <row r="332" spans="1:12" x14ac:dyDescent="0.2">
      <c r="A332" s="6348" t="s">
        <v>583</v>
      </c>
      <c r="B332" s="2641" t="s">
        <v>583</v>
      </c>
      <c r="C332" s="6013">
        <f t="shared" si="5"/>
        <v>7</v>
      </c>
      <c r="D332" s="2642" t="s">
        <v>163</v>
      </c>
      <c r="E332" s="2643" t="s">
        <v>164</v>
      </c>
      <c r="F332" s="2644">
        <v>-56.56</v>
      </c>
      <c r="G332" s="2645" t="s">
        <v>11</v>
      </c>
      <c r="H332" s="2646">
        <v>5997.5</v>
      </c>
      <c r="I332" s="2647" t="s">
        <v>11</v>
      </c>
      <c r="J332" s="2648" t="s">
        <v>165</v>
      </c>
      <c r="K332" s="5976" t="s">
        <v>1160</v>
      </c>
      <c r="L332" s="6760" t="str">
        <f>VLOOKUP(K332,'COD.'!$A$1:$B$39,2,0)</f>
        <v xml:space="preserve">Vivienda y Préstamos </v>
      </c>
    </row>
    <row r="333" spans="1:12" x14ac:dyDescent="0.2">
      <c r="A333" s="6349" t="s">
        <v>587</v>
      </c>
      <c r="B333" s="2649" t="s">
        <v>587</v>
      </c>
      <c r="C333" s="6013">
        <f t="shared" si="5"/>
        <v>7</v>
      </c>
      <c r="D333" s="2650" t="s">
        <v>90</v>
      </c>
      <c r="E333" s="2651" t="s">
        <v>10</v>
      </c>
      <c r="F333" s="2652">
        <v>-11</v>
      </c>
      <c r="G333" s="2653" t="s">
        <v>11</v>
      </c>
      <c r="H333" s="2654">
        <v>6054.06</v>
      </c>
      <c r="I333" s="2655" t="s">
        <v>11</v>
      </c>
      <c r="J333" s="2656" t="s">
        <v>91</v>
      </c>
      <c r="K333" s="5940" t="s">
        <v>1156</v>
      </c>
      <c r="L333" s="6760" t="str">
        <f>VLOOKUP(K333,'COD.'!$A$1:$B$39,2,0)</f>
        <v>Moto</v>
      </c>
    </row>
    <row r="334" spans="1:12" x14ac:dyDescent="0.2">
      <c r="A334" s="6350" t="s">
        <v>587</v>
      </c>
      <c r="B334" s="2657" t="s">
        <v>587</v>
      </c>
      <c r="C334" s="6013">
        <f t="shared" si="5"/>
        <v>7</v>
      </c>
      <c r="D334" s="2658" t="s">
        <v>350</v>
      </c>
      <c r="E334" s="2659" t="s">
        <v>10</v>
      </c>
      <c r="F334" s="2660">
        <v>-4.55</v>
      </c>
      <c r="G334" s="2661" t="s">
        <v>11</v>
      </c>
      <c r="H334" s="2662">
        <v>6065.06</v>
      </c>
      <c r="I334" s="2663" t="s">
        <v>11</v>
      </c>
      <c r="J334" s="2664" t="s">
        <v>351</v>
      </c>
      <c r="K334" s="5940" t="s">
        <v>1145</v>
      </c>
      <c r="L334" s="6760" t="str">
        <f>VLOOKUP(K334,'COD.'!$A$1:$B$39,2,0)</f>
        <v xml:space="preserve">Ocio y Entretenimiento </v>
      </c>
    </row>
    <row r="335" spans="1:12" x14ac:dyDescent="0.2">
      <c r="A335" s="6351" t="s">
        <v>587</v>
      </c>
      <c r="B335" s="2665" t="s">
        <v>587</v>
      </c>
      <c r="C335" s="6013">
        <f t="shared" si="5"/>
        <v>7</v>
      </c>
      <c r="D335" s="2666" t="s">
        <v>329</v>
      </c>
      <c r="E335" s="2667" t="s">
        <v>588</v>
      </c>
      <c r="F335" s="2668">
        <v>-30.3</v>
      </c>
      <c r="G335" s="2669" t="s">
        <v>11</v>
      </c>
      <c r="H335" s="2670">
        <v>6069.61</v>
      </c>
      <c r="I335" s="2671" t="s">
        <v>11</v>
      </c>
      <c r="J335" s="2672" t="s">
        <v>589</v>
      </c>
      <c r="K335" s="5985" t="s">
        <v>1153</v>
      </c>
      <c r="L335" s="6760" t="str">
        <f>VLOOKUP(K335,'COD.'!$A$1:$B$39,2,0)</f>
        <v xml:space="preserve">Vivienda y Préstamos </v>
      </c>
    </row>
    <row r="336" spans="1:12" x14ac:dyDescent="0.2">
      <c r="A336" s="6352" t="s">
        <v>586</v>
      </c>
      <c r="B336" s="2673" t="s">
        <v>587</v>
      </c>
      <c r="C336" s="6013">
        <f t="shared" si="5"/>
        <v>7</v>
      </c>
      <c r="D336" s="2674" t="s">
        <v>60</v>
      </c>
      <c r="E336" s="2675" t="s">
        <v>590</v>
      </c>
      <c r="F336" s="2676">
        <v>40</v>
      </c>
      <c r="G336" s="2677" t="s">
        <v>11</v>
      </c>
      <c r="H336" s="2678">
        <v>6099.91</v>
      </c>
      <c r="I336" s="2679" t="s">
        <v>11</v>
      </c>
      <c r="J336" s="2680" t="s">
        <v>591</v>
      </c>
      <c r="K336" s="5984" t="s">
        <v>1152</v>
      </c>
      <c r="L336" s="6760" t="str">
        <f>VLOOKUP(K336,'COD.'!$A$1:$B$39,2,0)</f>
        <v xml:space="preserve">Suministros </v>
      </c>
    </row>
    <row r="337" spans="1:12" x14ac:dyDescent="0.2">
      <c r="A337" s="6353" t="s">
        <v>592</v>
      </c>
      <c r="B337" s="2681" t="s">
        <v>586</v>
      </c>
      <c r="C337" s="6013">
        <f t="shared" si="5"/>
        <v>7</v>
      </c>
      <c r="D337" s="2682" t="s">
        <v>183</v>
      </c>
      <c r="E337" s="2683" t="s">
        <v>10</v>
      </c>
      <c r="F337" s="2684">
        <v>-9</v>
      </c>
      <c r="G337" s="2685" t="s">
        <v>11</v>
      </c>
      <c r="H337" s="2686">
        <v>6059.91</v>
      </c>
      <c r="I337" s="2687" t="s">
        <v>11</v>
      </c>
      <c r="J337" s="2688" t="s">
        <v>184</v>
      </c>
      <c r="K337" s="5940" t="s">
        <v>1165</v>
      </c>
      <c r="L337" s="6760" t="str">
        <f>VLOOKUP(K337,'COD.'!$A$1:$B$39,2,0)</f>
        <v xml:space="preserve">Otros Gastos Generales </v>
      </c>
    </row>
    <row r="338" spans="1:12" x14ac:dyDescent="0.2">
      <c r="A338" s="6354" t="s">
        <v>592</v>
      </c>
      <c r="B338" s="2689" t="s">
        <v>592</v>
      </c>
      <c r="C338" s="6013">
        <f t="shared" si="5"/>
        <v>7</v>
      </c>
      <c r="D338" s="2690" t="s">
        <v>103</v>
      </c>
      <c r="E338" s="2691" t="s">
        <v>10</v>
      </c>
      <c r="F338" s="2692">
        <v>-3.99</v>
      </c>
      <c r="G338" s="2693" t="s">
        <v>11</v>
      </c>
      <c r="H338" s="2694">
        <v>6068.91</v>
      </c>
      <c r="I338" s="2695" t="s">
        <v>11</v>
      </c>
      <c r="J338" s="2696" t="s">
        <v>104</v>
      </c>
      <c r="K338" s="5940" t="s">
        <v>1148</v>
      </c>
      <c r="L338" s="6760" t="str">
        <f>VLOOKUP(K338,'COD.'!$A$1:$B$39,2,0)</f>
        <v xml:space="preserve">Supermercado </v>
      </c>
    </row>
    <row r="339" spans="1:12" x14ac:dyDescent="0.2">
      <c r="A339" s="6355" t="s">
        <v>592</v>
      </c>
      <c r="B339" s="2697" t="s">
        <v>592</v>
      </c>
      <c r="C339" s="6013">
        <f t="shared" si="5"/>
        <v>7</v>
      </c>
      <c r="D339" s="2698" t="s">
        <v>288</v>
      </c>
      <c r="E339" s="2699" t="s">
        <v>10</v>
      </c>
      <c r="F339" s="2700">
        <v>-6.8</v>
      </c>
      <c r="G339" s="2701" t="s">
        <v>11</v>
      </c>
      <c r="H339" s="2702">
        <v>6072.9</v>
      </c>
      <c r="I339" s="2703" t="s">
        <v>11</v>
      </c>
      <c r="J339" s="2704" t="s">
        <v>289</v>
      </c>
      <c r="K339" s="5940" t="s">
        <v>1145</v>
      </c>
      <c r="L339" s="6760" t="str">
        <f>VLOOKUP(K339,'COD.'!$A$1:$B$39,2,0)</f>
        <v xml:space="preserve">Ocio y Entretenimiento </v>
      </c>
    </row>
    <row r="340" spans="1:12" x14ac:dyDescent="0.2">
      <c r="A340" s="6356" t="s">
        <v>592</v>
      </c>
      <c r="B340" s="2705" t="s">
        <v>592</v>
      </c>
      <c r="C340" s="6013">
        <f t="shared" si="5"/>
        <v>7</v>
      </c>
      <c r="D340" s="2706" t="s">
        <v>382</v>
      </c>
      <c r="E340" s="2707" t="s">
        <v>10</v>
      </c>
      <c r="F340" s="2708">
        <v>-34.299999999999997</v>
      </c>
      <c r="G340" s="2709" t="s">
        <v>11</v>
      </c>
      <c r="H340" s="2710">
        <v>6079.7</v>
      </c>
      <c r="I340" s="2711" t="s">
        <v>11</v>
      </c>
      <c r="J340" s="2712" t="s">
        <v>383</v>
      </c>
      <c r="K340" s="5940" t="s">
        <v>443</v>
      </c>
      <c r="L340" s="6760" t="str">
        <f>VLOOKUP(K340,'COD.'!$A$1:$B$39,2,0)</f>
        <v xml:space="preserve">Salud y Cuidado </v>
      </c>
    </row>
    <row r="341" spans="1:12" x14ac:dyDescent="0.2">
      <c r="A341" s="6357" t="s">
        <v>593</v>
      </c>
      <c r="B341" s="2713" t="s">
        <v>592</v>
      </c>
      <c r="C341" s="6013">
        <f t="shared" si="5"/>
        <v>6</v>
      </c>
      <c r="D341" s="2714" t="s">
        <v>14</v>
      </c>
      <c r="E341" s="2715" t="s">
        <v>10</v>
      </c>
      <c r="F341" s="2716">
        <v>-6.99</v>
      </c>
      <c r="G341" s="2717" t="s">
        <v>11</v>
      </c>
      <c r="H341" s="2718">
        <v>6114</v>
      </c>
      <c r="I341" s="2719" t="s">
        <v>11</v>
      </c>
      <c r="J341" s="2720" t="s">
        <v>15</v>
      </c>
      <c r="K341" s="6010" t="s">
        <v>1178</v>
      </c>
      <c r="L341" s="6760" t="str">
        <f>VLOOKUP(K341,'COD.'!$A$1:$B$39,2,0)</f>
        <v xml:space="preserve">Ocio y Entretenimiento </v>
      </c>
    </row>
    <row r="342" spans="1:12" x14ac:dyDescent="0.2">
      <c r="A342" s="6358" t="s">
        <v>592</v>
      </c>
      <c r="B342" s="2721" t="s">
        <v>592</v>
      </c>
      <c r="C342" s="6013">
        <f t="shared" si="5"/>
        <v>7</v>
      </c>
      <c r="D342" s="2722" t="s">
        <v>191</v>
      </c>
      <c r="E342" s="2723" t="s">
        <v>192</v>
      </c>
      <c r="F342" s="2724">
        <v>-30</v>
      </c>
      <c r="G342" s="2725" t="s">
        <v>11</v>
      </c>
      <c r="H342" s="2726">
        <v>6120.99</v>
      </c>
      <c r="I342" s="2727" t="s">
        <v>11</v>
      </c>
      <c r="J342" s="2728" t="s">
        <v>193</v>
      </c>
      <c r="K342" s="5940" t="s">
        <v>1168</v>
      </c>
      <c r="L342" s="6760" t="str">
        <f>VLOOKUP(K342,'COD.'!$A$1:$B$39,2,0)</f>
        <v>Moto</v>
      </c>
    </row>
    <row r="343" spans="1:12" x14ac:dyDescent="0.2">
      <c r="A343" s="6359" t="s">
        <v>592</v>
      </c>
      <c r="B343" s="2729" t="s">
        <v>592</v>
      </c>
      <c r="C343" s="6013">
        <f t="shared" si="5"/>
        <v>7</v>
      </c>
      <c r="D343" s="2730" t="s">
        <v>194</v>
      </c>
      <c r="E343" s="2731" t="s">
        <v>594</v>
      </c>
      <c r="F343" s="2732">
        <v>-50</v>
      </c>
      <c r="G343" s="2733" t="s">
        <v>11</v>
      </c>
      <c r="H343" s="2734">
        <v>6150.99</v>
      </c>
      <c r="I343" s="2735" t="s">
        <v>11</v>
      </c>
      <c r="J343" s="2736" t="s">
        <v>595</v>
      </c>
      <c r="K343" s="5940" t="s">
        <v>1154</v>
      </c>
      <c r="L343" s="6760" t="str">
        <f>VLOOKUP(K343,'COD.'!$A$1:$B$39,2,0)</f>
        <v xml:space="preserve">Vivienda y Préstamos </v>
      </c>
    </row>
    <row r="344" spans="1:12" x14ac:dyDescent="0.2">
      <c r="A344" s="6360" t="s">
        <v>592</v>
      </c>
      <c r="B344" s="2737" t="s">
        <v>592</v>
      </c>
      <c r="C344" s="6013">
        <f t="shared" si="5"/>
        <v>7</v>
      </c>
      <c r="D344" s="2738" t="s">
        <v>197</v>
      </c>
      <c r="E344" s="2739" t="s">
        <v>596</v>
      </c>
      <c r="F344" s="2740">
        <v>-65</v>
      </c>
      <c r="G344" s="2741" t="s">
        <v>11</v>
      </c>
      <c r="H344" s="2742">
        <v>6200.99</v>
      </c>
      <c r="I344" s="2743" t="s">
        <v>11</v>
      </c>
      <c r="J344" s="2744" t="s">
        <v>597</v>
      </c>
      <c r="K344" s="5940" t="s">
        <v>1155</v>
      </c>
      <c r="L344" s="6760" t="str">
        <f>VLOOKUP(K344,'COD.'!$A$1:$B$39,2,0)</f>
        <v xml:space="preserve">Ocio y Entretenimiento </v>
      </c>
    </row>
    <row r="345" spans="1:12" x14ac:dyDescent="0.2">
      <c r="A345" s="6361" t="s">
        <v>598</v>
      </c>
      <c r="B345" s="2745" t="s">
        <v>593</v>
      </c>
      <c r="C345" s="6013">
        <f t="shared" si="5"/>
        <v>6</v>
      </c>
      <c r="D345" s="2746" t="s">
        <v>599</v>
      </c>
      <c r="E345" s="2747" t="s">
        <v>10</v>
      </c>
      <c r="F345" s="2748">
        <v>-14.84</v>
      </c>
      <c r="G345" s="2749" t="s">
        <v>11</v>
      </c>
      <c r="H345" s="2750">
        <v>6265.99</v>
      </c>
      <c r="I345" s="2751" t="s">
        <v>11</v>
      </c>
      <c r="J345" s="2752" t="s">
        <v>600</v>
      </c>
      <c r="K345" s="5940" t="s">
        <v>1145</v>
      </c>
      <c r="L345" s="6760" t="str">
        <f>VLOOKUP(K345,'COD.'!$A$1:$B$39,2,0)</f>
        <v xml:space="preserve">Ocio y Entretenimiento </v>
      </c>
    </row>
    <row r="346" spans="1:12" x14ac:dyDescent="0.2">
      <c r="A346" s="6362" t="s">
        <v>601</v>
      </c>
      <c r="B346" s="2753" t="s">
        <v>593</v>
      </c>
      <c r="C346" s="6013">
        <f t="shared" si="5"/>
        <v>6</v>
      </c>
      <c r="D346" s="2754" t="s">
        <v>602</v>
      </c>
      <c r="E346" s="2755" t="s">
        <v>10</v>
      </c>
      <c r="F346" s="2756">
        <v>-52.24</v>
      </c>
      <c r="G346" s="2757" t="s">
        <v>11</v>
      </c>
      <c r="H346" s="2758">
        <v>6280.83</v>
      </c>
      <c r="I346" s="2759" t="s">
        <v>11</v>
      </c>
      <c r="J346" s="2760" t="s">
        <v>603</v>
      </c>
      <c r="K346" s="5940" t="s">
        <v>1148</v>
      </c>
      <c r="L346" s="6760" t="str">
        <f>VLOOKUP(K346,'COD.'!$A$1:$B$39,2,0)</f>
        <v xml:space="preserve">Supermercado </v>
      </c>
    </row>
    <row r="347" spans="1:12" x14ac:dyDescent="0.2">
      <c r="A347" s="6363" t="s">
        <v>593</v>
      </c>
      <c r="B347" s="2761" t="s">
        <v>593</v>
      </c>
      <c r="C347" s="6013">
        <f t="shared" si="5"/>
        <v>6</v>
      </c>
      <c r="D347" s="2762" t="s">
        <v>26</v>
      </c>
      <c r="E347" s="2763" t="s">
        <v>604</v>
      </c>
      <c r="F347" s="2764">
        <v>-44.47</v>
      </c>
      <c r="G347" s="2765" t="s">
        <v>11</v>
      </c>
      <c r="H347" s="2766">
        <v>6333.07</v>
      </c>
      <c r="I347" s="2767" t="s">
        <v>11</v>
      </c>
      <c r="J347" s="2768" t="s">
        <v>605</v>
      </c>
      <c r="K347" s="5940" t="s">
        <v>1189</v>
      </c>
      <c r="L347" s="6760" t="str">
        <f>VLOOKUP(K347,'COD.'!$A$1:$B$39,2,0)</f>
        <v xml:space="preserve">Suministros </v>
      </c>
    </row>
    <row r="348" spans="1:12" x14ac:dyDescent="0.2">
      <c r="A348" s="6364" t="s">
        <v>593</v>
      </c>
      <c r="B348" s="2769" t="s">
        <v>593</v>
      </c>
      <c r="C348" s="6013">
        <f t="shared" si="5"/>
        <v>6</v>
      </c>
      <c r="D348" s="2770" t="s">
        <v>606</v>
      </c>
      <c r="E348" s="2771" t="s">
        <v>10</v>
      </c>
      <c r="F348" s="2772">
        <v>-45</v>
      </c>
      <c r="G348" s="2773" t="s">
        <v>11</v>
      </c>
      <c r="H348" s="2774">
        <v>6377.54</v>
      </c>
      <c r="I348" s="2775" t="s">
        <v>11</v>
      </c>
      <c r="J348" s="2776" t="s">
        <v>607</v>
      </c>
      <c r="K348" s="5940" t="s">
        <v>1146</v>
      </c>
      <c r="L348" s="6760" t="str">
        <f>VLOOKUP(K348,'COD.'!$A$1:$B$39,2,0)</f>
        <v xml:space="preserve">Supermercado </v>
      </c>
    </row>
    <row r="349" spans="1:12" x14ac:dyDescent="0.2">
      <c r="A349" s="6365" t="s">
        <v>593</v>
      </c>
      <c r="B349" s="2777" t="s">
        <v>593</v>
      </c>
      <c r="C349" s="6013">
        <f t="shared" si="5"/>
        <v>6</v>
      </c>
      <c r="D349" s="2778" t="s">
        <v>16</v>
      </c>
      <c r="E349" s="2779" t="s">
        <v>608</v>
      </c>
      <c r="F349" s="2780">
        <v>-52.62</v>
      </c>
      <c r="G349" s="2781" t="s">
        <v>11</v>
      </c>
      <c r="H349" s="2782">
        <v>6422.54</v>
      </c>
      <c r="I349" s="2783" t="s">
        <v>11</v>
      </c>
      <c r="J349" s="2784" t="s">
        <v>609</v>
      </c>
      <c r="K349" s="5941" t="s">
        <v>1188</v>
      </c>
      <c r="L349" s="6760" t="str">
        <f>VLOOKUP(K349,'COD.'!$A$1:$B$39,2,0)</f>
        <v xml:space="preserve">Suministros </v>
      </c>
    </row>
    <row r="350" spans="1:12" x14ac:dyDescent="0.2">
      <c r="A350" s="6366" t="s">
        <v>593</v>
      </c>
      <c r="B350" s="2785" t="s">
        <v>593</v>
      </c>
      <c r="C350" s="6013">
        <f t="shared" si="5"/>
        <v>6</v>
      </c>
      <c r="D350" s="2786" t="s">
        <v>19</v>
      </c>
      <c r="E350" s="2787" t="s">
        <v>20</v>
      </c>
      <c r="F350" s="2788">
        <v>-431.42</v>
      </c>
      <c r="G350" s="2789" t="s">
        <v>11</v>
      </c>
      <c r="H350" s="2790">
        <v>6475.16</v>
      </c>
      <c r="I350" s="2791" t="s">
        <v>11</v>
      </c>
      <c r="J350" s="2792" t="s">
        <v>21</v>
      </c>
      <c r="K350" s="5942" t="s">
        <v>1170</v>
      </c>
      <c r="L350" s="6760" t="str">
        <f>VLOOKUP(K350,'COD.'!$A$1:$B$39,2,0)</f>
        <v xml:space="preserve">Vivienda y Préstamos </v>
      </c>
    </row>
    <row r="351" spans="1:12" x14ac:dyDescent="0.2">
      <c r="A351" s="6367" t="s">
        <v>610</v>
      </c>
      <c r="B351" s="2793" t="s">
        <v>593</v>
      </c>
      <c r="C351" s="6013">
        <f t="shared" si="5"/>
        <v>6</v>
      </c>
      <c r="D351" s="2794" t="s">
        <v>611</v>
      </c>
      <c r="E351" s="2795" t="s">
        <v>10</v>
      </c>
      <c r="F351" s="2796">
        <v>-7.4</v>
      </c>
      <c r="G351" s="2797" t="s">
        <v>11</v>
      </c>
      <c r="H351" s="2798">
        <v>6906.58</v>
      </c>
      <c r="I351" s="2799" t="s">
        <v>11</v>
      </c>
      <c r="J351" s="2800" t="s">
        <v>612</v>
      </c>
      <c r="K351" s="5940" t="s">
        <v>1147</v>
      </c>
      <c r="L351" s="6760" t="str">
        <f>VLOOKUP(K351,'COD.'!$A$1:$B$39,2,0)</f>
        <v xml:space="preserve">Otros Gastos Generales </v>
      </c>
    </row>
    <row r="352" spans="1:12" x14ac:dyDescent="0.2">
      <c r="A352" s="6368" t="s">
        <v>601</v>
      </c>
      <c r="B352" s="2801" t="s">
        <v>593</v>
      </c>
      <c r="C352" s="6013">
        <f t="shared" si="5"/>
        <v>6</v>
      </c>
      <c r="D352" s="2802" t="s">
        <v>320</v>
      </c>
      <c r="E352" s="2803" t="s">
        <v>164</v>
      </c>
      <c r="F352" s="2804">
        <v>-20</v>
      </c>
      <c r="G352" s="2805" t="s">
        <v>11</v>
      </c>
      <c r="H352" s="2806">
        <v>6913.98</v>
      </c>
      <c r="I352" s="2807" t="s">
        <v>11</v>
      </c>
      <c r="J352" s="2808" t="s">
        <v>321</v>
      </c>
      <c r="K352" s="5995" t="s">
        <v>1159</v>
      </c>
      <c r="L352" s="6760" t="str">
        <f>VLOOKUP(K352,'COD.'!$A$1:$B$39,2,0)</f>
        <v xml:space="preserve">Ocio y Entretenimiento </v>
      </c>
    </row>
    <row r="353" spans="1:12" x14ac:dyDescent="0.2">
      <c r="A353" s="6369" t="s">
        <v>601</v>
      </c>
      <c r="B353" s="2809" t="s">
        <v>593</v>
      </c>
      <c r="C353" s="6013">
        <f t="shared" si="5"/>
        <v>6</v>
      </c>
      <c r="D353" s="2810" t="s">
        <v>125</v>
      </c>
      <c r="E353" s="2811" t="s">
        <v>10</v>
      </c>
      <c r="F353" s="2812">
        <v>-32</v>
      </c>
      <c r="G353" s="2813" t="s">
        <v>11</v>
      </c>
      <c r="H353" s="2814">
        <v>6933.98</v>
      </c>
      <c r="I353" s="2815" t="s">
        <v>11</v>
      </c>
      <c r="J353" s="2816" t="s">
        <v>126</v>
      </c>
      <c r="K353" s="5940" t="s">
        <v>1145</v>
      </c>
      <c r="L353" s="6760" t="str">
        <f>VLOOKUP(K353,'COD.'!$A$1:$B$39,2,0)</f>
        <v xml:space="preserve">Ocio y Entretenimiento </v>
      </c>
    </row>
    <row r="354" spans="1:12" x14ac:dyDescent="0.2">
      <c r="A354" s="6370" t="s">
        <v>601</v>
      </c>
      <c r="B354" s="2817" t="s">
        <v>593</v>
      </c>
      <c r="C354" s="6013">
        <f t="shared" si="5"/>
        <v>6</v>
      </c>
      <c r="D354" s="2818" t="s">
        <v>613</v>
      </c>
      <c r="E354" s="2819" t="s">
        <v>10</v>
      </c>
      <c r="F354" s="2820">
        <v>-16.7</v>
      </c>
      <c r="G354" s="2821" t="s">
        <v>11</v>
      </c>
      <c r="H354" s="2822">
        <v>6965.98</v>
      </c>
      <c r="I354" s="2823" t="s">
        <v>11</v>
      </c>
      <c r="J354" s="2824" t="s">
        <v>614</v>
      </c>
      <c r="K354" s="5940" t="s">
        <v>1145</v>
      </c>
      <c r="L354" s="6760" t="str">
        <f>VLOOKUP(K354,'COD.'!$A$1:$B$39,2,0)</f>
        <v xml:space="preserve">Ocio y Entretenimiento </v>
      </c>
    </row>
    <row r="355" spans="1:12" x14ac:dyDescent="0.2">
      <c r="A355" s="6371" t="s">
        <v>598</v>
      </c>
      <c r="B355" s="2825" t="s">
        <v>598</v>
      </c>
      <c r="C355" s="6013">
        <f t="shared" si="5"/>
        <v>6</v>
      </c>
      <c r="D355" s="2826" t="s">
        <v>615</v>
      </c>
      <c r="E355" s="2827" t="s">
        <v>10</v>
      </c>
      <c r="F355" s="2828">
        <v>-5.85</v>
      </c>
      <c r="G355" s="2829" t="s">
        <v>11</v>
      </c>
      <c r="H355" s="2830">
        <v>6982.68</v>
      </c>
      <c r="I355" s="2831" t="s">
        <v>11</v>
      </c>
      <c r="J355" s="2832" t="s">
        <v>616</v>
      </c>
      <c r="K355" s="5940" t="s">
        <v>1145</v>
      </c>
      <c r="L355" s="6760" t="str">
        <f>VLOOKUP(K355,'COD.'!$A$1:$B$39,2,0)</f>
        <v xml:space="preserve">Ocio y Entretenimiento </v>
      </c>
    </row>
    <row r="356" spans="1:12" x14ac:dyDescent="0.2">
      <c r="A356" s="6372" t="s">
        <v>598</v>
      </c>
      <c r="B356" s="2833" t="s">
        <v>598</v>
      </c>
      <c r="C356" s="6013">
        <f t="shared" si="5"/>
        <v>6</v>
      </c>
      <c r="D356" s="2834" t="s">
        <v>617</v>
      </c>
      <c r="E356" s="2835" t="s">
        <v>10</v>
      </c>
      <c r="F356" s="2836">
        <v>-41.56</v>
      </c>
      <c r="G356" s="2837" t="s">
        <v>11</v>
      </c>
      <c r="H356" s="2838">
        <v>6988.53</v>
      </c>
      <c r="I356" s="2839" t="s">
        <v>11</v>
      </c>
      <c r="J356" s="2840" t="s">
        <v>618</v>
      </c>
      <c r="K356" s="5940" t="s">
        <v>1148</v>
      </c>
      <c r="L356" s="6760" t="str">
        <f>VLOOKUP(K356,'COD.'!$A$1:$B$39,2,0)</f>
        <v xml:space="preserve">Supermercado </v>
      </c>
    </row>
    <row r="357" spans="1:12" x14ac:dyDescent="0.2">
      <c r="A357" s="6373" t="s">
        <v>598</v>
      </c>
      <c r="B357" s="2841" t="s">
        <v>598</v>
      </c>
      <c r="C357" s="6013">
        <f t="shared" si="5"/>
        <v>6</v>
      </c>
      <c r="D357" s="2842" t="s">
        <v>166</v>
      </c>
      <c r="E357" s="2843" t="s">
        <v>164</v>
      </c>
      <c r="F357" s="2844">
        <v>-10</v>
      </c>
      <c r="G357" s="2845" t="s">
        <v>11</v>
      </c>
      <c r="H357" s="2846">
        <v>7030.09</v>
      </c>
      <c r="I357" s="2847" t="s">
        <v>11</v>
      </c>
      <c r="J357" s="2848" t="s">
        <v>167</v>
      </c>
      <c r="K357" s="5977" t="s">
        <v>1166</v>
      </c>
      <c r="L357" s="6760" t="str">
        <f>VLOOKUP(K357,'COD.'!$A$1:$B$39,2,0)</f>
        <v xml:space="preserve">Ocio y Entretenimiento </v>
      </c>
    </row>
    <row r="358" spans="1:12" x14ac:dyDescent="0.2">
      <c r="A358" s="6374" t="s">
        <v>619</v>
      </c>
      <c r="B358" s="2849" t="s">
        <v>598</v>
      </c>
      <c r="C358" s="6013">
        <f t="shared" si="5"/>
        <v>6</v>
      </c>
      <c r="D358" s="2850" t="s">
        <v>620</v>
      </c>
      <c r="E358" s="2851" t="s">
        <v>10</v>
      </c>
      <c r="F358" s="2852">
        <v>-40.799999999999997</v>
      </c>
      <c r="G358" s="2853" t="s">
        <v>11</v>
      </c>
      <c r="H358" s="2854">
        <v>7040.09</v>
      </c>
      <c r="I358" s="2855" t="s">
        <v>11</v>
      </c>
      <c r="J358" s="2856" t="s">
        <v>621</v>
      </c>
      <c r="K358" s="5940" t="s">
        <v>1149</v>
      </c>
      <c r="L358" s="6760" t="str">
        <f>VLOOKUP(K358,'COD.'!$A$1:$B$39,2,0)</f>
        <v xml:space="preserve">Ocio y Entretenimiento </v>
      </c>
    </row>
    <row r="359" spans="1:12" x14ac:dyDescent="0.2">
      <c r="A359" s="6375" t="s">
        <v>598</v>
      </c>
      <c r="B359" s="2857" t="s">
        <v>598</v>
      </c>
      <c r="C359" s="6013">
        <f t="shared" si="5"/>
        <v>6</v>
      </c>
      <c r="D359" s="2858" t="s">
        <v>29</v>
      </c>
      <c r="E359" s="2859" t="s">
        <v>30</v>
      </c>
      <c r="F359" s="2860">
        <v>1867.53</v>
      </c>
      <c r="G359" s="2861" t="s">
        <v>11</v>
      </c>
      <c r="H359" s="2862">
        <v>7080.89</v>
      </c>
      <c r="I359" s="2863" t="s">
        <v>11</v>
      </c>
      <c r="J359" s="2864" t="s">
        <v>30</v>
      </c>
      <c r="K359" s="5996" t="s">
        <v>1144</v>
      </c>
      <c r="L359" s="6760" t="str">
        <f>VLOOKUP(K359,'COD.'!$A$1:$B$39,2,0)</f>
        <v xml:space="preserve">Transferencias y Efectivo </v>
      </c>
    </row>
    <row r="360" spans="1:12" x14ac:dyDescent="0.2">
      <c r="A360" s="6376" t="s">
        <v>598</v>
      </c>
      <c r="B360" s="2865" t="s">
        <v>598</v>
      </c>
      <c r="C360" s="6013">
        <f t="shared" si="5"/>
        <v>6</v>
      </c>
      <c r="D360" s="2866" t="s">
        <v>410</v>
      </c>
      <c r="E360" s="2867" t="s">
        <v>10</v>
      </c>
      <c r="F360" s="2868">
        <v>-12.55</v>
      </c>
      <c r="G360" s="2869" t="s">
        <v>11</v>
      </c>
      <c r="H360" s="2870">
        <v>5213.3599999999997</v>
      </c>
      <c r="I360" s="2871" t="s">
        <v>11</v>
      </c>
      <c r="J360" s="2872" t="s">
        <v>411</v>
      </c>
      <c r="K360" s="5940" t="s">
        <v>1163</v>
      </c>
      <c r="L360" s="6760" t="str">
        <f>VLOOKUP(K360,'COD.'!$A$1:$B$39,2,0)</f>
        <v xml:space="preserve">Otros Gastos Generales </v>
      </c>
    </row>
    <row r="361" spans="1:12" x14ac:dyDescent="0.2">
      <c r="A361" s="6377" t="s">
        <v>598</v>
      </c>
      <c r="B361" s="2873" t="s">
        <v>598</v>
      </c>
      <c r="C361" s="6013">
        <f t="shared" si="5"/>
        <v>6</v>
      </c>
      <c r="D361" s="2874" t="s">
        <v>622</v>
      </c>
      <c r="E361" s="2875" t="s">
        <v>10</v>
      </c>
      <c r="F361" s="2876">
        <v>-5.75</v>
      </c>
      <c r="G361" s="2877" t="s">
        <v>11</v>
      </c>
      <c r="H361" s="2878">
        <v>5225.91</v>
      </c>
      <c r="I361" s="2879" t="s">
        <v>11</v>
      </c>
      <c r="J361" s="2880" t="s">
        <v>623</v>
      </c>
      <c r="K361" s="5940" t="s">
        <v>1145</v>
      </c>
      <c r="L361" s="6760" t="str">
        <f>VLOOKUP(K361,'COD.'!$A$1:$B$39,2,0)</f>
        <v xml:space="preserve">Ocio y Entretenimiento </v>
      </c>
    </row>
    <row r="362" spans="1:12" x14ac:dyDescent="0.2">
      <c r="A362" s="6378" t="s">
        <v>624</v>
      </c>
      <c r="B362" s="2881" t="s">
        <v>624</v>
      </c>
      <c r="C362" s="6013">
        <f t="shared" si="5"/>
        <v>6</v>
      </c>
      <c r="D362" s="2882" t="s">
        <v>625</v>
      </c>
      <c r="E362" s="2883" t="s">
        <v>10</v>
      </c>
      <c r="F362" s="2884">
        <v>-22.99</v>
      </c>
      <c r="G362" s="2885" t="s">
        <v>11</v>
      </c>
      <c r="H362" s="2886">
        <v>5231.66</v>
      </c>
      <c r="I362" s="2887" t="s">
        <v>11</v>
      </c>
      <c r="J362" s="2888" t="s">
        <v>626</v>
      </c>
      <c r="K362" s="5997" t="s">
        <v>1149</v>
      </c>
      <c r="L362" s="6760" t="str">
        <f>VLOOKUP(K362,'COD.'!$A$1:$B$39,2,0)</f>
        <v xml:space="preserve">Ocio y Entretenimiento </v>
      </c>
    </row>
    <row r="363" spans="1:12" x14ac:dyDescent="0.2">
      <c r="A363" s="6379" t="s">
        <v>624</v>
      </c>
      <c r="B363" s="2889" t="s">
        <v>624</v>
      </c>
      <c r="C363" s="6013">
        <f t="shared" si="5"/>
        <v>6</v>
      </c>
      <c r="D363" s="2890" t="s">
        <v>73</v>
      </c>
      <c r="E363" s="2891" t="s">
        <v>10</v>
      </c>
      <c r="F363" s="2892">
        <v>-2</v>
      </c>
      <c r="G363" s="2893" t="s">
        <v>11</v>
      </c>
      <c r="H363" s="2894">
        <v>5254.65</v>
      </c>
      <c r="I363" s="2895" t="s">
        <v>11</v>
      </c>
      <c r="J363" s="2896" t="s">
        <v>74</v>
      </c>
      <c r="K363" s="5940" t="s">
        <v>1145</v>
      </c>
      <c r="L363" s="6760" t="str">
        <f>VLOOKUP(K363,'COD.'!$A$1:$B$39,2,0)</f>
        <v xml:space="preserve">Ocio y Entretenimiento </v>
      </c>
    </row>
    <row r="364" spans="1:12" x14ac:dyDescent="0.2">
      <c r="A364" s="6380" t="s">
        <v>624</v>
      </c>
      <c r="B364" s="2897" t="s">
        <v>624</v>
      </c>
      <c r="C364" s="6013">
        <f t="shared" si="5"/>
        <v>6</v>
      </c>
      <c r="D364" s="2898" t="s">
        <v>627</v>
      </c>
      <c r="E364" s="2899" t="s">
        <v>10</v>
      </c>
      <c r="F364" s="2900">
        <v>-3.5</v>
      </c>
      <c r="G364" s="2901" t="s">
        <v>11</v>
      </c>
      <c r="H364" s="2902">
        <v>5256.65</v>
      </c>
      <c r="I364" s="2903" t="s">
        <v>11</v>
      </c>
      <c r="J364" s="2904" t="s">
        <v>628</v>
      </c>
      <c r="K364" s="5940" t="s">
        <v>1145</v>
      </c>
      <c r="L364" s="6760" t="str">
        <f>VLOOKUP(K364,'COD.'!$A$1:$B$39,2,0)</f>
        <v xml:space="preserve">Ocio y Entretenimiento </v>
      </c>
    </row>
    <row r="365" spans="1:12" x14ac:dyDescent="0.2">
      <c r="A365" s="6381" t="s">
        <v>624</v>
      </c>
      <c r="B365" s="2905" t="s">
        <v>624</v>
      </c>
      <c r="C365" s="6013">
        <f t="shared" si="5"/>
        <v>6</v>
      </c>
      <c r="D365" s="2906" t="s">
        <v>629</v>
      </c>
      <c r="E365" s="2907" t="s">
        <v>10</v>
      </c>
      <c r="F365" s="2908">
        <v>-1.3</v>
      </c>
      <c r="G365" s="2909" t="s">
        <v>11</v>
      </c>
      <c r="H365" s="2910">
        <v>5260.15</v>
      </c>
      <c r="I365" s="2911" t="s">
        <v>11</v>
      </c>
      <c r="J365" s="2912" t="s">
        <v>630</v>
      </c>
      <c r="K365" s="5940" t="s">
        <v>1147</v>
      </c>
      <c r="L365" s="6760" t="str">
        <f>VLOOKUP(K365,'COD.'!$A$1:$B$39,2,0)</f>
        <v xml:space="preserve">Otros Gastos Generales </v>
      </c>
    </row>
    <row r="366" spans="1:12" x14ac:dyDescent="0.2">
      <c r="A366" s="6382" t="s">
        <v>631</v>
      </c>
      <c r="B366" s="2913" t="s">
        <v>631</v>
      </c>
      <c r="C366" s="6013">
        <f t="shared" si="5"/>
        <v>6</v>
      </c>
      <c r="D366" s="2914" t="s">
        <v>320</v>
      </c>
      <c r="E366" s="2915" t="s">
        <v>164</v>
      </c>
      <c r="F366" s="2916">
        <v>-40</v>
      </c>
      <c r="G366" s="2917" t="s">
        <v>11</v>
      </c>
      <c r="H366" s="2918">
        <v>5261.45</v>
      </c>
      <c r="I366" s="2919" t="s">
        <v>11</v>
      </c>
      <c r="J366" s="2920" t="s">
        <v>632</v>
      </c>
      <c r="K366" s="5998" t="s">
        <v>1159</v>
      </c>
      <c r="L366" s="6760" t="str">
        <f>VLOOKUP(K366,'COD.'!$A$1:$B$39,2,0)</f>
        <v xml:space="preserve">Ocio y Entretenimiento </v>
      </c>
    </row>
    <row r="367" spans="1:12" x14ac:dyDescent="0.2">
      <c r="A367" s="6383" t="s">
        <v>631</v>
      </c>
      <c r="B367" s="2921" t="s">
        <v>631</v>
      </c>
      <c r="C367" s="6013">
        <f t="shared" si="5"/>
        <v>6</v>
      </c>
      <c r="D367" s="2922" t="s">
        <v>101</v>
      </c>
      <c r="E367" s="2923" t="s">
        <v>10</v>
      </c>
      <c r="F367" s="2924">
        <v>-1.22</v>
      </c>
      <c r="G367" s="2925" t="s">
        <v>11</v>
      </c>
      <c r="H367" s="2926">
        <v>5301.45</v>
      </c>
      <c r="I367" s="2927" t="s">
        <v>11</v>
      </c>
      <c r="J367" s="2928" t="s">
        <v>102</v>
      </c>
      <c r="K367" s="5940" t="s">
        <v>443</v>
      </c>
      <c r="L367" s="6760" t="str">
        <f>VLOOKUP(K367,'COD.'!$A$1:$B$39,2,0)</f>
        <v xml:space="preserve">Salud y Cuidado </v>
      </c>
    </row>
    <row r="368" spans="1:12" x14ac:dyDescent="0.2">
      <c r="A368" s="6384" t="s">
        <v>633</v>
      </c>
      <c r="B368" s="2929" t="s">
        <v>631</v>
      </c>
      <c r="C368" s="6013">
        <f t="shared" si="5"/>
        <v>6</v>
      </c>
      <c r="D368" s="2930" t="s">
        <v>634</v>
      </c>
      <c r="E368" s="2931" t="s">
        <v>10</v>
      </c>
      <c r="F368" s="2932">
        <v>-10.99</v>
      </c>
      <c r="G368" s="2933" t="s">
        <v>11</v>
      </c>
      <c r="H368" s="2934">
        <v>5302.67</v>
      </c>
      <c r="I368" s="2935" t="s">
        <v>11</v>
      </c>
      <c r="J368" s="2936" t="s">
        <v>635</v>
      </c>
      <c r="K368" s="5947" t="s">
        <v>1173</v>
      </c>
      <c r="L368" s="6760" t="str">
        <f>VLOOKUP(K368,'COD.'!$A$1:$B$39,2,0)</f>
        <v xml:space="preserve">Ocio y Entretenimiento </v>
      </c>
    </row>
    <row r="369" spans="1:12" x14ac:dyDescent="0.2">
      <c r="A369" s="6385" t="s">
        <v>619</v>
      </c>
      <c r="B369" s="2937" t="s">
        <v>619</v>
      </c>
      <c r="C369" s="6013">
        <f t="shared" si="5"/>
        <v>6</v>
      </c>
      <c r="D369" s="2938" t="s">
        <v>92</v>
      </c>
      <c r="E369" s="2939" t="s">
        <v>10</v>
      </c>
      <c r="F369" s="2940">
        <v>-2.98</v>
      </c>
      <c r="G369" s="2941" t="s">
        <v>11</v>
      </c>
      <c r="H369" s="2942">
        <v>5313.66</v>
      </c>
      <c r="I369" s="2943" t="s">
        <v>11</v>
      </c>
      <c r="J369" s="2944" t="s">
        <v>93</v>
      </c>
      <c r="K369" s="5940" t="s">
        <v>1148</v>
      </c>
      <c r="L369" s="6760" t="str">
        <f>VLOOKUP(K369,'COD.'!$A$1:$B$39,2,0)</f>
        <v xml:space="preserve">Supermercado </v>
      </c>
    </row>
    <row r="370" spans="1:12" x14ac:dyDescent="0.2">
      <c r="A370" s="6386" t="s">
        <v>633</v>
      </c>
      <c r="B370" s="2945" t="s">
        <v>633</v>
      </c>
      <c r="C370" s="6013">
        <f t="shared" si="5"/>
        <v>6</v>
      </c>
      <c r="D370" s="2946" t="s">
        <v>636</v>
      </c>
      <c r="E370" s="2947" t="s">
        <v>10</v>
      </c>
      <c r="F370" s="2948">
        <v>-8.74</v>
      </c>
      <c r="G370" s="2949" t="s">
        <v>11</v>
      </c>
      <c r="H370" s="2950">
        <v>5316.64</v>
      </c>
      <c r="I370" s="2951" t="s">
        <v>11</v>
      </c>
      <c r="J370" s="2952" t="s">
        <v>637</v>
      </c>
      <c r="K370" s="5940" t="s">
        <v>1158</v>
      </c>
      <c r="L370" s="6760" t="str">
        <f>VLOOKUP(K370,'COD.'!$A$1:$B$39,2,0)</f>
        <v xml:space="preserve">Vivienda y Préstamos </v>
      </c>
    </row>
    <row r="371" spans="1:12" x14ac:dyDescent="0.2">
      <c r="A371" s="6387" t="s">
        <v>638</v>
      </c>
      <c r="B371" s="2953" t="s">
        <v>633</v>
      </c>
      <c r="C371" s="6013">
        <f t="shared" si="5"/>
        <v>6</v>
      </c>
      <c r="D371" s="2954" t="s">
        <v>639</v>
      </c>
      <c r="E371" s="2955" t="s">
        <v>10</v>
      </c>
      <c r="F371" s="2956">
        <v>-18.989999999999998</v>
      </c>
      <c r="G371" s="2957" t="s">
        <v>11</v>
      </c>
      <c r="H371" s="2958">
        <v>5325.38</v>
      </c>
      <c r="I371" s="2959" t="s">
        <v>11</v>
      </c>
      <c r="J371" s="2960" t="s">
        <v>640</v>
      </c>
      <c r="K371" s="5940" t="s">
        <v>1149</v>
      </c>
      <c r="L371" s="6760" t="str">
        <f>VLOOKUP(K371,'COD.'!$A$1:$B$39,2,0)</f>
        <v xml:space="preserve">Ocio y Entretenimiento </v>
      </c>
    </row>
    <row r="372" spans="1:12" x14ac:dyDescent="0.2">
      <c r="A372" s="6388" t="s">
        <v>641</v>
      </c>
      <c r="B372" s="2961" t="s">
        <v>633</v>
      </c>
      <c r="C372" s="6013">
        <f t="shared" si="5"/>
        <v>6</v>
      </c>
      <c r="D372" s="2962" t="s">
        <v>642</v>
      </c>
      <c r="E372" s="2963" t="s">
        <v>10</v>
      </c>
      <c r="F372" s="2964">
        <v>-6.55</v>
      </c>
      <c r="G372" s="2965" t="s">
        <v>11</v>
      </c>
      <c r="H372" s="2966">
        <v>5344.37</v>
      </c>
      <c r="I372" s="2967" t="s">
        <v>11</v>
      </c>
      <c r="J372" s="2968" t="s">
        <v>643</v>
      </c>
      <c r="K372" s="5940" t="s">
        <v>1145</v>
      </c>
      <c r="L372" s="6760" t="str">
        <f>VLOOKUP(K372,'COD.'!$A$1:$B$39,2,0)</f>
        <v xml:space="preserve">Ocio y Entretenimiento </v>
      </c>
    </row>
    <row r="373" spans="1:12" x14ac:dyDescent="0.2">
      <c r="A373" s="6389" t="s">
        <v>641</v>
      </c>
      <c r="B373" s="2969" t="s">
        <v>633</v>
      </c>
      <c r="C373" s="6013">
        <f t="shared" si="5"/>
        <v>6</v>
      </c>
      <c r="D373" s="2970" t="s">
        <v>424</v>
      </c>
      <c r="E373" s="2971" t="s">
        <v>10</v>
      </c>
      <c r="F373" s="2972">
        <v>-2.9</v>
      </c>
      <c r="G373" s="2973" t="s">
        <v>11</v>
      </c>
      <c r="H373" s="2974">
        <v>5350.92</v>
      </c>
      <c r="I373" s="2975" t="s">
        <v>11</v>
      </c>
      <c r="J373" s="2976" t="s">
        <v>425</v>
      </c>
      <c r="K373" s="5940" t="s">
        <v>1145</v>
      </c>
      <c r="L373" s="6760" t="str">
        <f>VLOOKUP(K373,'COD.'!$A$1:$B$39,2,0)</f>
        <v xml:space="preserve">Ocio y Entretenimiento </v>
      </c>
    </row>
    <row r="374" spans="1:12" x14ac:dyDescent="0.2">
      <c r="A374" s="6390" t="s">
        <v>641</v>
      </c>
      <c r="B374" s="2977" t="s">
        <v>633</v>
      </c>
      <c r="C374" s="6013">
        <f t="shared" si="5"/>
        <v>6</v>
      </c>
      <c r="D374" s="2978" t="s">
        <v>424</v>
      </c>
      <c r="E374" s="2979" t="s">
        <v>10</v>
      </c>
      <c r="F374" s="2980">
        <v>-21.5</v>
      </c>
      <c r="G374" s="2981" t="s">
        <v>11</v>
      </c>
      <c r="H374" s="2982">
        <v>5353.82</v>
      </c>
      <c r="I374" s="2983" t="s">
        <v>11</v>
      </c>
      <c r="J374" s="2984" t="s">
        <v>425</v>
      </c>
      <c r="K374" s="5940" t="s">
        <v>1145</v>
      </c>
      <c r="L374" s="6760" t="str">
        <f>VLOOKUP(K374,'COD.'!$A$1:$B$39,2,0)</f>
        <v xml:space="preserve">Ocio y Entretenimiento </v>
      </c>
    </row>
    <row r="375" spans="1:12" x14ac:dyDescent="0.2">
      <c r="A375" s="6391" t="s">
        <v>641</v>
      </c>
      <c r="B375" s="2985" t="s">
        <v>633</v>
      </c>
      <c r="C375" s="6013">
        <f t="shared" si="5"/>
        <v>6</v>
      </c>
      <c r="D375" s="2986" t="s">
        <v>644</v>
      </c>
      <c r="E375" s="2987" t="s">
        <v>10</v>
      </c>
      <c r="F375" s="2988">
        <v>-14.95</v>
      </c>
      <c r="G375" s="2989" t="s">
        <v>11</v>
      </c>
      <c r="H375" s="2990">
        <v>5375.32</v>
      </c>
      <c r="I375" s="2991" t="s">
        <v>11</v>
      </c>
      <c r="J375" s="2992" t="s">
        <v>645</v>
      </c>
      <c r="K375" s="5940" t="s">
        <v>1146</v>
      </c>
      <c r="L375" s="6760" t="str">
        <f>VLOOKUP(K375,'COD.'!$A$1:$B$39,2,0)</f>
        <v xml:space="preserve">Supermercado </v>
      </c>
    </row>
    <row r="376" spans="1:12" x14ac:dyDescent="0.2">
      <c r="A376" s="6392" t="s">
        <v>641</v>
      </c>
      <c r="B376" s="2993" t="s">
        <v>633</v>
      </c>
      <c r="C376" s="6013">
        <f t="shared" si="5"/>
        <v>6</v>
      </c>
      <c r="D376" s="2994" t="s">
        <v>108</v>
      </c>
      <c r="E376" s="2995" t="s">
        <v>10</v>
      </c>
      <c r="F376" s="2996">
        <v>-2.77</v>
      </c>
      <c r="G376" s="2997" t="s">
        <v>11</v>
      </c>
      <c r="H376" s="2998">
        <v>5390.27</v>
      </c>
      <c r="I376" s="2999" t="s">
        <v>11</v>
      </c>
      <c r="J376" s="3000" t="s">
        <v>109</v>
      </c>
      <c r="K376" s="5940" t="s">
        <v>1145</v>
      </c>
      <c r="L376" s="6760" t="str">
        <f>VLOOKUP(K376,'COD.'!$A$1:$B$39,2,0)</f>
        <v xml:space="preserve">Ocio y Entretenimiento </v>
      </c>
    </row>
    <row r="377" spans="1:12" x14ac:dyDescent="0.2">
      <c r="A377" s="6393" t="s">
        <v>646</v>
      </c>
      <c r="B377" s="3001" t="s">
        <v>633</v>
      </c>
      <c r="C377" s="6013">
        <f t="shared" si="5"/>
        <v>6</v>
      </c>
      <c r="D377" s="3002" t="s">
        <v>647</v>
      </c>
      <c r="E377" s="3003" t="s">
        <v>10</v>
      </c>
      <c r="F377" s="3004">
        <v>-6.6</v>
      </c>
      <c r="G377" s="3005" t="s">
        <v>11</v>
      </c>
      <c r="H377" s="3006">
        <v>5393.04</v>
      </c>
      <c r="I377" s="3007" t="s">
        <v>11</v>
      </c>
      <c r="J377" s="3008" t="s">
        <v>648</v>
      </c>
      <c r="K377" s="5940" t="s">
        <v>1145</v>
      </c>
      <c r="L377" s="6760" t="str">
        <f>VLOOKUP(K377,'COD.'!$A$1:$B$39,2,0)</f>
        <v xml:space="preserve">Ocio y Entretenimiento </v>
      </c>
    </row>
    <row r="378" spans="1:12" x14ac:dyDescent="0.2">
      <c r="A378" s="6394" t="s">
        <v>646</v>
      </c>
      <c r="B378" s="3009" t="s">
        <v>633</v>
      </c>
      <c r="C378" s="6013">
        <f t="shared" si="5"/>
        <v>6</v>
      </c>
      <c r="D378" s="3010" t="s">
        <v>649</v>
      </c>
      <c r="E378" s="3011" t="s">
        <v>10</v>
      </c>
      <c r="F378" s="3012">
        <v>-5.7</v>
      </c>
      <c r="G378" s="3013" t="s">
        <v>11</v>
      </c>
      <c r="H378" s="3014">
        <v>5399.64</v>
      </c>
      <c r="I378" s="3015" t="s">
        <v>11</v>
      </c>
      <c r="J378" s="3016" t="s">
        <v>650</v>
      </c>
      <c r="K378" s="5940" t="s">
        <v>1145</v>
      </c>
      <c r="L378" s="6760" t="str">
        <f>VLOOKUP(K378,'COD.'!$A$1:$B$39,2,0)</f>
        <v xml:space="preserve">Ocio y Entretenimiento </v>
      </c>
    </row>
    <row r="379" spans="1:12" x14ac:dyDescent="0.2">
      <c r="A379" s="6395" t="s">
        <v>646</v>
      </c>
      <c r="B379" s="3017" t="s">
        <v>633</v>
      </c>
      <c r="C379" s="6013">
        <f t="shared" si="5"/>
        <v>6</v>
      </c>
      <c r="D379" s="3018" t="s">
        <v>172</v>
      </c>
      <c r="E379" s="3019" t="s">
        <v>10</v>
      </c>
      <c r="F379" s="3020">
        <v>-6.3</v>
      </c>
      <c r="G379" s="3021" t="s">
        <v>11</v>
      </c>
      <c r="H379" s="3022">
        <v>5405.34</v>
      </c>
      <c r="I379" s="3023" t="s">
        <v>11</v>
      </c>
      <c r="J379" s="3024" t="s">
        <v>173</v>
      </c>
      <c r="K379" s="5940" t="s">
        <v>1145</v>
      </c>
      <c r="L379" s="6760" t="str">
        <f>VLOOKUP(K379,'COD.'!$A$1:$B$39,2,0)</f>
        <v xml:space="preserve">Ocio y Entretenimiento </v>
      </c>
    </row>
    <row r="380" spans="1:12" x14ac:dyDescent="0.2">
      <c r="A380" s="6396" t="s">
        <v>646</v>
      </c>
      <c r="B380" s="3025" t="s">
        <v>633</v>
      </c>
      <c r="C380" s="6013">
        <f t="shared" si="5"/>
        <v>6</v>
      </c>
      <c r="D380" s="3026" t="s">
        <v>651</v>
      </c>
      <c r="E380" s="3027" t="s">
        <v>10</v>
      </c>
      <c r="F380" s="3028">
        <v>-2.9</v>
      </c>
      <c r="G380" s="3029" t="s">
        <v>11</v>
      </c>
      <c r="H380" s="3030">
        <v>5411.64</v>
      </c>
      <c r="I380" s="3031" t="s">
        <v>11</v>
      </c>
      <c r="J380" s="3032" t="s">
        <v>652</v>
      </c>
      <c r="K380" s="5940" t="s">
        <v>1145</v>
      </c>
      <c r="L380" s="6760" t="str">
        <f>VLOOKUP(K380,'COD.'!$A$1:$B$39,2,0)</f>
        <v xml:space="preserve">Ocio y Entretenimiento </v>
      </c>
    </row>
    <row r="381" spans="1:12" x14ac:dyDescent="0.2">
      <c r="A381" s="6397" t="s">
        <v>653</v>
      </c>
      <c r="B381" s="3033" t="s">
        <v>633</v>
      </c>
      <c r="C381" s="6013">
        <f t="shared" si="5"/>
        <v>6</v>
      </c>
      <c r="D381" s="3034" t="s">
        <v>642</v>
      </c>
      <c r="E381" s="3035" t="s">
        <v>10</v>
      </c>
      <c r="F381" s="3036">
        <v>-4.55</v>
      </c>
      <c r="G381" s="3037" t="s">
        <v>11</v>
      </c>
      <c r="H381" s="3038">
        <v>5414.54</v>
      </c>
      <c r="I381" s="3039" t="s">
        <v>11</v>
      </c>
      <c r="J381" s="3040" t="s">
        <v>643</v>
      </c>
      <c r="K381" s="5940" t="s">
        <v>1145</v>
      </c>
      <c r="L381" s="6760" t="str">
        <f>VLOOKUP(K381,'COD.'!$A$1:$B$39,2,0)</f>
        <v xml:space="preserve">Ocio y Entretenimiento </v>
      </c>
    </row>
    <row r="382" spans="1:12" x14ac:dyDescent="0.2">
      <c r="A382" s="6398" t="s">
        <v>638</v>
      </c>
      <c r="B382" s="3041" t="s">
        <v>638</v>
      </c>
      <c r="C382" s="6013">
        <f t="shared" si="5"/>
        <v>6</v>
      </c>
      <c r="D382" s="3042" t="s">
        <v>103</v>
      </c>
      <c r="E382" s="3043" t="s">
        <v>10</v>
      </c>
      <c r="F382" s="3044">
        <v>-41.72</v>
      </c>
      <c r="G382" s="3045" t="s">
        <v>11</v>
      </c>
      <c r="H382" s="3046">
        <v>5419.09</v>
      </c>
      <c r="I382" s="3047" t="s">
        <v>11</v>
      </c>
      <c r="J382" s="3048" t="s">
        <v>104</v>
      </c>
      <c r="K382" s="5940" t="s">
        <v>1148</v>
      </c>
      <c r="L382" s="6760" t="str">
        <f>VLOOKUP(K382,'COD.'!$A$1:$B$39,2,0)</f>
        <v xml:space="preserve">Supermercado </v>
      </c>
    </row>
    <row r="383" spans="1:12" x14ac:dyDescent="0.2">
      <c r="A383" s="6399" t="s">
        <v>638</v>
      </c>
      <c r="B383" s="3049" t="s">
        <v>638</v>
      </c>
      <c r="C383" s="6013">
        <f t="shared" si="5"/>
        <v>6</v>
      </c>
      <c r="D383" s="3050" t="s">
        <v>654</v>
      </c>
      <c r="E383" s="3051" t="s">
        <v>10</v>
      </c>
      <c r="F383" s="3052">
        <v>-16.25</v>
      </c>
      <c r="G383" s="3053" t="s">
        <v>11</v>
      </c>
      <c r="H383" s="3054">
        <v>5460.81</v>
      </c>
      <c r="I383" s="3055" t="s">
        <v>11</v>
      </c>
      <c r="J383" s="3056" t="s">
        <v>655</v>
      </c>
      <c r="K383" s="5940" t="s">
        <v>1148</v>
      </c>
      <c r="L383" s="6760" t="str">
        <f>VLOOKUP(K383,'COD.'!$A$1:$B$39,2,0)</f>
        <v xml:space="preserve">Supermercado </v>
      </c>
    </row>
    <row r="384" spans="1:12" x14ac:dyDescent="0.2">
      <c r="A384" s="6400" t="s">
        <v>638</v>
      </c>
      <c r="B384" s="3057" t="s">
        <v>638</v>
      </c>
      <c r="C384" s="6013">
        <f t="shared" si="5"/>
        <v>6</v>
      </c>
      <c r="D384" s="3058" t="s">
        <v>656</v>
      </c>
      <c r="E384" s="3059" t="s">
        <v>10</v>
      </c>
      <c r="F384" s="3060">
        <v>-23</v>
      </c>
      <c r="G384" s="3061" t="s">
        <v>11</v>
      </c>
      <c r="H384" s="3062">
        <v>5477.06</v>
      </c>
      <c r="I384" s="3063" t="s">
        <v>11</v>
      </c>
      <c r="J384" s="3064" t="s">
        <v>657</v>
      </c>
      <c r="K384" s="5940" t="s">
        <v>1149</v>
      </c>
      <c r="L384" s="6760" t="str">
        <f>VLOOKUP(K384,'COD.'!$A$1:$B$39,2,0)</f>
        <v xml:space="preserve">Ocio y Entretenimiento </v>
      </c>
    </row>
    <row r="385" spans="1:12" x14ac:dyDescent="0.2">
      <c r="A385" s="6401" t="s">
        <v>658</v>
      </c>
      <c r="B385" s="3065" t="s">
        <v>658</v>
      </c>
      <c r="C385" s="6013">
        <f t="shared" si="5"/>
        <v>6</v>
      </c>
      <c r="D385" s="3066" t="s">
        <v>119</v>
      </c>
      <c r="E385" s="3067" t="s">
        <v>10</v>
      </c>
      <c r="F385" s="3068">
        <v>-3.6</v>
      </c>
      <c r="G385" s="3069" t="s">
        <v>11</v>
      </c>
      <c r="H385" s="3070">
        <v>5500.06</v>
      </c>
      <c r="I385" s="3071" t="s">
        <v>11</v>
      </c>
      <c r="J385" s="3072" t="s">
        <v>120</v>
      </c>
      <c r="K385" s="5940" t="s">
        <v>1145</v>
      </c>
      <c r="L385" s="6760" t="str">
        <f>VLOOKUP(K385,'COD.'!$A$1:$B$39,2,0)</f>
        <v xml:space="preserve">Ocio y Entretenimiento </v>
      </c>
    </row>
    <row r="386" spans="1:12" x14ac:dyDescent="0.2">
      <c r="A386" s="6402" t="s">
        <v>658</v>
      </c>
      <c r="B386" s="3073" t="s">
        <v>658</v>
      </c>
      <c r="C386" s="6013">
        <f t="shared" si="5"/>
        <v>6</v>
      </c>
      <c r="D386" s="3074" t="s">
        <v>544</v>
      </c>
      <c r="E386" s="3075" t="s">
        <v>10</v>
      </c>
      <c r="F386" s="3076">
        <v>-4.0599999999999996</v>
      </c>
      <c r="G386" s="3077" t="s">
        <v>11</v>
      </c>
      <c r="H386" s="3078">
        <v>5503.66</v>
      </c>
      <c r="I386" s="3079" t="s">
        <v>11</v>
      </c>
      <c r="J386" s="3080" t="s">
        <v>545</v>
      </c>
      <c r="K386" s="5940" t="s">
        <v>1148</v>
      </c>
      <c r="L386" s="6760" t="str">
        <f>VLOOKUP(K386,'COD.'!$A$1:$B$39,2,0)</f>
        <v xml:space="preserve">Supermercado </v>
      </c>
    </row>
    <row r="387" spans="1:12" x14ac:dyDescent="0.2">
      <c r="A387" s="6403" t="s">
        <v>658</v>
      </c>
      <c r="B387" s="3081" t="s">
        <v>658</v>
      </c>
      <c r="C387" s="6013">
        <f t="shared" ref="C387:C450" si="6">MONTH(A387)</f>
        <v>6</v>
      </c>
      <c r="D387" s="3082" t="s">
        <v>584</v>
      </c>
      <c r="E387" s="3083" t="s">
        <v>10</v>
      </c>
      <c r="F387" s="3084">
        <v>-13.3</v>
      </c>
      <c r="G387" s="3085" t="s">
        <v>11</v>
      </c>
      <c r="H387" s="3086">
        <v>5507.72</v>
      </c>
      <c r="I387" s="3087" t="s">
        <v>11</v>
      </c>
      <c r="J387" s="3088" t="s">
        <v>585</v>
      </c>
      <c r="K387" s="5940" t="s">
        <v>1145</v>
      </c>
      <c r="L387" s="6760" t="str">
        <f>VLOOKUP(K387,'COD.'!$A$1:$B$39,2,0)</f>
        <v xml:space="preserve">Ocio y Entretenimiento </v>
      </c>
    </row>
    <row r="388" spans="1:12" x14ac:dyDescent="0.2">
      <c r="A388" s="6404" t="s">
        <v>659</v>
      </c>
      <c r="B388" s="3089" t="s">
        <v>659</v>
      </c>
      <c r="C388" s="6013">
        <f t="shared" si="6"/>
        <v>6</v>
      </c>
      <c r="D388" s="3090" t="s">
        <v>288</v>
      </c>
      <c r="E388" s="3091" t="s">
        <v>10</v>
      </c>
      <c r="F388" s="3092">
        <v>-6.8</v>
      </c>
      <c r="G388" s="3093" t="s">
        <v>11</v>
      </c>
      <c r="H388" s="3094">
        <v>5521.02</v>
      </c>
      <c r="I388" s="3095" t="s">
        <v>11</v>
      </c>
      <c r="J388" s="3096" t="s">
        <v>289</v>
      </c>
      <c r="K388" s="5940" t="s">
        <v>1145</v>
      </c>
      <c r="L388" s="6760" t="str">
        <f>VLOOKUP(K388,'COD.'!$A$1:$B$39,2,0)</f>
        <v xml:space="preserve">Ocio y Entretenimiento </v>
      </c>
    </row>
    <row r="389" spans="1:12" x14ac:dyDescent="0.2">
      <c r="A389" s="6405" t="s">
        <v>659</v>
      </c>
      <c r="B389" s="3097" t="s">
        <v>659</v>
      </c>
      <c r="C389" s="6013">
        <f t="shared" si="6"/>
        <v>6</v>
      </c>
      <c r="D389" s="3098" t="s">
        <v>334</v>
      </c>
      <c r="E389" s="3099" t="s">
        <v>10</v>
      </c>
      <c r="F389" s="3100">
        <v>-2.95</v>
      </c>
      <c r="G389" s="3101" t="s">
        <v>11</v>
      </c>
      <c r="H389" s="3102">
        <v>5527.82</v>
      </c>
      <c r="I389" s="3103" t="s">
        <v>11</v>
      </c>
      <c r="J389" s="3104" t="s">
        <v>335</v>
      </c>
      <c r="K389" s="5940" t="s">
        <v>1148</v>
      </c>
      <c r="L389" s="6760" t="str">
        <f>VLOOKUP(K389,'COD.'!$A$1:$B$39,2,0)</f>
        <v xml:space="preserve">Supermercado </v>
      </c>
    </row>
    <row r="390" spans="1:12" x14ac:dyDescent="0.2">
      <c r="A390" s="6406" t="s">
        <v>659</v>
      </c>
      <c r="B390" s="3105" t="s">
        <v>659</v>
      </c>
      <c r="C390" s="6013">
        <f t="shared" si="6"/>
        <v>6</v>
      </c>
      <c r="D390" s="3106" t="s">
        <v>51</v>
      </c>
      <c r="E390" s="3107" t="s">
        <v>10</v>
      </c>
      <c r="F390" s="3108">
        <v>-8</v>
      </c>
      <c r="G390" s="3109" t="s">
        <v>11</v>
      </c>
      <c r="H390" s="3110">
        <v>5530.77</v>
      </c>
      <c r="I390" s="3111" t="s">
        <v>11</v>
      </c>
      <c r="J390" s="3112" t="s">
        <v>52</v>
      </c>
      <c r="K390" s="5940" t="s">
        <v>1147</v>
      </c>
      <c r="L390" s="6760" t="str">
        <f>VLOOKUP(K390,'COD.'!$A$1:$B$39,2,0)</f>
        <v xml:space="preserve">Otros Gastos Generales </v>
      </c>
    </row>
    <row r="391" spans="1:12" x14ac:dyDescent="0.2">
      <c r="A391" s="6407" t="s">
        <v>660</v>
      </c>
      <c r="B391" s="3113" t="s">
        <v>659</v>
      </c>
      <c r="C391" s="6013">
        <f t="shared" si="6"/>
        <v>6</v>
      </c>
      <c r="D391" s="3114" t="s">
        <v>96</v>
      </c>
      <c r="E391" s="3115" t="s">
        <v>10</v>
      </c>
      <c r="F391" s="3116">
        <v>-2.99</v>
      </c>
      <c r="G391" s="3117" t="s">
        <v>11</v>
      </c>
      <c r="H391" s="3118">
        <v>5538.77</v>
      </c>
      <c r="I391" s="3119" t="s">
        <v>11</v>
      </c>
      <c r="J391" s="3120" t="s">
        <v>97</v>
      </c>
      <c r="K391" s="5972" t="s">
        <v>1150</v>
      </c>
      <c r="L391" s="6760" t="str">
        <f>VLOOKUP(K391,'COD.'!$A$1:$B$39,2,0)</f>
        <v xml:space="preserve">Ocio y Entretenimiento </v>
      </c>
    </row>
    <row r="392" spans="1:12" x14ac:dyDescent="0.2">
      <c r="A392" s="6408" t="s">
        <v>661</v>
      </c>
      <c r="B392" s="3121" t="s">
        <v>662</v>
      </c>
      <c r="C392" s="6013">
        <f t="shared" si="6"/>
        <v>6</v>
      </c>
      <c r="D392" s="3122" t="s">
        <v>642</v>
      </c>
      <c r="E392" s="3123" t="s">
        <v>10</v>
      </c>
      <c r="F392" s="3124">
        <v>-6.5</v>
      </c>
      <c r="G392" s="3125" t="s">
        <v>11</v>
      </c>
      <c r="H392" s="3126">
        <v>5541.76</v>
      </c>
      <c r="I392" s="3127" t="s">
        <v>11</v>
      </c>
      <c r="J392" s="3128" t="s">
        <v>643</v>
      </c>
      <c r="K392" s="5940" t="s">
        <v>1145</v>
      </c>
      <c r="L392" s="6760" t="str">
        <f>VLOOKUP(K392,'COD.'!$A$1:$B$39,2,0)</f>
        <v xml:space="preserve">Ocio y Entretenimiento </v>
      </c>
    </row>
    <row r="393" spans="1:12" x14ac:dyDescent="0.2">
      <c r="A393" s="6409" t="s">
        <v>661</v>
      </c>
      <c r="B393" s="3129" t="s">
        <v>662</v>
      </c>
      <c r="C393" s="6013">
        <f t="shared" si="6"/>
        <v>6</v>
      </c>
      <c r="D393" s="3130" t="s">
        <v>108</v>
      </c>
      <c r="E393" s="3131" t="s">
        <v>10</v>
      </c>
      <c r="F393" s="3132">
        <v>-4.26</v>
      </c>
      <c r="G393" s="3133" t="s">
        <v>11</v>
      </c>
      <c r="H393" s="3134">
        <v>5548.26</v>
      </c>
      <c r="I393" s="3135" t="s">
        <v>11</v>
      </c>
      <c r="J393" s="3136" t="s">
        <v>109</v>
      </c>
      <c r="K393" s="5940" t="s">
        <v>1145</v>
      </c>
      <c r="L393" s="6760" t="str">
        <f>VLOOKUP(K393,'COD.'!$A$1:$B$39,2,0)</f>
        <v xml:space="preserve">Ocio y Entretenimiento </v>
      </c>
    </row>
    <row r="394" spans="1:12" x14ac:dyDescent="0.2">
      <c r="A394" s="6410" t="s">
        <v>660</v>
      </c>
      <c r="B394" s="3137" t="s">
        <v>662</v>
      </c>
      <c r="C394" s="6013">
        <f t="shared" si="6"/>
        <v>6</v>
      </c>
      <c r="D394" s="3138" t="s">
        <v>60</v>
      </c>
      <c r="E394" s="3139" t="s">
        <v>663</v>
      </c>
      <c r="F394" s="3140">
        <v>-26</v>
      </c>
      <c r="G394" s="3141" t="s">
        <v>11</v>
      </c>
      <c r="H394" s="3142">
        <v>5552.52</v>
      </c>
      <c r="I394" s="3143" t="s">
        <v>11</v>
      </c>
      <c r="J394" s="3144" t="s">
        <v>664</v>
      </c>
      <c r="K394" s="5982" t="s">
        <v>60</v>
      </c>
      <c r="L394" s="6760" t="str">
        <f>VLOOKUP(K394,'COD.'!$A$1:$B$39,2,0)</f>
        <v xml:space="preserve">Transferencias y Efectivo </v>
      </c>
    </row>
    <row r="395" spans="1:12" x14ac:dyDescent="0.2">
      <c r="A395" s="6411" t="s">
        <v>660</v>
      </c>
      <c r="B395" s="3145" t="s">
        <v>662</v>
      </c>
      <c r="C395" s="6013">
        <f t="shared" si="6"/>
        <v>6</v>
      </c>
      <c r="D395" s="3146" t="s">
        <v>486</v>
      </c>
      <c r="E395" s="3147" t="s">
        <v>10</v>
      </c>
      <c r="F395" s="3148">
        <v>-23.69</v>
      </c>
      <c r="G395" s="3149" t="s">
        <v>11</v>
      </c>
      <c r="H395" s="3150">
        <v>5578.52</v>
      </c>
      <c r="I395" s="3151" t="s">
        <v>11</v>
      </c>
      <c r="J395" s="3152" t="s">
        <v>487</v>
      </c>
      <c r="K395" s="5940" t="s">
        <v>1146</v>
      </c>
      <c r="L395" s="6760" t="str">
        <f>VLOOKUP(K395,'COD.'!$A$1:$B$39,2,0)</f>
        <v xml:space="preserve">Supermercado </v>
      </c>
    </row>
    <row r="396" spans="1:12" x14ac:dyDescent="0.2">
      <c r="A396" s="6412" t="s">
        <v>660</v>
      </c>
      <c r="B396" s="3153" t="s">
        <v>662</v>
      </c>
      <c r="C396" s="6013">
        <f t="shared" si="6"/>
        <v>6</v>
      </c>
      <c r="D396" s="3154" t="s">
        <v>538</v>
      </c>
      <c r="E396" s="3155" t="s">
        <v>10</v>
      </c>
      <c r="F396" s="3156">
        <v>-49</v>
      </c>
      <c r="G396" s="3157" t="s">
        <v>11</v>
      </c>
      <c r="H396" s="3158">
        <v>5602.21</v>
      </c>
      <c r="I396" s="3159" t="s">
        <v>11</v>
      </c>
      <c r="J396" s="3160" t="s">
        <v>539</v>
      </c>
      <c r="K396" s="5999" t="s">
        <v>1162</v>
      </c>
      <c r="L396" s="6760" t="str">
        <f>VLOOKUP(K396,'COD.'!$A$1:$B$39,2,0)</f>
        <v xml:space="preserve">Ocio y Entretenimiento </v>
      </c>
    </row>
    <row r="397" spans="1:12" x14ac:dyDescent="0.2">
      <c r="A397" s="6413" t="s">
        <v>660</v>
      </c>
      <c r="B397" s="3161" t="s">
        <v>662</v>
      </c>
      <c r="C397" s="6013">
        <f t="shared" si="6"/>
        <v>6</v>
      </c>
      <c r="D397" s="3162" t="s">
        <v>90</v>
      </c>
      <c r="E397" s="3163" t="s">
        <v>10</v>
      </c>
      <c r="F397" s="3164">
        <v>-11.86</v>
      </c>
      <c r="G397" s="3165" t="s">
        <v>11</v>
      </c>
      <c r="H397" s="3166">
        <v>5651.21</v>
      </c>
      <c r="I397" s="3167" t="s">
        <v>11</v>
      </c>
      <c r="J397" s="3168" t="s">
        <v>91</v>
      </c>
      <c r="K397" s="5940" t="s">
        <v>1156</v>
      </c>
      <c r="L397" s="6760" t="str">
        <f>VLOOKUP(K397,'COD.'!$A$1:$B$39,2,0)</f>
        <v>Moto</v>
      </c>
    </row>
    <row r="398" spans="1:12" x14ac:dyDescent="0.2">
      <c r="A398" s="6414" t="s">
        <v>660</v>
      </c>
      <c r="B398" s="3169" t="s">
        <v>662</v>
      </c>
      <c r="C398" s="6013">
        <f t="shared" si="6"/>
        <v>6</v>
      </c>
      <c r="D398" s="3170" t="s">
        <v>39</v>
      </c>
      <c r="E398" s="3171" t="s">
        <v>10</v>
      </c>
      <c r="F398" s="3172">
        <v>-83.84</v>
      </c>
      <c r="G398" s="3173" t="s">
        <v>11</v>
      </c>
      <c r="H398" s="3174">
        <v>5663.07</v>
      </c>
      <c r="I398" s="3175" t="s">
        <v>11</v>
      </c>
      <c r="J398" s="3176" t="s">
        <v>111</v>
      </c>
      <c r="K398" s="5940" t="s">
        <v>443</v>
      </c>
      <c r="L398" s="6760" t="str">
        <f>VLOOKUP(K398,'COD.'!$A$1:$B$39,2,0)</f>
        <v xml:space="preserve">Salud y Cuidado </v>
      </c>
    </row>
    <row r="399" spans="1:12" x14ac:dyDescent="0.2">
      <c r="A399" s="6415" t="s">
        <v>665</v>
      </c>
      <c r="B399" s="3177" t="s">
        <v>666</v>
      </c>
      <c r="C399" s="6013">
        <f t="shared" si="6"/>
        <v>6</v>
      </c>
      <c r="D399" s="3178" t="s">
        <v>667</v>
      </c>
      <c r="E399" s="3179" t="s">
        <v>10</v>
      </c>
      <c r="F399" s="3180">
        <v>-61.95</v>
      </c>
      <c r="G399" s="3181" t="s">
        <v>11</v>
      </c>
      <c r="H399" s="3182">
        <v>5746.91</v>
      </c>
      <c r="I399" s="3183" t="s">
        <v>11</v>
      </c>
      <c r="J399" s="3184" t="s">
        <v>668</v>
      </c>
      <c r="K399" s="5940" t="s">
        <v>1149</v>
      </c>
      <c r="L399" s="6760" t="str">
        <f>VLOOKUP(K399,'COD.'!$A$1:$B$39,2,0)</f>
        <v xml:space="preserve">Ocio y Entretenimiento </v>
      </c>
    </row>
    <row r="400" spans="1:12" x14ac:dyDescent="0.2">
      <c r="A400" s="6416" t="s">
        <v>666</v>
      </c>
      <c r="B400" s="3185" t="s">
        <v>666</v>
      </c>
      <c r="C400" s="6013">
        <f t="shared" si="6"/>
        <v>6</v>
      </c>
      <c r="D400" s="3186" t="s">
        <v>355</v>
      </c>
      <c r="E400" s="3187" t="s">
        <v>356</v>
      </c>
      <c r="F400" s="3188">
        <v>272.55</v>
      </c>
      <c r="G400" s="3189" t="s">
        <v>11</v>
      </c>
      <c r="H400" s="3190">
        <v>5808.86</v>
      </c>
      <c r="I400" s="3191" t="s">
        <v>11</v>
      </c>
      <c r="J400" s="3192" t="s">
        <v>669</v>
      </c>
      <c r="K400" s="5980" t="s">
        <v>179</v>
      </c>
      <c r="L400" s="6760" t="str">
        <f>VLOOKUP(K400,'COD.'!$A$1:$B$39,2,0)</f>
        <v xml:space="preserve">Vivienda y Préstamos </v>
      </c>
    </row>
    <row r="401" spans="1:12" x14ac:dyDescent="0.2">
      <c r="A401" s="6417" t="s">
        <v>670</v>
      </c>
      <c r="B401" s="3193" t="s">
        <v>670</v>
      </c>
      <c r="C401" s="6013">
        <f t="shared" si="6"/>
        <v>6</v>
      </c>
      <c r="D401" s="3194" t="s">
        <v>671</v>
      </c>
      <c r="E401" s="3195" t="s">
        <v>10</v>
      </c>
      <c r="F401" s="3196">
        <v>-100</v>
      </c>
      <c r="G401" s="3197" t="s">
        <v>11</v>
      </c>
      <c r="H401" s="3198">
        <v>5536.31</v>
      </c>
      <c r="I401" s="3199" t="s">
        <v>11</v>
      </c>
      <c r="J401" s="3200" t="s">
        <v>672</v>
      </c>
      <c r="K401" s="5940" t="s">
        <v>1157</v>
      </c>
      <c r="L401" s="6760" t="str">
        <f>VLOOKUP(K401,'COD.'!$A$1:$B$39,2,0)</f>
        <v xml:space="preserve">Ocio y Entretenimiento </v>
      </c>
    </row>
    <row r="402" spans="1:12" x14ac:dyDescent="0.2">
      <c r="A402" s="6418" t="s">
        <v>670</v>
      </c>
      <c r="B402" s="3201" t="s">
        <v>670</v>
      </c>
      <c r="C402" s="6013">
        <f t="shared" si="6"/>
        <v>6</v>
      </c>
      <c r="D402" s="3202" t="s">
        <v>60</v>
      </c>
      <c r="E402" s="3203" t="s">
        <v>673</v>
      </c>
      <c r="F402" s="3204">
        <v>-110</v>
      </c>
      <c r="G402" s="3205" t="s">
        <v>11</v>
      </c>
      <c r="H402" s="3206">
        <v>5636.31</v>
      </c>
      <c r="I402" s="3207" t="s">
        <v>11</v>
      </c>
      <c r="J402" s="3208" t="s">
        <v>674</v>
      </c>
      <c r="K402" s="5982" t="s">
        <v>60</v>
      </c>
      <c r="L402" s="6760" t="str">
        <f>VLOOKUP(K402,'COD.'!$A$1:$B$39,2,0)</f>
        <v xml:space="preserve">Transferencias y Efectivo </v>
      </c>
    </row>
    <row r="403" spans="1:12" x14ac:dyDescent="0.2">
      <c r="A403" s="6419" t="s">
        <v>675</v>
      </c>
      <c r="B403" s="3209" t="s">
        <v>675</v>
      </c>
      <c r="C403" s="6013">
        <f t="shared" si="6"/>
        <v>6</v>
      </c>
      <c r="D403" s="3210" t="s">
        <v>235</v>
      </c>
      <c r="E403" s="3211" t="s">
        <v>10</v>
      </c>
      <c r="F403" s="3212">
        <v>-32.68</v>
      </c>
      <c r="G403" s="3213" t="s">
        <v>11</v>
      </c>
      <c r="H403" s="3214">
        <v>5746.31</v>
      </c>
      <c r="I403" s="3215" t="s">
        <v>11</v>
      </c>
      <c r="J403" s="3216" t="s">
        <v>236</v>
      </c>
      <c r="K403" s="5940" t="s">
        <v>1146</v>
      </c>
      <c r="L403" s="6760" t="str">
        <f>VLOOKUP(K403,'COD.'!$A$1:$B$39,2,0)</f>
        <v xml:space="preserve">Supermercado </v>
      </c>
    </row>
    <row r="404" spans="1:12" x14ac:dyDescent="0.2">
      <c r="A404" s="6420" t="s">
        <v>675</v>
      </c>
      <c r="B404" s="3217" t="s">
        <v>675</v>
      </c>
      <c r="C404" s="6013">
        <f t="shared" si="6"/>
        <v>6</v>
      </c>
      <c r="D404" s="3218" t="s">
        <v>320</v>
      </c>
      <c r="E404" s="3219" t="s">
        <v>164</v>
      </c>
      <c r="F404" s="3220">
        <v>-20</v>
      </c>
      <c r="G404" s="3221" t="s">
        <v>11</v>
      </c>
      <c r="H404" s="3222">
        <v>5778.99</v>
      </c>
      <c r="I404" s="3223" t="s">
        <v>11</v>
      </c>
      <c r="J404" s="3224" t="s">
        <v>336</v>
      </c>
      <c r="K404" s="5998" t="s">
        <v>1159</v>
      </c>
      <c r="L404" s="6760" t="str">
        <f>VLOOKUP(K404,'COD.'!$A$1:$B$39,2,0)</f>
        <v xml:space="preserve">Ocio y Entretenimiento </v>
      </c>
    </row>
    <row r="405" spans="1:12" x14ac:dyDescent="0.2">
      <c r="A405" s="6421" t="s">
        <v>675</v>
      </c>
      <c r="B405" s="3225" t="s">
        <v>675</v>
      </c>
      <c r="C405" s="6013">
        <f t="shared" si="6"/>
        <v>6</v>
      </c>
      <c r="D405" s="3226" t="s">
        <v>288</v>
      </c>
      <c r="E405" s="3227" t="s">
        <v>10</v>
      </c>
      <c r="F405" s="3228">
        <v>-3.1</v>
      </c>
      <c r="G405" s="3229" t="s">
        <v>11</v>
      </c>
      <c r="H405" s="3230">
        <v>5798.99</v>
      </c>
      <c r="I405" s="3231" t="s">
        <v>11</v>
      </c>
      <c r="J405" s="3232" t="s">
        <v>289</v>
      </c>
      <c r="K405" s="5940" t="s">
        <v>1145</v>
      </c>
      <c r="L405" s="6760" t="str">
        <f>VLOOKUP(K405,'COD.'!$A$1:$B$39,2,0)</f>
        <v xml:space="preserve">Ocio y Entretenimiento </v>
      </c>
    </row>
    <row r="406" spans="1:12" x14ac:dyDescent="0.2">
      <c r="A406" s="6422" t="s">
        <v>675</v>
      </c>
      <c r="B406" s="3233" t="s">
        <v>675</v>
      </c>
      <c r="C406" s="6013">
        <f t="shared" si="6"/>
        <v>6</v>
      </c>
      <c r="D406" s="3234" t="s">
        <v>334</v>
      </c>
      <c r="E406" s="3235" t="s">
        <v>10</v>
      </c>
      <c r="F406" s="3236">
        <v>-6.1</v>
      </c>
      <c r="G406" s="3237" t="s">
        <v>11</v>
      </c>
      <c r="H406" s="3238">
        <v>5802.09</v>
      </c>
      <c r="I406" s="3239" t="s">
        <v>11</v>
      </c>
      <c r="J406" s="3240" t="s">
        <v>335</v>
      </c>
      <c r="K406" s="5940" t="s">
        <v>1148</v>
      </c>
      <c r="L406" s="6760" t="str">
        <f>VLOOKUP(K406,'COD.'!$A$1:$B$39,2,0)</f>
        <v xml:space="preserve">Supermercado </v>
      </c>
    </row>
    <row r="407" spans="1:12" x14ac:dyDescent="0.2">
      <c r="A407" s="6423" t="s">
        <v>675</v>
      </c>
      <c r="B407" s="3241" t="s">
        <v>675</v>
      </c>
      <c r="C407" s="6013">
        <f t="shared" si="6"/>
        <v>6</v>
      </c>
      <c r="D407" s="3242" t="s">
        <v>147</v>
      </c>
      <c r="E407" s="3243" t="s">
        <v>676</v>
      </c>
      <c r="F407" s="3244">
        <v>-78.2</v>
      </c>
      <c r="G407" s="3245" t="s">
        <v>11</v>
      </c>
      <c r="H407" s="3246">
        <v>5808.19</v>
      </c>
      <c r="I407" s="3247" t="s">
        <v>11</v>
      </c>
      <c r="J407" s="3248" t="s">
        <v>677</v>
      </c>
      <c r="K407" s="5940" t="s">
        <v>1152</v>
      </c>
      <c r="L407" s="6760" t="str">
        <f>VLOOKUP(K407,'COD.'!$A$1:$B$39,2,0)</f>
        <v xml:space="preserve">Suministros </v>
      </c>
    </row>
    <row r="408" spans="1:12" x14ac:dyDescent="0.2">
      <c r="A408" s="6424" t="s">
        <v>678</v>
      </c>
      <c r="B408" s="3249" t="s">
        <v>679</v>
      </c>
      <c r="C408" s="6013">
        <f t="shared" si="6"/>
        <v>6</v>
      </c>
      <c r="D408" s="3250" t="s">
        <v>39</v>
      </c>
      <c r="E408" s="3251" t="s">
        <v>10</v>
      </c>
      <c r="F408" s="3252">
        <v>-172.55</v>
      </c>
      <c r="G408" s="3253" t="s">
        <v>11</v>
      </c>
      <c r="H408" s="3254">
        <v>5886.39</v>
      </c>
      <c r="I408" s="3255" t="s">
        <v>11</v>
      </c>
      <c r="J408" s="3256" t="s">
        <v>111</v>
      </c>
      <c r="K408" s="5940" t="s">
        <v>443</v>
      </c>
      <c r="L408" s="6760" t="str">
        <f>VLOOKUP(K408,'COD.'!$A$1:$B$39,2,0)</f>
        <v xml:space="preserve">Salud y Cuidado </v>
      </c>
    </row>
    <row r="409" spans="1:12" x14ac:dyDescent="0.2">
      <c r="A409" s="6425" t="s">
        <v>678</v>
      </c>
      <c r="B409" s="3257" t="s">
        <v>679</v>
      </c>
      <c r="C409" s="6013">
        <f t="shared" si="6"/>
        <v>6</v>
      </c>
      <c r="D409" s="3258" t="s">
        <v>680</v>
      </c>
      <c r="E409" s="3259" t="s">
        <v>10</v>
      </c>
      <c r="F409" s="3260">
        <v>-9.4</v>
      </c>
      <c r="G409" s="3261" t="s">
        <v>11</v>
      </c>
      <c r="H409" s="3262">
        <v>6058.94</v>
      </c>
      <c r="I409" s="3263" t="s">
        <v>11</v>
      </c>
      <c r="J409" s="3264" t="s">
        <v>681</v>
      </c>
      <c r="K409" s="5940" t="s">
        <v>1145</v>
      </c>
      <c r="L409" s="6760" t="str">
        <f>VLOOKUP(K409,'COD.'!$A$1:$B$39,2,0)</f>
        <v xml:space="preserve">Ocio y Entretenimiento </v>
      </c>
    </row>
    <row r="410" spans="1:12" x14ac:dyDescent="0.2">
      <c r="A410" s="6426" t="s">
        <v>682</v>
      </c>
      <c r="B410" s="3265" t="s">
        <v>679</v>
      </c>
      <c r="C410" s="6013">
        <f t="shared" si="6"/>
        <v>6</v>
      </c>
      <c r="D410" s="3266" t="s">
        <v>683</v>
      </c>
      <c r="E410" s="3267" t="s">
        <v>10</v>
      </c>
      <c r="F410" s="3268">
        <v>-2.5</v>
      </c>
      <c r="G410" s="3269" t="s">
        <v>11</v>
      </c>
      <c r="H410" s="3270">
        <v>6068.34</v>
      </c>
      <c r="I410" s="3271" t="s">
        <v>11</v>
      </c>
      <c r="J410" s="3272" t="s">
        <v>684</v>
      </c>
      <c r="K410" s="5940" t="s">
        <v>1145</v>
      </c>
      <c r="L410" s="6760" t="str">
        <f>VLOOKUP(K410,'COD.'!$A$1:$B$39,2,0)</f>
        <v xml:space="preserve">Ocio y Entretenimiento </v>
      </c>
    </row>
    <row r="411" spans="1:12" x14ac:dyDescent="0.2">
      <c r="A411" s="6427" t="s">
        <v>682</v>
      </c>
      <c r="B411" s="3273" t="s">
        <v>679</v>
      </c>
      <c r="C411" s="6013">
        <f t="shared" si="6"/>
        <v>6</v>
      </c>
      <c r="D411" s="3274" t="s">
        <v>685</v>
      </c>
      <c r="E411" s="3275" t="s">
        <v>10</v>
      </c>
      <c r="F411" s="3276">
        <v>-3.3</v>
      </c>
      <c r="G411" s="3277" t="s">
        <v>11</v>
      </c>
      <c r="H411" s="3278">
        <v>6070.84</v>
      </c>
      <c r="I411" s="3279" t="s">
        <v>11</v>
      </c>
      <c r="J411" s="3280" t="s">
        <v>686</v>
      </c>
      <c r="K411" s="5940" t="s">
        <v>1157</v>
      </c>
      <c r="L411" s="6760" t="str">
        <f>VLOOKUP(K411,'COD.'!$A$1:$B$39,2,0)</f>
        <v xml:space="preserve">Ocio y Entretenimiento </v>
      </c>
    </row>
    <row r="412" spans="1:12" x14ac:dyDescent="0.2">
      <c r="A412" s="6428" t="s">
        <v>682</v>
      </c>
      <c r="B412" s="3281" t="s">
        <v>679</v>
      </c>
      <c r="C412" s="6013">
        <f t="shared" si="6"/>
        <v>6</v>
      </c>
      <c r="D412" s="3282" t="s">
        <v>103</v>
      </c>
      <c r="E412" s="3283" t="s">
        <v>10</v>
      </c>
      <c r="F412" s="3284">
        <v>-59.06</v>
      </c>
      <c r="G412" s="3285" t="s">
        <v>11</v>
      </c>
      <c r="H412" s="3286">
        <v>6074.14</v>
      </c>
      <c r="I412" s="3287" t="s">
        <v>11</v>
      </c>
      <c r="J412" s="3288" t="s">
        <v>104</v>
      </c>
      <c r="K412" s="5940" t="s">
        <v>1148</v>
      </c>
      <c r="L412" s="6760" t="str">
        <f>VLOOKUP(K412,'COD.'!$A$1:$B$39,2,0)</f>
        <v xml:space="preserve">Supermercado </v>
      </c>
    </row>
    <row r="413" spans="1:12" x14ac:dyDescent="0.2">
      <c r="A413" s="6429" t="s">
        <v>682</v>
      </c>
      <c r="B413" s="3289" t="s">
        <v>679</v>
      </c>
      <c r="C413" s="6013">
        <f t="shared" si="6"/>
        <v>6</v>
      </c>
      <c r="D413" s="3290" t="s">
        <v>651</v>
      </c>
      <c r="E413" s="3291" t="s">
        <v>10</v>
      </c>
      <c r="F413" s="3292">
        <v>-2.9</v>
      </c>
      <c r="G413" s="3293" t="s">
        <v>11</v>
      </c>
      <c r="H413" s="3294">
        <v>6133.2</v>
      </c>
      <c r="I413" s="3295" t="s">
        <v>11</v>
      </c>
      <c r="J413" s="3296" t="s">
        <v>652</v>
      </c>
      <c r="K413" s="5940" t="s">
        <v>1145</v>
      </c>
      <c r="L413" s="6760" t="str">
        <f>VLOOKUP(K413,'COD.'!$A$1:$B$39,2,0)</f>
        <v xml:space="preserve">Ocio y Entretenimiento </v>
      </c>
    </row>
    <row r="414" spans="1:12" x14ac:dyDescent="0.2">
      <c r="A414" s="6430" t="s">
        <v>687</v>
      </c>
      <c r="B414" s="3297" t="s">
        <v>687</v>
      </c>
      <c r="C414" s="6013">
        <f t="shared" si="6"/>
        <v>6</v>
      </c>
      <c r="D414" s="3298" t="s">
        <v>688</v>
      </c>
      <c r="E414" s="3299" t="s">
        <v>10</v>
      </c>
      <c r="F414" s="3300">
        <v>-4.59</v>
      </c>
      <c r="G414" s="3301" t="s">
        <v>11</v>
      </c>
      <c r="H414" s="3302">
        <v>6136.1</v>
      </c>
      <c r="I414" s="3303" t="s">
        <v>11</v>
      </c>
      <c r="J414" s="3304" t="s">
        <v>689</v>
      </c>
      <c r="K414" s="5940" t="s">
        <v>1149</v>
      </c>
      <c r="L414" s="6760" t="str">
        <f>VLOOKUP(K414,'COD.'!$A$1:$B$39,2,0)</f>
        <v xml:space="preserve">Ocio y Entretenimiento </v>
      </c>
    </row>
    <row r="415" spans="1:12" x14ac:dyDescent="0.2">
      <c r="A415" s="6431" t="s">
        <v>690</v>
      </c>
      <c r="B415" s="3305" t="s">
        <v>691</v>
      </c>
      <c r="C415" s="6013">
        <f t="shared" si="6"/>
        <v>6</v>
      </c>
      <c r="D415" s="3306" t="s">
        <v>599</v>
      </c>
      <c r="E415" s="3307" t="s">
        <v>10</v>
      </c>
      <c r="F415" s="3308">
        <v>-17.78</v>
      </c>
      <c r="G415" s="3309" t="s">
        <v>11</v>
      </c>
      <c r="H415" s="3310">
        <v>6140.69</v>
      </c>
      <c r="I415" s="3311" t="s">
        <v>11</v>
      </c>
      <c r="J415" s="3312" t="s">
        <v>600</v>
      </c>
      <c r="K415" s="5940" t="s">
        <v>1145</v>
      </c>
      <c r="L415" s="6760" t="str">
        <f>VLOOKUP(K415,'COD.'!$A$1:$B$39,2,0)</f>
        <v xml:space="preserve">Ocio y Entretenimiento </v>
      </c>
    </row>
    <row r="416" spans="1:12" x14ac:dyDescent="0.2">
      <c r="A416" s="6432" t="s">
        <v>691</v>
      </c>
      <c r="B416" s="3313" t="s">
        <v>691</v>
      </c>
      <c r="C416" s="6013">
        <f t="shared" si="6"/>
        <v>6</v>
      </c>
      <c r="D416" s="3314" t="s">
        <v>194</v>
      </c>
      <c r="E416" s="3315" t="s">
        <v>692</v>
      </c>
      <c r="F416" s="3316">
        <v>-50</v>
      </c>
      <c r="G416" s="3317" t="s">
        <v>11</v>
      </c>
      <c r="H416" s="3318">
        <v>6158.47</v>
      </c>
      <c r="I416" s="3319" t="s">
        <v>11</v>
      </c>
      <c r="J416" s="3320" t="s">
        <v>693</v>
      </c>
      <c r="K416" s="5940" t="s">
        <v>1154</v>
      </c>
      <c r="L416" s="6760" t="str">
        <f>VLOOKUP(K416,'COD.'!$A$1:$B$39,2,0)</f>
        <v xml:space="preserve">Vivienda y Préstamos </v>
      </c>
    </row>
    <row r="417" spans="1:12" x14ac:dyDescent="0.2">
      <c r="A417" s="6433" t="s">
        <v>691</v>
      </c>
      <c r="B417" s="3321" t="s">
        <v>691</v>
      </c>
      <c r="C417" s="6013">
        <f t="shared" si="6"/>
        <v>6</v>
      </c>
      <c r="D417" s="3322" t="s">
        <v>16</v>
      </c>
      <c r="E417" s="3323" t="s">
        <v>694</v>
      </c>
      <c r="F417" s="3324">
        <v>-50.75</v>
      </c>
      <c r="G417" s="3325" t="s">
        <v>11</v>
      </c>
      <c r="H417" s="3326">
        <v>6208.47</v>
      </c>
      <c r="I417" s="3327" t="s">
        <v>11</v>
      </c>
      <c r="J417" s="3328" t="s">
        <v>695</v>
      </c>
      <c r="K417" s="5941" t="s">
        <v>1188</v>
      </c>
      <c r="L417" s="6760" t="str">
        <f>VLOOKUP(K417,'COD.'!$A$1:$B$39,2,0)</f>
        <v xml:space="preserve">Suministros </v>
      </c>
    </row>
    <row r="418" spans="1:12" x14ac:dyDescent="0.2">
      <c r="A418" s="6434" t="s">
        <v>696</v>
      </c>
      <c r="B418" s="3329" t="s">
        <v>696</v>
      </c>
      <c r="C418" s="6013">
        <f t="shared" si="6"/>
        <v>6</v>
      </c>
      <c r="D418" s="3330" t="s">
        <v>24</v>
      </c>
      <c r="E418" s="3331" t="s">
        <v>10</v>
      </c>
      <c r="F418" s="3332">
        <v>-3.7</v>
      </c>
      <c r="G418" s="3333" t="s">
        <v>11</v>
      </c>
      <c r="H418" s="3334">
        <v>6259.22</v>
      </c>
      <c r="I418" s="3335" t="s">
        <v>11</v>
      </c>
      <c r="J418" s="3336" t="s">
        <v>25</v>
      </c>
      <c r="K418" s="5940" t="s">
        <v>1145</v>
      </c>
      <c r="L418" s="6760" t="str">
        <f>VLOOKUP(K418,'COD.'!$A$1:$B$39,2,0)</f>
        <v xml:space="preserve">Ocio y Entretenimiento </v>
      </c>
    </row>
    <row r="419" spans="1:12" x14ac:dyDescent="0.2">
      <c r="A419" s="6435" t="s">
        <v>696</v>
      </c>
      <c r="B419" s="3337" t="s">
        <v>696</v>
      </c>
      <c r="C419" s="6013">
        <f t="shared" si="6"/>
        <v>6</v>
      </c>
      <c r="D419" s="3338" t="s">
        <v>697</v>
      </c>
      <c r="E419" s="3339" t="s">
        <v>10</v>
      </c>
      <c r="F419" s="3340">
        <v>-2.4</v>
      </c>
      <c r="G419" s="3341" t="s">
        <v>11</v>
      </c>
      <c r="H419" s="3342">
        <v>6262.92</v>
      </c>
      <c r="I419" s="3343" t="s">
        <v>11</v>
      </c>
      <c r="J419" s="3344" t="s">
        <v>698</v>
      </c>
      <c r="K419" s="5940" t="s">
        <v>1145</v>
      </c>
      <c r="L419" s="6760" t="str">
        <f>VLOOKUP(K419,'COD.'!$A$1:$B$39,2,0)</f>
        <v xml:space="preserve">Ocio y Entretenimiento </v>
      </c>
    </row>
    <row r="420" spans="1:12" x14ac:dyDescent="0.2">
      <c r="A420" s="6436" t="s">
        <v>696</v>
      </c>
      <c r="B420" s="3345" t="s">
        <v>696</v>
      </c>
      <c r="C420" s="6013">
        <f t="shared" si="6"/>
        <v>6</v>
      </c>
      <c r="D420" s="3346" t="s">
        <v>699</v>
      </c>
      <c r="E420" s="3347" t="s">
        <v>10</v>
      </c>
      <c r="F420" s="3348">
        <v>-6.3</v>
      </c>
      <c r="G420" s="3349" t="s">
        <v>11</v>
      </c>
      <c r="H420" s="3350">
        <v>6265.32</v>
      </c>
      <c r="I420" s="3351" t="s">
        <v>11</v>
      </c>
      <c r="J420" s="3352" t="s">
        <v>700</v>
      </c>
      <c r="K420" s="5940" t="s">
        <v>1147</v>
      </c>
      <c r="L420" s="6760" t="str">
        <f>VLOOKUP(K420,'COD.'!$A$1:$B$39,2,0)</f>
        <v xml:space="preserve">Otros Gastos Generales </v>
      </c>
    </row>
    <row r="421" spans="1:12" x14ac:dyDescent="0.2">
      <c r="A421" s="6437" t="s">
        <v>696</v>
      </c>
      <c r="B421" s="3353" t="s">
        <v>696</v>
      </c>
      <c r="C421" s="6013">
        <f t="shared" si="6"/>
        <v>6</v>
      </c>
      <c r="D421" s="3354" t="s">
        <v>39</v>
      </c>
      <c r="E421" s="3355" t="s">
        <v>10</v>
      </c>
      <c r="F421" s="3356">
        <v>-17.5</v>
      </c>
      <c r="G421" s="3357" t="s">
        <v>11</v>
      </c>
      <c r="H421" s="3358">
        <v>6271.62</v>
      </c>
      <c r="I421" s="3359" t="s">
        <v>11</v>
      </c>
      <c r="J421" s="3360" t="s">
        <v>111</v>
      </c>
      <c r="K421" s="5940" t="s">
        <v>443</v>
      </c>
      <c r="L421" s="6760" t="str">
        <f>VLOOKUP(K421,'COD.'!$A$1:$B$39,2,0)</f>
        <v xml:space="preserve">Salud y Cuidado </v>
      </c>
    </row>
    <row r="422" spans="1:12" x14ac:dyDescent="0.2">
      <c r="A422" s="6438" t="s">
        <v>696</v>
      </c>
      <c r="B422" s="3361" t="s">
        <v>696</v>
      </c>
      <c r="C422" s="6013">
        <f t="shared" si="6"/>
        <v>6</v>
      </c>
      <c r="D422" s="5939" t="s">
        <v>701</v>
      </c>
      <c r="E422" s="3362" t="s">
        <v>702</v>
      </c>
      <c r="F422" s="3363">
        <v>-54</v>
      </c>
      <c r="G422" s="3364" t="s">
        <v>11</v>
      </c>
      <c r="H422" s="3365">
        <v>6289.12</v>
      </c>
      <c r="I422" s="3366" t="s">
        <v>11</v>
      </c>
      <c r="J422" s="3367" t="s">
        <v>703</v>
      </c>
      <c r="K422" s="5940" t="s">
        <v>443</v>
      </c>
      <c r="L422" s="6760" t="str">
        <f>VLOOKUP(K422,'COD.'!$A$1:$B$39,2,0)</f>
        <v xml:space="preserve">Salud y Cuidado </v>
      </c>
    </row>
    <row r="423" spans="1:12" x14ac:dyDescent="0.2">
      <c r="A423" s="6439" t="s">
        <v>704</v>
      </c>
      <c r="B423" s="3368" t="s">
        <v>696</v>
      </c>
      <c r="C423" s="6013">
        <f t="shared" si="6"/>
        <v>6</v>
      </c>
      <c r="D423" s="3369" t="s">
        <v>158</v>
      </c>
      <c r="E423" s="3370" t="s">
        <v>10</v>
      </c>
      <c r="F423" s="3371">
        <v>-0.99</v>
      </c>
      <c r="G423" s="3372" t="s">
        <v>11</v>
      </c>
      <c r="H423" s="3373">
        <v>6343.12</v>
      </c>
      <c r="I423" s="3374" t="s">
        <v>11</v>
      </c>
      <c r="J423" s="3375" t="s">
        <v>159</v>
      </c>
      <c r="K423" s="6010" t="s">
        <v>1177</v>
      </c>
      <c r="L423" s="6760" t="str">
        <f>VLOOKUP(K423,'COD.'!$A$1:$B$39,2,0)</f>
        <v xml:space="preserve">Ocio y Entretenimiento </v>
      </c>
    </row>
    <row r="424" spans="1:12" x14ac:dyDescent="0.2">
      <c r="A424" s="6440" t="s">
        <v>696</v>
      </c>
      <c r="B424" s="3376" t="s">
        <v>696</v>
      </c>
      <c r="C424" s="6013">
        <f t="shared" si="6"/>
        <v>6</v>
      </c>
      <c r="D424" s="3377" t="s">
        <v>163</v>
      </c>
      <c r="E424" s="3378" t="s">
        <v>164</v>
      </c>
      <c r="F424" s="3379">
        <v>-56.8</v>
      </c>
      <c r="G424" s="3380" t="s">
        <v>11</v>
      </c>
      <c r="H424" s="3381">
        <v>6344.11</v>
      </c>
      <c r="I424" s="3382" t="s">
        <v>11</v>
      </c>
      <c r="J424" s="3383" t="s">
        <v>165</v>
      </c>
      <c r="K424" s="5976" t="s">
        <v>1160</v>
      </c>
      <c r="L424" s="6760" t="str">
        <f>VLOOKUP(K424,'COD.'!$A$1:$B$39,2,0)</f>
        <v xml:space="preserve">Vivienda y Préstamos </v>
      </c>
    </row>
    <row r="425" spans="1:12" x14ac:dyDescent="0.2">
      <c r="A425" s="6441" t="s">
        <v>690</v>
      </c>
      <c r="B425" s="3384" t="s">
        <v>696</v>
      </c>
      <c r="C425" s="6013">
        <f t="shared" si="6"/>
        <v>6</v>
      </c>
      <c r="D425" s="3385" t="s">
        <v>166</v>
      </c>
      <c r="E425" s="3386" t="s">
        <v>164</v>
      </c>
      <c r="F425" s="3387">
        <v>-10</v>
      </c>
      <c r="G425" s="3388" t="s">
        <v>11</v>
      </c>
      <c r="H425" s="3389">
        <v>6400.91</v>
      </c>
      <c r="I425" s="3390" t="s">
        <v>11</v>
      </c>
      <c r="J425" s="3391" t="s">
        <v>167</v>
      </c>
      <c r="K425" s="5977" t="s">
        <v>1166</v>
      </c>
      <c r="L425" s="6760" t="str">
        <f>VLOOKUP(K425,'COD.'!$A$1:$B$39,2,0)</f>
        <v xml:space="preserve">Ocio y Entretenimiento </v>
      </c>
    </row>
    <row r="426" spans="1:12" x14ac:dyDescent="0.2">
      <c r="A426" s="6442" t="s">
        <v>690</v>
      </c>
      <c r="B426" s="3392" t="s">
        <v>696</v>
      </c>
      <c r="C426" s="6013">
        <f t="shared" si="6"/>
        <v>6</v>
      </c>
      <c r="D426" s="3393" t="s">
        <v>24</v>
      </c>
      <c r="E426" s="3394" t="s">
        <v>10</v>
      </c>
      <c r="F426" s="3395">
        <v>-3.7</v>
      </c>
      <c r="G426" s="3396" t="s">
        <v>11</v>
      </c>
      <c r="H426" s="3397">
        <v>6410.91</v>
      </c>
      <c r="I426" s="3398" t="s">
        <v>11</v>
      </c>
      <c r="J426" s="3399" t="s">
        <v>25</v>
      </c>
      <c r="K426" s="5940" t="s">
        <v>1145</v>
      </c>
      <c r="L426" s="6760" t="str">
        <f>VLOOKUP(K426,'COD.'!$A$1:$B$39,2,0)</f>
        <v xml:space="preserve">Ocio y Entretenimiento </v>
      </c>
    </row>
    <row r="427" spans="1:12" x14ac:dyDescent="0.2">
      <c r="A427" s="6443" t="s">
        <v>690</v>
      </c>
      <c r="B427" s="3400" t="s">
        <v>690</v>
      </c>
      <c r="C427" s="6013">
        <f t="shared" si="6"/>
        <v>6</v>
      </c>
      <c r="D427" s="3401" t="s">
        <v>329</v>
      </c>
      <c r="E427" s="3402" t="s">
        <v>705</v>
      </c>
      <c r="F427" s="3403">
        <v>-56.43</v>
      </c>
      <c r="G427" s="3404" t="s">
        <v>11</v>
      </c>
      <c r="H427" s="3405">
        <v>6414.61</v>
      </c>
      <c r="I427" s="3406" t="s">
        <v>11</v>
      </c>
      <c r="J427" s="3407" t="s">
        <v>706</v>
      </c>
      <c r="K427" s="5985" t="s">
        <v>1153</v>
      </c>
      <c r="L427" s="6760" t="str">
        <f>VLOOKUP(K427,'COD.'!$A$1:$B$39,2,0)</f>
        <v xml:space="preserve">Vivienda y Préstamos </v>
      </c>
    </row>
    <row r="428" spans="1:12" x14ac:dyDescent="0.2">
      <c r="A428" s="6444" t="s">
        <v>707</v>
      </c>
      <c r="B428" s="3408" t="s">
        <v>704</v>
      </c>
      <c r="C428" s="6013">
        <f t="shared" si="6"/>
        <v>5</v>
      </c>
      <c r="D428" s="3409" t="s">
        <v>14</v>
      </c>
      <c r="E428" s="3410" t="s">
        <v>10</v>
      </c>
      <c r="F428" s="3411">
        <v>-9.99</v>
      </c>
      <c r="G428" s="3412" t="s">
        <v>11</v>
      </c>
      <c r="H428" s="3413">
        <v>6471.04</v>
      </c>
      <c r="I428" s="3414" t="s">
        <v>11</v>
      </c>
      <c r="J428" s="3415" t="s">
        <v>15</v>
      </c>
      <c r="K428" s="6010" t="s">
        <v>1178</v>
      </c>
      <c r="L428" s="6760" t="str">
        <f>VLOOKUP(K428,'COD.'!$A$1:$B$39,2,0)</f>
        <v xml:space="preserve">Ocio y Entretenimiento </v>
      </c>
    </row>
    <row r="429" spans="1:12" x14ac:dyDescent="0.2">
      <c r="A429" s="6445" t="s">
        <v>704</v>
      </c>
      <c r="B429" s="3416" t="s">
        <v>704</v>
      </c>
      <c r="C429" s="6013">
        <f t="shared" si="6"/>
        <v>6</v>
      </c>
      <c r="D429" s="3417" t="s">
        <v>60</v>
      </c>
      <c r="E429" s="3418" t="s">
        <v>708</v>
      </c>
      <c r="F429" s="3419">
        <v>40</v>
      </c>
      <c r="G429" s="3420" t="s">
        <v>11</v>
      </c>
      <c r="H429" s="3421">
        <v>6481.03</v>
      </c>
      <c r="I429" s="3422" t="s">
        <v>11</v>
      </c>
      <c r="J429" s="3423" t="s">
        <v>709</v>
      </c>
      <c r="K429" s="5984" t="s">
        <v>1152</v>
      </c>
      <c r="L429" s="6760" t="str">
        <f>VLOOKUP(K429,'COD.'!$A$1:$B$39,2,0)</f>
        <v xml:space="preserve">Suministros </v>
      </c>
    </row>
    <row r="430" spans="1:12" x14ac:dyDescent="0.2">
      <c r="A430" s="6446" t="s">
        <v>704</v>
      </c>
      <c r="B430" s="3424" t="s">
        <v>704</v>
      </c>
      <c r="C430" s="6013">
        <f t="shared" si="6"/>
        <v>6</v>
      </c>
      <c r="D430" s="3425" t="s">
        <v>191</v>
      </c>
      <c r="E430" s="3426" t="s">
        <v>192</v>
      </c>
      <c r="F430" s="3427">
        <v>-30</v>
      </c>
      <c r="G430" s="3428" t="s">
        <v>11</v>
      </c>
      <c r="H430" s="3429">
        <v>6441.03</v>
      </c>
      <c r="I430" s="3430" t="s">
        <v>11</v>
      </c>
      <c r="J430" s="3431" t="s">
        <v>193</v>
      </c>
      <c r="K430" s="5940" t="s">
        <v>1168</v>
      </c>
      <c r="L430" s="6760" t="str">
        <f>VLOOKUP(K430,'COD.'!$A$1:$B$39,2,0)</f>
        <v>Moto</v>
      </c>
    </row>
    <row r="431" spans="1:12" x14ac:dyDescent="0.2">
      <c r="A431" s="6447" t="s">
        <v>704</v>
      </c>
      <c r="B431" s="3432" t="s">
        <v>704</v>
      </c>
      <c r="C431" s="6013">
        <f t="shared" si="6"/>
        <v>6</v>
      </c>
      <c r="D431" s="3433" t="s">
        <v>197</v>
      </c>
      <c r="E431" s="3434" t="s">
        <v>710</v>
      </c>
      <c r="F431" s="3435">
        <v>-65</v>
      </c>
      <c r="G431" s="3436" t="s">
        <v>11</v>
      </c>
      <c r="H431" s="3437">
        <v>6471.03</v>
      </c>
      <c r="I431" s="3438" t="s">
        <v>11</v>
      </c>
      <c r="J431" s="3439" t="s">
        <v>711</v>
      </c>
      <c r="K431" s="5940" t="s">
        <v>1155</v>
      </c>
      <c r="L431" s="6760" t="str">
        <f>VLOOKUP(K431,'COD.'!$A$1:$B$39,2,0)</f>
        <v xml:space="preserve">Ocio y Entretenimiento </v>
      </c>
    </row>
    <row r="432" spans="1:12" x14ac:dyDescent="0.2">
      <c r="A432" s="6448" t="s">
        <v>712</v>
      </c>
      <c r="B432" s="3440" t="s">
        <v>704</v>
      </c>
      <c r="C432" s="6013">
        <f t="shared" si="6"/>
        <v>6</v>
      </c>
      <c r="D432" s="3441" t="s">
        <v>183</v>
      </c>
      <c r="E432" s="3442" t="s">
        <v>10</v>
      </c>
      <c r="F432" s="3443">
        <v>-9</v>
      </c>
      <c r="G432" s="3444" t="s">
        <v>11</v>
      </c>
      <c r="H432" s="3445">
        <v>6536.03</v>
      </c>
      <c r="I432" s="3446" t="s">
        <v>11</v>
      </c>
      <c r="J432" s="3447" t="s">
        <v>184</v>
      </c>
      <c r="K432" s="5940" t="s">
        <v>1165</v>
      </c>
      <c r="L432" s="6760" t="str">
        <f>VLOOKUP(K432,'COD.'!$A$1:$B$39,2,0)</f>
        <v xml:space="preserve">Otros Gastos Generales </v>
      </c>
    </row>
    <row r="433" spans="1:12" x14ac:dyDescent="0.2">
      <c r="A433" s="6449" t="s">
        <v>712</v>
      </c>
      <c r="B433" s="3448" t="s">
        <v>704</v>
      </c>
      <c r="C433" s="6013">
        <f t="shared" si="6"/>
        <v>6</v>
      </c>
      <c r="D433" s="3449" t="s">
        <v>60</v>
      </c>
      <c r="E433" s="3450" t="s">
        <v>493</v>
      </c>
      <c r="F433" s="3451">
        <v>72</v>
      </c>
      <c r="G433" s="3452" t="s">
        <v>11</v>
      </c>
      <c r="H433" s="3453">
        <v>6545.03</v>
      </c>
      <c r="I433" s="3454" t="s">
        <v>11</v>
      </c>
      <c r="J433" s="3455" t="s">
        <v>494</v>
      </c>
      <c r="K433" s="5979" t="s">
        <v>1159</v>
      </c>
      <c r="L433" s="6760" t="str">
        <f>VLOOKUP(K433,'COD.'!$A$1:$B$39,2,0)</f>
        <v xml:space="preserve">Ocio y Entretenimiento </v>
      </c>
    </row>
    <row r="434" spans="1:12" x14ac:dyDescent="0.2">
      <c r="A434" s="6450" t="s">
        <v>712</v>
      </c>
      <c r="B434" s="3456" t="s">
        <v>704</v>
      </c>
      <c r="C434" s="6013">
        <f t="shared" si="6"/>
        <v>6</v>
      </c>
      <c r="D434" s="3457" t="s">
        <v>24</v>
      </c>
      <c r="E434" s="3458" t="s">
        <v>10</v>
      </c>
      <c r="F434" s="3459">
        <v>-7.8</v>
      </c>
      <c r="G434" s="3460" t="s">
        <v>11</v>
      </c>
      <c r="H434" s="3461">
        <v>6473.03</v>
      </c>
      <c r="I434" s="3462" t="s">
        <v>11</v>
      </c>
      <c r="J434" s="3463" t="s">
        <v>25</v>
      </c>
      <c r="K434" s="5940" t="s">
        <v>1145</v>
      </c>
      <c r="L434" s="6760" t="str">
        <f>VLOOKUP(K434,'COD.'!$A$1:$B$39,2,0)</f>
        <v xml:space="preserve">Ocio y Entretenimiento </v>
      </c>
    </row>
    <row r="435" spans="1:12" x14ac:dyDescent="0.2">
      <c r="A435" s="6451" t="s">
        <v>713</v>
      </c>
      <c r="B435" s="3464" t="s">
        <v>704</v>
      </c>
      <c r="C435" s="6013">
        <f t="shared" si="6"/>
        <v>5</v>
      </c>
      <c r="D435" s="3465" t="s">
        <v>60</v>
      </c>
      <c r="E435" s="3466" t="s">
        <v>714</v>
      </c>
      <c r="F435" s="3467">
        <v>-7</v>
      </c>
      <c r="G435" s="3468" t="s">
        <v>11</v>
      </c>
      <c r="H435" s="3469">
        <v>6480.83</v>
      </c>
      <c r="I435" s="3470" t="s">
        <v>11</v>
      </c>
      <c r="J435" s="3471" t="s">
        <v>715</v>
      </c>
      <c r="K435" s="5982" t="s">
        <v>60</v>
      </c>
      <c r="L435" s="6760" t="str">
        <f>VLOOKUP(K435,'COD.'!$A$1:$B$39,2,0)</f>
        <v xml:space="preserve">Transferencias y Efectivo </v>
      </c>
    </row>
    <row r="436" spans="1:12" x14ac:dyDescent="0.2">
      <c r="A436" s="6452" t="s">
        <v>713</v>
      </c>
      <c r="B436" s="3472" t="s">
        <v>704</v>
      </c>
      <c r="C436" s="6013">
        <f t="shared" si="6"/>
        <v>5</v>
      </c>
      <c r="D436" s="3473" t="s">
        <v>60</v>
      </c>
      <c r="E436" s="3474" t="s">
        <v>716</v>
      </c>
      <c r="F436" s="3475">
        <v>-7</v>
      </c>
      <c r="G436" s="3476" t="s">
        <v>11</v>
      </c>
      <c r="H436" s="3477">
        <v>6487.83</v>
      </c>
      <c r="I436" s="3478" t="s">
        <v>11</v>
      </c>
      <c r="J436" s="3479" t="s">
        <v>717</v>
      </c>
      <c r="K436" s="5982" t="s">
        <v>60</v>
      </c>
      <c r="L436" s="6760" t="str">
        <f>VLOOKUP(K436,'COD.'!$A$1:$B$39,2,0)</f>
        <v xml:space="preserve">Transferencias y Efectivo </v>
      </c>
    </row>
    <row r="437" spans="1:12" x14ac:dyDescent="0.2">
      <c r="A437" s="6453" t="s">
        <v>713</v>
      </c>
      <c r="B437" s="3480" t="s">
        <v>704</v>
      </c>
      <c r="C437" s="6013">
        <f t="shared" si="6"/>
        <v>5</v>
      </c>
      <c r="D437" s="3481" t="s">
        <v>60</v>
      </c>
      <c r="E437" s="3482" t="s">
        <v>61</v>
      </c>
      <c r="F437" s="3483">
        <v>-53</v>
      </c>
      <c r="G437" s="3484" t="s">
        <v>11</v>
      </c>
      <c r="H437" s="3485">
        <v>6494.83</v>
      </c>
      <c r="I437" s="3486" t="s">
        <v>11</v>
      </c>
      <c r="J437" s="3487" t="s">
        <v>62</v>
      </c>
      <c r="K437" s="5982" t="s">
        <v>60</v>
      </c>
      <c r="L437" s="6760" t="str">
        <f>VLOOKUP(K437,'COD.'!$A$1:$B$39,2,0)</f>
        <v xml:space="preserve">Transferencias y Efectivo </v>
      </c>
    </row>
    <row r="438" spans="1:12" x14ac:dyDescent="0.2">
      <c r="A438" s="6454" t="s">
        <v>713</v>
      </c>
      <c r="B438" s="3488" t="s">
        <v>704</v>
      </c>
      <c r="C438" s="6013">
        <f t="shared" si="6"/>
        <v>5</v>
      </c>
      <c r="D438" s="3489" t="s">
        <v>286</v>
      </c>
      <c r="E438" s="3490" t="s">
        <v>10</v>
      </c>
      <c r="F438" s="3491">
        <v>-6.49</v>
      </c>
      <c r="G438" s="3492" t="s">
        <v>11</v>
      </c>
      <c r="H438" s="3493">
        <v>6547.83</v>
      </c>
      <c r="I438" s="3494" t="s">
        <v>11</v>
      </c>
      <c r="J438" s="3495" t="s">
        <v>287</v>
      </c>
      <c r="K438" s="5940" t="s">
        <v>1148</v>
      </c>
      <c r="L438" s="6760" t="str">
        <f>VLOOKUP(K438,'COD.'!$A$1:$B$39,2,0)</f>
        <v xml:space="preserve">Supermercado </v>
      </c>
    </row>
    <row r="439" spans="1:12" x14ac:dyDescent="0.2">
      <c r="A439" s="6455" t="s">
        <v>713</v>
      </c>
      <c r="B439" s="3496" t="s">
        <v>704</v>
      </c>
      <c r="C439" s="6013">
        <f t="shared" si="6"/>
        <v>5</v>
      </c>
      <c r="D439" s="3497" t="s">
        <v>718</v>
      </c>
      <c r="E439" s="3498" t="s">
        <v>10</v>
      </c>
      <c r="F439" s="3499">
        <v>-5.3</v>
      </c>
      <c r="G439" s="3500" t="s">
        <v>11</v>
      </c>
      <c r="H439" s="3501">
        <v>6554.32</v>
      </c>
      <c r="I439" s="3502" t="s">
        <v>11</v>
      </c>
      <c r="J439" s="3503" t="s">
        <v>719</v>
      </c>
      <c r="K439" s="5940" t="s">
        <v>1148</v>
      </c>
      <c r="L439" s="6760" t="str">
        <f>VLOOKUP(K439,'COD.'!$A$1:$B$39,2,0)</f>
        <v xml:space="preserve">Supermercado </v>
      </c>
    </row>
    <row r="440" spans="1:12" x14ac:dyDescent="0.2">
      <c r="A440" s="6456" t="s">
        <v>713</v>
      </c>
      <c r="B440" s="3504" t="s">
        <v>704</v>
      </c>
      <c r="C440" s="6013">
        <f t="shared" si="6"/>
        <v>5</v>
      </c>
      <c r="D440" s="3505" t="s">
        <v>720</v>
      </c>
      <c r="E440" s="3506" t="s">
        <v>10</v>
      </c>
      <c r="F440" s="3507">
        <v>-17</v>
      </c>
      <c r="G440" s="3508" t="s">
        <v>11</v>
      </c>
      <c r="H440" s="3509">
        <v>6559.62</v>
      </c>
      <c r="I440" s="3510" t="s">
        <v>11</v>
      </c>
      <c r="J440" s="3511" t="s">
        <v>721</v>
      </c>
      <c r="K440" s="5940" t="s">
        <v>1162</v>
      </c>
      <c r="L440" s="6760" t="str">
        <f>VLOOKUP(K440,'COD.'!$A$1:$B$39,2,0)</f>
        <v xml:space="preserve">Ocio y Entretenimiento </v>
      </c>
    </row>
    <row r="441" spans="1:12" x14ac:dyDescent="0.2">
      <c r="A441" s="6457" t="s">
        <v>713</v>
      </c>
      <c r="B441" s="3512" t="s">
        <v>704</v>
      </c>
      <c r="C441" s="6013">
        <f t="shared" si="6"/>
        <v>5</v>
      </c>
      <c r="D441" s="3513" t="s">
        <v>19</v>
      </c>
      <c r="E441" s="3514" t="s">
        <v>20</v>
      </c>
      <c r="F441" s="3515">
        <v>-431.33</v>
      </c>
      <c r="G441" s="3516" t="s">
        <v>11</v>
      </c>
      <c r="H441" s="3517">
        <v>6576.62</v>
      </c>
      <c r="I441" s="3518" t="s">
        <v>11</v>
      </c>
      <c r="J441" s="3519" t="s">
        <v>21</v>
      </c>
      <c r="K441" s="5942" t="s">
        <v>1170</v>
      </c>
      <c r="L441" s="6760" t="str">
        <f>VLOOKUP(K441,'COD.'!$A$1:$B$39,2,0)</f>
        <v xml:space="preserve">Vivienda y Préstamos </v>
      </c>
    </row>
    <row r="442" spans="1:12" x14ac:dyDescent="0.2">
      <c r="A442" s="6458" t="s">
        <v>722</v>
      </c>
      <c r="B442" s="3520" t="s">
        <v>707</v>
      </c>
      <c r="C442" s="6013">
        <f t="shared" si="6"/>
        <v>5</v>
      </c>
      <c r="D442" s="3521" t="s">
        <v>723</v>
      </c>
      <c r="E442" s="3522" t="s">
        <v>10</v>
      </c>
      <c r="F442" s="3523">
        <v>32.49</v>
      </c>
      <c r="G442" s="3524" t="s">
        <v>11</v>
      </c>
      <c r="H442" s="3525">
        <v>7007.95</v>
      </c>
      <c r="I442" s="3526" t="s">
        <v>11</v>
      </c>
      <c r="J442" s="3527" t="s">
        <v>724</v>
      </c>
      <c r="K442" s="5940" t="s">
        <v>1149</v>
      </c>
      <c r="L442" s="6760" t="str">
        <f>VLOOKUP(K442,'COD.'!$A$1:$B$39,2,0)</f>
        <v xml:space="preserve">Ocio y Entretenimiento </v>
      </c>
    </row>
    <row r="443" spans="1:12" x14ac:dyDescent="0.2">
      <c r="A443" s="6459" t="s">
        <v>707</v>
      </c>
      <c r="B443" s="3528" t="s">
        <v>707</v>
      </c>
      <c r="C443" s="6013">
        <f t="shared" si="6"/>
        <v>5</v>
      </c>
      <c r="D443" s="3529" t="s">
        <v>725</v>
      </c>
      <c r="E443" s="3530" t="s">
        <v>10</v>
      </c>
      <c r="F443" s="3531">
        <v>-14</v>
      </c>
      <c r="G443" s="3532" t="s">
        <v>11</v>
      </c>
      <c r="H443" s="3533">
        <v>6975.46</v>
      </c>
      <c r="I443" s="3534" t="s">
        <v>11</v>
      </c>
      <c r="J443" s="3535" t="s">
        <v>726</v>
      </c>
      <c r="K443" s="5940" t="s">
        <v>1145</v>
      </c>
      <c r="L443" s="6760" t="str">
        <f>VLOOKUP(K443,'COD.'!$A$1:$B$39,2,0)</f>
        <v xml:space="preserve">Ocio y Entretenimiento </v>
      </c>
    </row>
    <row r="444" spans="1:12" x14ac:dyDescent="0.2">
      <c r="A444" s="6460" t="s">
        <v>727</v>
      </c>
      <c r="B444" s="3536" t="s">
        <v>727</v>
      </c>
      <c r="C444" s="6013">
        <f t="shared" si="6"/>
        <v>5</v>
      </c>
      <c r="D444" s="3537" t="s">
        <v>119</v>
      </c>
      <c r="E444" s="3538" t="s">
        <v>10</v>
      </c>
      <c r="F444" s="3539">
        <v>-1.6</v>
      </c>
      <c r="G444" s="3540" t="s">
        <v>11</v>
      </c>
      <c r="H444" s="3541">
        <v>6989.46</v>
      </c>
      <c r="I444" s="3542" t="s">
        <v>11</v>
      </c>
      <c r="J444" s="3543" t="s">
        <v>120</v>
      </c>
      <c r="K444" s="5940" t="s">
        <v>1145</v>
      </c>
      <c r="L444" s="6760" t="str">
        <f>VLOOKUP(K444,'COD.'!$A$1:$B$39,2,0)</f>
        <v xml:space="preserve">Ocio y Entretenimiento </v>
      </c>
    </row>
    <row r="445" spans="1:12" x14ac:dyDescent="0.2">
      <c r="A445" s="6461" t="s">
        <v>727</v>
      </c>
      <c r="B445" s="3544" t="s">
        <v>727</v>
      </c>
      <c r="C445" s="6013">
        <f t="shared" si="6"/>
        <v>5</v>
      </c>
      <c r="D445" s="3545" t="s">
        <v>73</v>
      </c>
      <c r="E445" s="3546" t="s">
        <v>10</v>
      </c>
      <c r="F445" s="3547">
        <v>-3.6</v>
      </c>
      <c r="G445" s="3548" t="s">
        <v>11</v>
      </c>
      <c r="H445" s="3549">
        <v>6991.06</v>
      </c>
      <c r="I445" s="3550" t="s">
        <v>11</v>
      </c>
      <c r="J445" s="3551" t="s">
        <v>74</v>
      </c>
      <c r="K445" s="5940" t="s">
        <v>1145</v>
      </c>
      <c r="L445" s="6760" t="str">
        <f>VLOOKUP(K445,'COD.'!$A$1:$B$39,2,0)</f>
        <v xml:space="preserve">Ocio y Entretenimiento </v>
      </c>
    </row>
    <row r="446" spans="1:12" x14ac:dyDescent="0.2">
      <c r="A446" s="6462" t="s">
        <v>727</v>
      </c>
      <c r="B446" s="3552" t="s">
        <v>727</v>
      </c>
      <c r="C446" s="6013">
        <f t="shared" si="6"/>
        <v>5</v>
      </c>
      <c r="D446" s="3553" t="s">
        <v>728</v>
      </c>
      <c r="E446" s="3554" t="s">
        <v>10</v>
      </c>
      <c r="F446" s="3555">
        <v>-80</v>
      </c>
      <c r="G446" s="3556" t="s">
        <v>11</v>
      </c>
      <c r="H446" s="3557">
        <v>6994.66</v>
      </c>
      <c r="I446" s="3558" t="s">
        <v>11</v>
      </c>
      <c r="J446" s="3559" t="s">
        <v>729</v>
      </c>
      <c r="K446" s="5940" t="s">
        <v>1172</v>
      </c>
      <c r="L446" s="6760" t="str">
        <f>VLOOKUP(K446,'COD.'!$A$1:$B$39,2,0)</f>
        <v xml:space="preserve">Ocio y Entretenimiento </v>
      </c>
    </row>
    <row r="447" spans="1:12" x14ac:dyDescent="0.2">
      <c r="A447" s="6463" t="s">
        <v>727</v>
      </c>
      <c r="B447" s="3560" t="s">
        <v>727</v>
      </c>
      <c r="C447" s="6013">
        <f t="shared" si="6"/>
        <v>5</v>
      </c>
      <c r="D447" s="3561" t="s">
        <v>60</v>
      </c>
      <c r="E447" s="3562" t="s">
        <v>730</v>
      </c>
      <c r="F447" s="3563">
        <v>-30</v>
      </c>
      <c r="G447" s="3564" t="s">
        <v>11</v>
      </c>
      <c r="H447" s="3565">
        <v>7074.66</v>
      </c>
      <c r="I447" s="3566" t="s">
        <v>11</v>
      </c>
      <c r="J447" s="3567" t="s">
        <v>731</v>
      </c>
      <c r="K447" s="5979" t="s">
        <v>1159</v>
      </c>
      <c r="L447" s="6760" t="str">
        <f>VLOOKUP(K447,'COD.'!$A$1:$B$39,2,0)</f>
        <v xml:space="preserve">Ocio y Entretenimiento </v>
      </c>
    </row>
    <row r="448" spans="1:12" x14ac:dyDescent="0.2">
      <c r="A448" s="6464" t="s">
        <v>732</v>
      </c>
      <c r="B448" s="3568" t="s">
        <v>732</v>
      </c>
      <c r="C448" s="6013">
        <f t="shared" si="6"/>
        <v>5</v>
      </c>
      <c r="D448" s="3569" t="s">
        <v>642</v>
      </c>
      <c r="E448" s="3570" t="s">
        <v>10</v>
      </c>
      <c r="F448" s="3571">
        <v>-4.55</v>
      </c>
      <c r="G448" s="3572" t="s">
        <v>11</v>
      </c>
      <c r="H448" s="3573">
        <v>7104.66</v>
      </c>
      <c r="I448" s="3574" t="s">
        <v>11</v>
      </c>
      <c r="J448" s="3575" t="s">
        <v>643</v>
      </c>
      <c r="K448" s="5940" t="s">
        <v>1145</v>
      </c>
      <c r="L448" s="6760" t="str">
        <f>VLOOKUP(K448,'COD.'!$A$1:$B$39,2,0)</f>
        <v xml:space="preserve">Ocio y Entretenimiento </v>
      </c>
    </row>
    <row r="449" spans="1:12" x14ac:dyDescent="0.2">
      <c r="A449" s="6465" t="s">
        <v>732</v>
      </c>
      <c r="B449" s="3576" t="s">
        <v>732</v>
      </c>
      <c r="C449" s="6013">
        <f t="shared" si="6"/>
        <v>5</v>
      </c>
      <c r="D449" s="3577" t="s">
        <v>101</v>
      </c>
      <c r="E449" s="3578" t="s">
        <v>10</v>
      </c>
      <c r="F449" s="3579">
        <v>-74</v>
      </c>
      <c r="G449" s="3580" t="s">
        <v>11</v>
      </c>
      <c r="H449" s="3581">
        <v>7109.21</v>
      </c>
      <c r="I449" s="3582" t="s">
        <v>11</v>
      </c>
      <c r="J449" s="3583" t="s">
        <v>102</v>
      </c>
      <c r="K449" s="5940" t="s">
        <v>443</v>
      </c>
      <c r="L449" s="6760" t="str">
        <f>VLOOKUP(K449,'COD.'!$A$1:$B$39,2,0)</f>
        <v xml:space="preserve">Salud y Cuidado </v>
      </c>
    </row>
    <row r="450" spans="1:12" x14ac:dyDescent="0.2">
      <c r="A450" s="6466" t="s">
        <v>732</v>
      </c>
      <c r="B450" s="3584" t="s">
        <v>732</v>
      </c>
      <c r="C450" s="6013">
        <f t="shared" si="6"/>
        <v>5</v>
      </c>
      <c r="D450" s="3585" t="s">
        <v>29</v>
      </c>
      <c r="E450" s="3586" t="s">
        <v>30</v>
      </c>
      <c r="F450" s="3587">
        <v>1817.53</v>
      </c>
      <c r="G450" s="3588" t="s">
        <v>11</v>
      </c>
      <c r="H450" s="3589">
        <v>7183.21</v>
      </c>
      <c r="I450" s="3590" t="s">
        <v>11</v>
      </c>
      <c r="J450" s="3591" t="s">
        <v>30</v>
      </c>
      <c r="K450" s="6000" t="s">
        <v>1144</v>
      </c>
      <c r="L450" s="6760" t="str">
        <f>VLOOKUP(K450,'COD.'!$A$1:$B$39,2,0)</f>
        <v xml:space="preserve">Transferencias y Efectivo </v>
      </c>
    </row>
    <row r="451" spans="1:12" x14ac:dyDescent="0.2">
      <c r="A451" s="6467" t="s">
        <v>733</v>
      </c>
      <c r="B451" s="3592" t="s">
        <v>734</v>
      </c>
      <c r="C451" s="6013">
        <f t="shared" ref="C451:C514" si="7">MONTH(A451)</f>
        <v>5</v>
      </c>
      <c r="D451" s="3593" t="s">
        <v>735</v>
      </c>
      <c r="E451" s="3594" t="s">
        <v>10</v>
      </c>
      <c r="F451" s="3595">
        <v>-10.99</v>
      </c>
      <c r="G451" s="3596" t="s">
        <v>11</v>
      </c>
      <c r="H451" s="3597">
        <v>5365.68</v>
      </c>
      <c r="I451" s="3598" t="s">
        <v>11</v>
      </c>
      <c r="J451" s="3599" t="s">
        <v>736</v>
      </c>
      <c r="K451" s="5940" t="s">
        <v>1173</v>
      </c>
      <c r="L451" s="6760" t="str">
        <f>VLOOKUP(K451,'COD.'!$A$1:$B$39,2,0)</f>
        <v xml:space="preserve">Ocio y Entretenimiento </v>
      </c>
    </row>
    <row r="452" spans="1:12" x14ac:dyDescent="0.2">
      <c r="A452" s="6468" t="s">
        <v>737</v>
      </c>
      <c r="B452" s="3600" t="s">
        <v>734</v>
      </c>
      <c r="C452" s="6013">
        <f t="shared" si="7"/>
        <v>5</v>
      </c>
      <c r="D452" s="3601" t="s">
        <v>738</v>
      </c>
      <c r="E452" s="3602" t="s">
        <v>10</v>
      </c>
      <c r="F452" s="3603">
        <v>-52.4</v>
      </c>
      <c r="G452" s="3604" t="s">
        <v>11</v>
      </c>
      <c r="H452" s="3605">
        <v>5376.67</v>
      </c>
      <c r="I452" s="3606" t="s">
        <v>11</v>
      </c>
      <c r="J452" s="3607" t="s">
        <v>739</v>
      </c>
      <c r="K452" s="5940" t="s">
        <v>1145</v>
      </c>
      <c r="L452" s="6760" t="str">
        <f>VLOOKUP(K452,'COD.'!$A$1:$B$39,2,0)</f>
        <v xml:space="preserve">Ocio y Entretenimiento </v>
      </c>
    </row>
    <row r="453" spans="1:12" x14ac:dyDescent="0.2">
      <c r="A453" s="6469" t="s">
        <v>737</v>
      </c>
      <c r="B453" s="3608" t="s">
        <v>734</v>
      </c>
      <c r="C453" s="6013">
        <f t="shared" si="7"/>
        <v>5</v>
      </c>
      <c r="D453" s="3609" t="s">
        <v>22</v>
      </c>
      <c r="E453" s="3610" t="s">
        <v>10</v>
      </c>
      <c r="F453" s="3611">
        <v>-6.5</v>
      </c>
      <c r="G453" s="3612" t="s">
        <v>11</v>
      </c>
      <c r="H453" s="3613">
        <v>5429.07</v>
      </c>
      <c r="I453" s="3614" t="s">
        <v>11</v>
      </c>
      <c r="J453" s="3615" t="s">
        <v>740</v>
      </c>
      <c r="K453" s="5940" t="s">
        <v>1145</v>
      </c>
      <c r="L453" s="6760" t="str">
        <f>VLOOKUP(K453,'COD.'!$A$1:$B$39,2,0)</f>
        <v xml:space="preserve">Ocio y Entretenimiento </v>
      </c>
    </row>
    <row r="454" spans="1:12" x14ac:dyDescent="0.2">
      <c r="A454" s="6470" t="s">
        <v>737</v>
      </c>
      <c r="B454" s="3616" t="s">
        <v>734</v>
      </c>
      <c r="C454" s="6013">
        <f t="shared" si="7"/>
        <v>5</v>
      </c>
      <c r="D454" s="3617" t="s">
        <v>103</v>
      </c>
      <c r="E454" s="3618" t="s">
        <v>10</v>
      </c>
      <c r="F454" s="3619">
        <v>-31.77</v>
      </c>
      <c r="G454" s="3620" t="s">
        <v>11</v>
      </c>
      <c r="H454" s="3621">
        <v>5435.57</v>
      </c>
      <c r="I454" s="3622" t="s">
        <v>11</v>
      </c>
      <c r="J454" s="3623" t="s">
        <v>104</v>
      </c>
      <c r="K454" s="5940" t="s">
        <v>1148</v>
      </c>
      <c r="L454" s="6760" t="str">
        <f>VLOOKUP(K454,'COD.'!$A$1:$B$39,2,0)</f>
        <v xml:space="preserve">Supermercado </v>
      </c>
    </row>
    <row r="455" spans="1:12" x14ac:dyDescent="0.2">
      <c r="A455" s="6471" t="s">
        <v>737</v>
      </c>
      <c r="B455" s="3624" t="s">
        <v>734</v>
      </c>
      <c r="C455" s="6013">
        <f t="shared" si="7"/>
        <v>5</v>
      </c>
      <c r="D455" s="3625" t="s">
        <v>510</v>
      </c>
      <c r="E455" s="3626" t="s">
        <v>10</v>
      </c>
      <c r="F455" s="3627">
        <v>-24.2</v>
      </c>
      <c r="G455" s="3628" t="s">
        <v>11</v>
      </c>
      <c r="H455" s="3629">
        <v>5467.34</v>
      </c>
      <c r="I455" s="3630" t="s">
        <v>11</v>
      </c>
      <c r="J455" s="3631" t="s">
        <v>511</v>
      </c>
      <c r="K455" s="5940" t="s">
        <v>1146</v>
      </c>
      <c r="L455" s="6760" t="str">
        <f>VLOOKUP(K455,'COD.'!$A$1:$B$39,2,0)</f>
        <v xml:space="preserve">Supermercado </v>
      </c>
    </row>
    <row r="456" spans="1:12" x14ac:dyDescent="0.2">
      <c r="A456" s="6472" t="s">
        <v>737</v>
      </c>
      <c r="B456" s="3632" t="s">
        <v>734</v>
      </c>
      <c r="C456" s="6013">
        <f t="shared" si="7"/>
        <v>5</v>
      </c>
      <c r="D456" s="3633" t="s">
        <v>741</v>
      </c>
      <c r="E456" s="3634" t="s">
        <v>10</v>
      </c>
      <c r="F456" s="3635">
        <v>-2.8</v>
      </c>
      <c r="G456" s="3636" t="s">
        <v>11</v>
      </c>
      <c r="H456" s="3637">
        <v>5491.54</v>
      </c>
      <c r="I456" s="3638" t="s">
        <v>11</v>
      </c>
      <c r="J456" s="3639" t="s">
        <v>742</v>
      </c>
      <c r="K456" s="5940" t="s">
        <v>1145</v>
      </c>
      <c r="L456" s="6760" t="str">
        <f>VLOOKUP(K456,'COD.'!$A$1:$B$39,2,0)</f>
        <v xml:space="preserve">Ocio y Entretenimiento </v>
      </c>
    </row>
    <row r="457" spans="1:12" x14ac:dyDescent="0.2">
      <c r="A457" s="6473" t="s">
        <v>733</v>
      </c>
      <c r="B457" s="3640" t="s">
        <v>734</v>
      </c>
      <c r="C457" s="6013">
        <f t="shared" si="7"/>
        <v>5</v>
      </c>
      <c r="D457" s="3641" t="s">
        <v>642</v>
      </c>
      <c r="E457" s="3642" t="s">
        <v>10</v>
      </c>
      <c r="F457" s="3643">
        <v>-4.55</v>
      </c>
      <c r="G457" s="3644" t="s">
        <v>11</v>
      </c>
      <c r="H457" s="3645">
        <v>5494.34</v>
      </c>
      <c r="I457" s="3646" t="s">
        <v>11</v>
      </c>
      <c r="J457" s="3647" t="s">
        <v>643</v>
      </c>
      <c r="K457" s="5940" t="s">
        <v>1145</v>
      </c>
      <c r="L457" s="6760" t="str">
        <f>VLOOKUP(K457,'COD.'!$A$1:$B$39,2,0)</f>
        <v xml:space="preserve">Ocio y Entretenimiento </v>
      </c>
    </row>
    <row r="458" spans="1:12" x14ac:dyDescent="0.2">
      <c r="A458" s="6474" t="s">
        <v>733</v>
      </c>
      <c r="B458" s="3648" t="s">
        <v>733</v>
      </c>
      <c r="C458" s="6013">
        <f t="shared" si="7"/>
        <v>5</v>
      </c>
      <c r="D458" s="3649" t="s">
        <v>743</v>
      </c>
      <c r="E458" s="3650" t="s">
        <v>10</v>
      </c>
      <c r="F458" s="3651">
        <v>-5.9</v>
      </c>
      <c r="G458" s="3652" t="s">
        <v>11</v>
      </c>
      <c r="H458" s="3653">
        <v>5498.89</v>
      </c>
      <c r="I458" s="3654" t="s">
        <v>11</v>
      </c>
      <c r="J458" s="3655" t="s">
        <v>744</v>
      </c>
      <c r="K458" s="5940" t="s">
        <v>1145</v>
      </c>
      <c r="L458" s="6760" t="str">
        <f>VLOOKUP(K458,'COD.'!$A$1:$B$39,2,0)</f>
        <v xml:space="preserve">Ocio y Entretenimiento </v>
      </c>
    </row>
    <row r="459" spans="1:12" x14ac:dyDescent="0.2">
      <c r="A459" s="6475" t="s">
        <v>733</v>
      </c>
      <c r="B459" s="3656" t="s">
        <v>733</v>
      </c>
      <c r="C459" s="6013">
        <f t="shared" si="7"/>
        <v>5</v>
      </c>
      <c r="D459" s="3657" t="s">
        <v>101</v>
      </c>
      <c r="E459" s="3658" t="s">
        <v>10</v>
      </c>
      <c r="F459" s="3659">
        <v>-3.26</v>
      </c>
      <c r="G459" s="3660" t="s">
        <v>11</v>
      </c>
      <c r="H459" s="3661">
        <v>5504.79</v>
      </c>
      <c r="I459" s="3662" t="s">
        <v>11</v>
      </c>
      <c r="J459" s="3663" t="s">
        <v>102</v>
      </c>
      <c r="K459" s="5940" t="s">
        <v>443</v>
      </c>
      <c r="L459" s="6760" t="str">
        <f>VLOOKUP(K459,'COD.'!$A$1:$B$39,2,0)</f>
        <v xml:space="preserve">Salud y Cuidado </v>
      </c>
    </row>
    <row r="460" spans="1:12" x14ac:dyDescent="0.2">
      <c r="A460" s="6476" t="s">
        <v>745</v>
      </c>
      <c r="B460" s="3664" t="s">
        <v>745</v>
      </c>
      <c r="C460" s="6013">
        <f t="shared" si="7"/>
        <v>5</v>
      </c>
      <c r="D460" s="3665" t="s">
        <v>746</v>
      </c>
      <c r="E460" s="3666" t="s">
        <v>10</v>
      </c>
      <c r="F460" s="3667">
        <v>-40</v>
      </c>
      <c r="G460" s="3668" t="s">
        <v>11</v>
      </c>
      <c r="H460" s="3669">
        <v>5508.05</v>
      </c>
      <c r="I460" s="3670" t="s">
        <v>11</v>
      </c>
      <c r="J460" s="3671" t="s">
        <v>747</v>
      </c>
      <c r="K460" s="5940" t="s">
        <v>1157</v>
      </c>
      <c r="L460" s="6760" t="str">
        <f>VLOOKUP(K460,'COD.'!$A$1:$B$39,2,0)</f>
        <v xml:space="preserve">Ocio y Entretenimiento </v>
      </c>
    </row>
    <row r="461" spans="1:12" x14ac:dyDescent="0.2">
      <c r="A461" s="6477" t="s">
        <v>748</v>
      </c>
      <c r="B461" s="3672" t="s">
        <v>748</v>
      </c>
      <c r="C461" s="6013">
        <f t="shared" si="7"/>
        <v>5</v>
      </c>
      <c r="D461" s="3673" t="s">
        <v>507</v>
      </c>
      <c r="E461" s="3674" t="s">
        <v>10</v>
      </c>
      <c r="F461" s="3675">
        <v>-10.8</v>
      </c>
      <c r="G461" s="3676" t="s">
        <v>11</v>
      </c>
      <c r="H461" s="3677">
        <v>5548.05</v>
      </c>
      <c r="I461" s="3678" t="s">
        <v>11</v>
      </c>
      <c r="J461" s="3679" t="s">
        <v>508</v>
      </c>
      <c r="K461" s="5940" t="s">
        <v>1145</v>
      </c>
      <c r="L461" s="6760" t="str">
        <f>VLOOKUP(K461,'COD.'!$A$1:$B$39,2,0)</f>
        <v xml:space="preserve">Ocio y Entretenimiento </v>
      </c>
    </row>
    <row r="462" spans="1:12" x14ac:dyDescent="0.2">
      <c r="A462" s="6478" t="s">
        <v>748</v>
      </c>
      <c r="B462" s="3680" t="s">
        <v>748</v>
      </c>
      <c r="C462" s="6013">
        <f t="shared" si="7"/>
        <v>5</v>
      </c>
      <c r="D462" s="3681" t="s">
        <v>749</v>
      </c>
      <c r="E462" s="3682" t="s">
        <v>10</v>
      </c>
      <c r="F462" s="3683">
        <v>-10.8</v>
      </c>
      <c r="G462" s="3684" t="s">
        <v>11</v>
      </c>
      <c r="H462" s="3685">
        <v>5558.85</v>
      </c>
      <c r="I462" s="3686" t="s">
        <v>11</v>
      </c>
      <c r="J462" s="3687" t="s">
        <v>750</v>
      </c>
      <c r="K462" s="5940" t="s">
        <v>1147</v>
      </c>
      <c r="L462" s="6760" t="str">
        <f>VLOOKUP(K462,'COD.'!$A$1:$B$39,2,0)</f>
        <v xml:space="preserve">Otros Gastos Generales </v>
      </c>
    </row>
    <row r="463" spans="1:12" x14ac:dyDescent="0.2">
      <c r="A463" s="6479" t="s">
        <v>751</v>
      </c>
      <c r="B463" s="3688" t="s">
        <v>748</v>
      </c>
      <c r="C463" s="6013">
        <f t="shared" si="7"/>
        <v>5</v>
      </c>
      <c r="D463" s="3689" t="s">
        <v>752</v>
      </c>
      <c r="E463" s="3690" t="s">
        <v>10</v>
      </c>
      <c r="F463" s="3691">
        <v>-93.4</v>
      </c>
      <c r="G463" s="3692" t="s">
        <v>11</v>
      </c>
      <c r="H463" s="3693">
        <v>5569.65</v>
      </c>
      <c r="I463" s="3694" t="s">
        <v>11</v>
      </c>
      <c r="J463" s="3695" t="s">
        <v>753</v>
      </c>
      <c r="K463" s="5940" t="s">
        <v>1149</v>
      </c>
      <c r="L463" s="6760" t="str">
        <f>VLOOKUP(K463,'COD.'!$A$1:$B$39,2,0)</f>
        <v xml:space="preserve">Ocio y Entretenimiento </v>
      </c>
    </row>
    <row r="464" spans="1:12" x14ac:dyDescent="0.2">
      <c r="A464" s="6480" t="s">
        <v>754</v>
      </c>
      <c r="B464" s="3696" t="s">
        <v>748</v>
      </c>
      <c r="C464" s="6013">
        <f t="shared" si="7"/>
        <v>5</v>
      </c>
      <c r="D464" s="3697" t="s">
        <v>56</v>
      </c>
      <c r="E464" s="3698" t="s">
        <v>10</v>
      </c>
      <c r="F464" s="3699">
        <v>-25.7</v>
      </c>
      <c r="G464" s="3700" t="s">
        <v>11</v>
      </c>
      <c r="H464" s="3701">
        <v>5663.05</v>
      </c>
      <c r="I464" s="3702" t="s">
        <v>11</v>
      </c>
      <c r="J464" s="3703" t="s">
        <v>57</v>
      </c>
      <c r="K464" s="5940" t="s">
        <v>1145</v>
      </c>
      <c r="L464" s="6760" t="str">
        <f>VLOOKUP(K464,'COD.'!$A$1:$B$39,2,0)</f>
        <v xml:space="preserve">Ocio y Entretenimiento </v>
      </c>
    </row>
    <row r="465" spans="1:12" x14ac:dyDescent="0.2">
      <c r="A465" s="6481" t="s">
        <v>754</v>
      </c>
      <c r="B465" s="3704" t="s">
        <v>754</v>
      </c>
      <c r="C465" s="6013">
        <f t="shared" si="7"/>
        <v>5</v>
      </c>
      <c r="D465" s="3705" t="s">
        <v>60</v>
      </c>
      <c r="E465" s="3706" t="s">
        <v>755</v>
      </c>
      <c r="F465" s="3707">
        <v>-6.75</v>
      </c>
      <c r="G465" s="3708" t="s">
        <v>11</v>
      </c>
      <c r="H465" s="3709">
        <v>5688.75</v>
      </c>
      <c r="I465" s="3710" t="s">
        <v>11</v>
      </c>
      <c r="J465" s="3711" t="s">
        <v>756</v>
      </c>
      <c r="K465" s="5982" t="s">
        <v>60</v>
      </c>
      <c r="L465" s="6760" t="str">
        <f>VLOOKUP(K465,'COD.'!$A$1:$B$39,2,0)</f>
        <v xml:space="preserve">Transferencias y Efectivo </v>
      </c>
    </row>
    <row r="466" spans="1:12" x14ac:dyDescent="0.2">
      <c r="A466" s="6482" t="s">
        <v>757</v>
      </c>
      <c r="B466" s="3712" t="s">
        <v>751</v>
      </c>
      <c r="C466" s="6013">
        <f t="shared" si="7"/>
        <v>5</v>
      </c>
      <c r="D466" s="3713" t="s">
        <v>758</v>
      </c>
      <c r="E466" s="3714" t="s">
        <v>10</v>
      </c>
      <c r="F466" s="3715">
        <v>-40</v>
      </c>
      <c r="G466" s="3716" t="s">
        <v>11</v>
      </c>
      <c r="H466" s="3717">
        <v>5695.5</v>
      </c>
      <c r="I466" s="3718" t="s">
        <v>11</v>
      </c>
      <c r="J466" s="3719" t="s">
        <v>759</v>
      </c>
      <c r="K466" s="5940" t="s">
        <v>1149</v>
      </c>
      <c r="L466" s="6760" t="str">
        <f>VLOOKUP(K466,'COD.'!$A$1:$B$39,2,0)</f>
        <v xml:space="preserve">Ocio y Entretenimiento </v>
      </c>
    </row>
    <row r="467" spans="1:12" x14ac:dyDescent="0.2">
      <c r="A467" s="6483" t="s">
        <v>760</v>
      </c>
      <c r="B467" s="3720" t="s">
        <v>751</v>
      </c>
      <c r="C467" s="6013">
        <f t="shared" si="7"/>
        <v>5</v>
      </c>
      <c r="D467" s="3721" t="s">
        <v>761</v>
      </c>
      <c r="E467" s="3722" t="s">
        <v>10</v>
      </c>
      <c r="F467" s="3723">
        <v>-20.7</v>
      </c>
      <c r="G467" s="3724" t="s">
        <v>11</v>
      </c>
      <c r="H467" s="3725">
        <v>5735.5</v>
      </c>
      <c r="I467" s="3726" t="s">
        <v>11</v>
      </c>
      <c r="J467" s="3727" t="s">
        <v>762</v>
      </c>
      <c r="K467" s="5940" t="s">
        <v>1148</v>
      </c>
      <c r="L467" s="6760" t="str">
        <f>VLOOKUP(K467,'COD.'!$A$1:$B$39,2,0)</f>
        <v xml:space="preserve">Supermercado </v>
      </c>
    </row>
    <row r="468" spans="1:12" x14ac:dyDescent="0.2">
      <c r="A468" s="6484" t="s">
        <v>722</v>
      </c>
      <c r="B468" s="3728" t="s">
        <v>751</v>
      </c>
      <c r="C468" s="6013">
        <f t="shared" si="7"/>
        <v>5</v>
      </c>
      <c r="D468" s="3729" t="s">
        <v>763</v>
      </c>
      <c r="E468" s="3730" t="s">
        <v>10</v>
      </c>
      <c r="F468" s="3731">
        <v>-79</v>
      </c>
      <c r="G468" s="3732" t="s">
        <v>11</v>
      </c>
      <c r="H468" s="3733">
        <v>5756.2</v>
      </c>
      <c r="I468" s="3734" t="s">
        <v>11</v>
      </c>
      <c r="J468" s="3735" t="s">
        <v>764</v>
      </c>
      <c r="K468" s="5940" t="s">
        <v>1149</v>
      </c>
      <c r="L468" s="6760" t="str">
        <f>VLOOKUP(K468,'COD.'!$A$1:$B$39,2,0)</f>
        <v xml:space="preserve">Ocio y Entretenimiento </v>
      </c>
    </row>
    <row r="469" spans="1:12" x14ac:dyDescent="0.2">
      <c r="A469" s="6485" t="s">
        <v>751</v>
      </c>
      <c r="B469" s="3736" t="s">
        <v>751</v>
      </c>
      <c r="C469" s="6013">
        <f t="shared" si="7"/>
        <v>5</v>
      </c>
      <c r="D469" s="3737" t="s">
        <v>176</v>
      </c>
      <c r="E469" s="3738" t="s">
        <v>765</v>
      </c>
      <c r="F469" s="3739">
        <v>973.39</v>
      </c>
      <c r="G469" s="3740" t="s">
        <v>11</v>
      </c>
      <c r="H469" s="3741">
        <v>5835.2</v>
      </c>
      <c r="I469" s="3742" t="s">
        <v>11</v>
      </c>
      <c r="J469" s="3743" t="s">
        <v>766</v>
      </c>
      <c r="K469" s="5940" t="s">
        <v>1167</v>
      </c>
      <c r="L469" s="6760" t="str">
        <f>VLOOKUP(K469,'COD.'!$A$1:$B$39,2,0)</f>
        <v xml:space="preserve">Transferencias y Efectivo </v>
      </c>
    </row>
    <row r="470" spans="1:12" x14ac:dyDescent="0.2">
      <c r="A470" s="6486" t="s">
        <v>757</v>
      </c>
      <c r="B470" s="3744" t="s">
        <v>751</v>
      </c>
      <c r="C470" s="6013">
        <f t="shared" si="7"/>
        <v>5</v>
      </c>
      <c r="D470" s="3745" t="s">
        <v>235</v>
      </c>
      <c r="E470" s="3746" t="s">
        <v>10</v>
      </c>
      <c r="F470" s="3747">
        <v>-26.98</v>
      </c>
      <c r="G470" s="3748" t="s">
        <v>11</v>
      </c>
      <c r="H470" s="3749">
        <v>4861.8100000000004</v>
      </c>
      <c r="I470" s="3750" t="s">
        <v>11</v>
      </c>
      <c r="J470" s="3751" t="s">
        <v>236</v>
      </c>
      <c r="K470" s="5940" t="s">
        <v>1146</v>
      </c>
      <c r="L470" s="6760" t="str">
        <f>VLOOKUP(K470,'COD.'!$A$1:$B$39,2,0)</f>
        <v xml:space="preserve">Supermercado </v>
      </c>
    </row>
    <row r="471" spans="1:12" x14ac:dyDescent="0.2">
      <c r="A471" s="6487" t="s">
        <v>757</v>
      </c>
      <c r="B471" s="3752" t="s">
        <v>751</v>
      </c>
      <c r="C471" s="6013">
        <f t="shared" si="7"/>
        <v>5</v>
      </c>
      <c r="D471" s="3753" t="s">
        <v>9</v>
      </c>
      <c r="E471" s="3754" t="s">
        <v>10</v>
      </c>
      <c r="F471" s="3755">
        <v>-8.66</v>
      </c>
      <c r="G471" s="3756" t="s">
        <v>11</v>
      </c>
      <c r="H471" s="3757">
        <v>4888.79</v>
      </c>
      <c r="I471" s="3758" t="s">
        <v>11</v>
      </c>
      <c r="J471" s="3759" t="s">
        <v>12</v>
      </c>
      <c r="K471" s="5940" t="s">
        <v>1163</v>
      </c>
      <c r="L471" s="6760" t="str">
        <f>VLOOKUP(K471,'COD.'!$A$1:$B$39,2,0)</f>
        <v xml:space="preserve">Otros Gastos Generales </v>
      </c>
    </row>
    <row r="472" spans="1:12" x14ac:dyDescent="0.2">
      <c r="A472" s="6488" t="s">
        <v>757</v>
      </c>
      <c r="B472" s="3760" t="s">
        <v>751</v>
      </c>
      <c r="C472" s="6013">
        <f t="shared" si="7"/>
        <v>5</v>
      </c>
      <c r="D472" s="3761" t="s">
        <v>235</v>
      </c>
      <c r="E472" s="3762" t="s">
        <v>10</v>
      </c>
      <c r="F472" s="3763">
        <v>-59.64</v>
      </c>
      <c r="G472" s="3764" t="s">
        <v>11</v>
      </c>
      <c r="H472" s="3765">
        <v>4897.45</v>
      </c>
      <c r="I472" s="3766" t="s">
        <v>11</v>
      </c>
      <c r="J472" s="3767" t="s">
        <v>236</v>
      </c>
      <c r="K472" s="5940" t="s">
        <v>1146</v>
      </c>
      <c r="L472" s="6760" t="str">
        <f>VLOOKUP(K472,'COD.'!$A$1:$B$39,2,0)</f>
        <v xml:space="preserve">Supermercado </v>
      </c>
    </row>
    <row r="473" spans="1:12" x14ac:dyDescent="0.2">
      <c r="A473" s="6489" t="s">
        <v>757</v>
      </c>
      <c r="B473" s="3768" t="s">
        <v>751</v>
      </c>
      <c r="C473" s="6013">
        <f t="shared" si="7"/>
        <v>5</v>
      </c>
      <c r="D473" s="3769" t="s">
        <v>103</v>
      </c>
      <c r="E473" s="3770" t="s">
        <v>10</v>
      </c>
      <c r="F473" s="3771">
        <v>-9.41</v>
      </c>
      <c r="G473" s="3772" t="s">
        <v>11</v>
      </c>
      <c r="H473" s="3773">
        <v>4957.09</v>
      </c>
      <c r="I473" s="3774" t="s">
        <v>11</v>
      </c>
      <c r="J473" s="3775" t="s">
        <v>104</v>
      </c>
      <c r="K473" s="5940" t="s">
        <v>1148</v>
      </c>
      <c r="L473" s="6760" t="str">
        <f>VLOOKUP(K473,'COD.'!$A$1:$B$39,2,0)</f>
        <v xml:space="preserve">Supermercado </v>
      </c>
    </row>
    <row r="474" spans="1:12" x14ac:dyDescent="0.2">
      <c r="A474" s="6490" t="s">
        <v>767</v>
      </c>
      <c r="B474" s="3776" t="s">
        <v>768</v>
      </c>
      <c r="C474" s="6013">
        <f t="shared" si="7"/>
        <v>5</v>
      </c>
      <c r="D474" s="3777" t="s">
        <v>769</v>
      </c>
      <c r="E474" s="3778" t="s">
        <v>10</v>
      </c>
      <c r="F474" s="3779">
        <v>-2.99</v>
      </c>
      <c r="G474" s="3780" t="s">
        <v>11</v>
      </c>
      <c r="H474" s="3781">
        <v>4966.5</v>
      </c>
      <c r="I474" s="3782" t="s">
        <v>11</v>
      </c>
      <c r="J474" s="3783" t="s">
        <v>770</v>
      </c>
      <c r="K474" s="5972" t="s">
        <v>1150</v>
      </c>
      <c r="L474" s="6760" t="str">
        <f>VLOOKUP(K474,'COD.'!$A$1:$B$39,2,0)</f>
        <v xml:space="preserve">Ocio y Entretenimiento </v>
      </c>
    </row>
    <row r="475" spans="1:12" x14ac:dyDescent="0.2">
      <c r="A475" s="6491" t="s">
        <v>760</v>
      </c>
      <c r="B475" s="3784" t="s">
        <v>768</v>
      </c>
      <c r="C475" s="6013">
        <f t="shared" si="7"/>
        <v>5</v>
      </c>
      <c r="D475" s="3785" t="s">
        <v>90</v>
      </c>
      <c r="E475" s="3786" t="s">
        <v>10</v>
      </c>
      <c r="F475" s="3787">
        <v>-11</v>
      </c>
      <c r="G475" s="3788" t="s">
        <v>11</v>
      </c>
      <c r="H475" s="3789">
        <v>4969.49</v>
      </c>
      <c r="I475" s="3790" t="s">
        <v>11</v>
      </c>
      <c r="J475" s="3791" t="s">
        <v>91</v>
      </c>
      <c r="K475" s="5940" t="s">
        <v>1156</v>
      </c>
      <c r="L475" s="6760" t="str">
        <f>VLOOKUP(K475,'COD.'!$A$1:$B$39,2,0)</f>
        <v>Moto</v>
      </c>
    </row>
    <row r="476" spans="1:12" x14ac:dyDescent="0.2">
      <c r="A476" s="6492" t="s">
        <v>722</v>
      </c>
      <c r="B476" s="3792" t="s">
        <v>760</v>
      </c>
      <c r="C476" s="6013">
        <f t="shared" si="7"/>
        <v>5</v>
      </c>
      <c r="D476" s="3793" t="s">
        <v>599</v>
      </c>
      <c r="E476" s="3794" t="s">
        <v>10</v>
      </c>
      <c r="F476" s="3795">
        <v>-8.8000000000000007</v>
      </c>
      <c r="G476" s="3796" t="s">
        <v>11</v>
      </c>
      <c r="H476" s="3797">
        <v>4980.49</v>
      </c>
      <c r="I476" s="3798" t="s">
        <v>11</v>
      </c>
      <c r="J476" s="3799" t="s">
        <v>600</v>
      </c>
      <c r="K476" s="5940" t="s">
        <v>1145</v>
      </c>
      <c r="L476" s="6760" t="str">
        <f>VLOOKUP(K476,'COD.'!$A$1:$B$39,2,0)</f>
        <v xml:space="preserve">Ocio y Entretenimiento </v>
      </c>
    </row>
    <row r="477" spans="1:12" x14ac:dyDescent="0.2">
      <c r="A477" s="6493" t="s">
        <v>722</v>
      </c>
      <c r="B477" s="3800" t="s">
        <v>760</v>
      </c>
      <c r="C477" s="6013">
        <f t="shared" si="7"/>
        <v>5</v>
      </c>
      <c r="D477" s="3801" t="s">
        <v>723</v>
      </c>
      <c r="E477" s="3802" t="s">
        <v>10</v>
      </c>
      <c r="F477" s="3803">
        <v>-44.99</v>
      </c>
      <c r="G477" s="3804" t="s">
        <v>11</v>
      </c>
      <c r="H477" s="3805">
        <v>4989.29</v>
      </c>
      <c r="I477" s="3806" t="s">
        <v>11</v>
      </c>
      <c r="J477" s="3807" t="s">
        <v>724</v>
      </c>
      <c r="K477" s="5940" t="s">
        <v>1149</v>
      </c>
      <c r="L477" s="6760" t="str">
        <f>VLOOKUP(K477,'COD.'!$A$1:$B$39,2,0)</f>
        <v xml:space="preserve">Ocio y Entretenimiento </v>
      </c>
    </row>
    <row r="478" spans="1:12" x14ac:dyDescent="0.2">
      <c r="A478" s="6494" t="s">
        <v>767</v>
      </c>
      <c r="B478" s="3808" t="s">
        <v>767</v>
      </c>
      <c r="C478" s="6013">
        <f t="shared" si="7"/>
        <v>5</v>
      </c>
      <c r="D478" s="3809" t="s">
        <v>771</v>
      </c>
      <c r="E478" s="3810" t="s">
        <v>10</v>
      </c>
      <c r="F478" s="3811">
        <v>-35</v>
      </c>
      <c r="G478" s="3812" t="s">
        <v>11</v>
      </c>
      <c r="H478" s="3813">
        <v>5034.28</v>
      </c>
      <c r="I478" s="3814" t="s">
        <v>11</v>
      </c>
      <c r="J478" s="3815" t="s">
        <v>772</v>
      </c>
      <c r="K478" s="5940" t="s">
        <v>1162</v>
      </c>
      <c r="L478" s="6760" t="str">
        <f>VLOOKUP(K478,'COD.'!$A$1:$B$39,2,0)</f>
        <v xml:space="preserve">Ocio y Entretenimiento </v>
      </c>
    </row>
    <row r="479" spans="1:12" x14ac:dyDescent="0.2">
      <c r="A479" s="6495" t="s">
        <v>722</v>
      </c>
      <c r="B479" s="3816" t="s">
        <v>722</v>
      </c>
      <c r="C479" s="6013">
        <f t="shared" si="7"/>
        <v>5</v>
      </c>
      <c r="D479" s="3817" t="s">
        <v>555</v>
      </c>
      <c r="E479" s="3818" t="s">
        <v>10</v>
      </c>
      <c r="F479" s="3819">
        <v>-9.9499999999999993</v>
      </c>
      <c r="G479" s="3820" t="s">
        <v>11</v>
      </c>
      <c r="H479" s="3821">
        <v>5069.28</v>
      </c>
      <c r="I479" s="3822" t="s">
        <v>11</v>
      </c>
      <c r="J479" s="3823" t="s">
        <v>556</v>
      </c>
      <c r="K479" s="5940" t="s">
        <v>1148</v>
      </c>
      <c r="L479" s="6760" t="str">
        <f>VLOOKUP(K479,'COD.'!$A$1:$B$39,2,0)</f>
        <v xml:space="preserve">Supermercado </v>
      </c>
    </row>
    <row r="480" spans="1:12" x14ac:dyDescent="0.2">
      <c r="A480" s="6496" t="s">
        <v>722</v>
      </c>
      <c r="B480" s="3824" t="s">
        <v>722</v>
      </c>
      <c r="C480" s="6013">
        <f t="shared" si="7"/>
        <v>5</v>
      </c>
      <c r="D480" s="3825" t="s">
        <v>334</v>
      </c>
      <c r="E480" s="3826" t="s">
        <v>10</v>
      </c>
      <c r="F480" s="3827">
        <v>-6.36</v>
      </c>
      <c r="G480" s="3828" t="s">
        <v>11</v>
      </c>
      <c r="H480" s="3829">
        <v>5079.2299999999996</v>
      </c>
      <c r="I480" s="3830" t="s">
        <v>11</v>
      </c>
      <c r="J480" s="3831" t="s">
        <v>335</v>
      </c>
      <c r="K480" s="5940" t="s">
        <v>1148</v>
      </c>
      <c r="L480" s="6760" t="str">
        <f>VLOOKUP(K480,'COD.'!$A$1:$B$39,2,0)</f>
        <v xml:space="preserve">Supermercado </v>
      </c>
    </row>
    <row r="481" spans="1:12" x14ac:dyDescent="0.2">
      <c r="A481" s="6497" t="s">
        <v>773</v>
      </c>
      <c r="B481" s="3832" t="s">
        <v>722</v>
      </c>
      <c r="C481" s="6013">
        <f t="shared" si="7"/>
        <v>5</v>
      </c>
      <c r="D481" s="3833" t="s">
        <v>774</v>
      </c>
      <c r="E481" s="3834" t="s">
        <v>10</v>
      </c>
      <c r="F481" s="3835">
        <v>-44.32</v>
      </c>
      <c r="G481" s="3836" t="s">
        <v>11</v>
      </c>
      <c r="H481" s="3837">
        <v>5085.59</v>
      </c>
      <c r="I481" s="3838" t="s">
        <v>11</v>
      </c>
      <c r="J481" s="3839" t="s">
        <v>775</v>
      </c>
      <c r="K481" s="5940" t="s">
        <v>1146</v>
      </c>
      <c r="L481" s="6760" t="str">
        <f>VLOOKUP(K481,'COD.'!$A$1:$B$39,2,0)</f>
        <v xml:space="preserve">Supermercado </v>
      </c>
    </row>
    <row r="482" spans="1:12" x14ac:dyDescent="0.2">
      <c r="A482" s="6498" t="s">
        <v>776</v>
      </c>
      <c r="B482" s="3840" t="s">
        <v>777</v>
      </c>
      <c r="C482" s="6013">
        <f t="shared" si="7"/>
        <v>5</v>
      </c>
      <c r="D482" s="3841" t="s">
        <v>778</v>
      </c>
      <c r="E482" s="3842" t="s">
        <v>10</v>
      </c>
      <c r="F482" s="3843">
        <v>8.8800000000000008</v>
      </c>
      <c r="G482" s="3844" t="s">
        <v>11</v>
      </c>
      <c r="H482" s="3845">
        <v>5129.91</v>
      </c>
      <c r="I482" s="3846" t="s">
        <v>11</v>
      </c>
      <c r="J482" s="3847" t="s">
        <v>779</v>
      </c>
      <c r="K482" s="5940" t="s">
        <v>1149</v>
      </c>
      <c r="L482" s="6760" t="str">
        <f>VLOOKUP(K482,'COD.'!$A$1:$B$39,2,0)</f>
        <v xml:space="preserve">Ocio y Entretenimiento </v>
      </c>
    </row>
    <row r="483" spans="1:12" x14ac:dyDescent="0.2">
      <c r="A483" s="6499" t="s">
        <v>773</v>
      </c>
      <c r="B483" s="3848" t="s">
        <v>777</v>
      </c>
      <c r="C483" s="6013">
        <f t="shared" si="7"/>
        <v>5</v>
      </c>
      <c r="D483" s="3849" t="s">
        <v>780</v>
      </c>
      <c r="E483" s="3850" t="s">
        <v>10</v>
      </c>
      <c r="F483" s="3851">
        <v>-1.4</v>
      </c>
      <c r="G483" s="3852" t="s">
        <v>11</v>
      </c>
      <c r="H483" s="3853">
        <v>5121.03</v>
      </c>
      <c r="I483" s="3854" t="s">
        <v>11</v>
      </c>
      <c r="J483" s="3855" t="s">
        <v>781</v>
      </c>
      <c r="K483" s="5940" t="s">
        <v>1145</v>
      </c>
      <c r="L483" s="6760" t="str">
        <f>VLOOKUP(K483,'COD.'!$A$1:$B$39,2,0)</f>
        <v xml:space="preserve">Ocio y Entretenimiento </v>
      </c>
    </row>
    <row r="484" spans="1:12" x14ac:dyDescent="0.2">
      <c r="A484" s="6500" t="s">
        <v>773</v>
      </c>
      <c r="B484" s="3856" t="s">
        <v>777</v>
      </c>
      <c r="C484" s="6013">
        <f t="shared" si="7"/>
        <v>5</v>
      </c>
      <c r="D484" s="3857" t="s">
        <v>782</v>
      </c>
      <c r="E484" s="3858" t="s">
        <v>10</v>
      </c>
      <c r="F484" s="3859">
        <v>-27.98</v>
      </c>
      <c r="G484" s="3860" t="s">
        <v>11</v>
      </c>
      <c r="H484" s="3861">
        <v>5122.43</v>
      </c>
      <c r="I484" s="3862" t="s">
        <v>11</v>
      </c>
      <c r="J484" s="3863" t="s">
        <v>783</v>
      </c>
      <c r="K484" s="5940" t="s">
        <v>1149</v>
      </c>
      <c r="L484" s="6760" t="str">
        <f>VLOOKUP(K484,'COD.'!$A$1:$B$39,2,0)</f>
        <v xml:space="preserve">Ocio y Entretenimiento </v>
      </c>
    </row>
    <row r="485" spans="1:12" x14ac:dyDescent="0.2">
      <c r="A485" s="6501" t="s">
        <v>784</v>
      </c>
      <c r="B485" s="3864" t="s">
        <v>777</v>
      </c>
      <c r="C485" s="6013">
        <f t="shared" si="7"/>
        <v>5</v>
      </c>
      <c r="D485" s="3865" t="s">
        <v>92</v>
      </c>
      <c r="E485" s="3866" t="s">
        <v>10</v>
      </c>
      <c r="F485" s="3867">
        <v>-3.25</v>
      </c>
      <c r="G485" s="3868" t="s">
        <v>11</v>
      </c>
      <c r="H485" s="3869">
        <v>5150.41</v>
      </c>
      <c r="I485" s="3870" t="s">
        <v>11</v>
      </c>
      <c r="J485" s="3871" t="s">
        <v>93</v>
      </c>
      <c r="K485" s="5940" t="s">
        <v>1148</v>
      </c>
      <c r="L485" s="6760" t="str">
        <f>VLOOKUP(K485,'COD.'!$A$1:$B$39,2,0)</f>
        <v xml:space="preserve">Supermercado </v>
      </c>
    </row>
    <row r="486" spans="1:12" x14ac:dyDescent="0.2">
      <c r="A486" s="6502" t="s">
        <v>784</v>
      </c>
      <c r="B486" s="3872" t="s">
        <v>777</v>
      </c>
      <c r="C486" s="6013">
        <f t="shared" si="7"/>
        <v>5</v>
      </c>
      <c r="D486" s="3873" t="s">
        <v>785</v>
      </c>
      <c r="E486" s="3874" t="s">
        <v>10</v>
      </c>
      <c r="F486" s="3875">
        <v>-7.77</v>
      </c>
      <c r="G486" s="3876" t="s">
        <v>11</v>
      </c>
      <c r="H486" s="3877">
        <v>5153.66</v>
      </c>
      <c r="I486" s="3878" t="s">
        <v>11</v>
      </c>
      <c r="J486" s="3879" t="s">
        <v>786</v>
      </c>
      <c r="K486" s="5940" t="s">
        <v>1148</v>
      </c>
      <c r="L486" s="6760" t="str">
        <f>VLOOKUP(K486,'COD.'!$A$1:$B$39,2,0)</f>
        <v xml:space="preserve">Supermercado </v>
      </c>
    </row>
    <row r="487" spans="1:12" x14ac:dyDescent="0.2">
      <c r="A487" s="6503" t="s">
        <v>784</v>
      </c>
      <c r="B487" s="3880" t="s">
        <v>777</v>
      </c>
      <c r="C487" s="6013">
        <f t="shared" si="7"/>
        <v>5</v>
      </c>
      <c r="D487" s="3881" t="s">
        <v>787</v>
      </c>
      <c r="E487" s="3882" t="s">
        <v>10</v>
      </c>
      <c r="F487" s="3883">
        <v>-33</v>
      </c>
      <c r="G487" s="3884" t="s">
        <v>11</v>
      </c>
      <c r="H487" s="3885">
        <v>5161.43</v>
      </c>
      <c r="I487" s="3886" t="s">
        <v>11</v>
      </c>
      <c r="J487" s="3887" t="s">
        <v>788</v>
      </c>
      <c r="K487" s="5940" t="s">
        <v>1145</v>
      </c>
      <c r="L487" s="6760" t="str">
        <f>VLOOKUP(K487,'COD.'!$A$1:$B$39,2,0)</f>
        <v xml:space="preserve">Ocio y Entretenimiento </v>
      </c>
    </row>
    <row r="488" spans="1:12" x14ac:dyDescent="0.2">
      <c r="A488" s="6504" t="s">
        <v>784</v>
      </c>
      <c r="B488" s="3888" t="s">
        <v>777</v>
      </c>
      <c r="C488" s="6013">
        <f t="shared" si="7"/>
        <v>5</v>
      </c>
      <c r="D488" s="3889" t="s">
        <v>103</v>
      </c>
      <c r="E488" s="3890" t="s">
        <v>10</v>
      </c>
      <c r="F488" s="3891">
        <v>-42.9</v>
      </c>
      <c r="G488" s="3892" t="s">
        <v>11</v>
      </c>
      <c r="H488" s="3893">
        <v>5194.43</v>
      </c>
      <c r="I488" s="3894" t="s">
        <v>11</v>
      </c>
      <c r="J488" s="3895" t="s">
        <v>104</v>
      </c>
      <c r="K488" s="5940" t="s">
        <v>1148</v>
      </c>
      <c r="L488" s="6760" t="str">
        <f>VLOOKUP(K488,'COD.'!$A$1:$B$39,2,0)</f>
        <v xml:space="preserve">Supermercado </v>
      </c>
    </row>
    <row r="489" spans="1:12" x14ac:dyDescent="0.2">
      <c r="A489" s="6505" t="s">
        <v>789</v>
      </c>
      <c r="B489" s="3896" t="s">
        <v>777</v>
      </c>
      <c r="C489" s="6013">
        <f t="shared" si="7"/>
        <v>5</v>
      </c>
      <c r="D489" s="3897" t="s">
        <v>288</v>
      </c>
      <c r="E489" s="3898" t="s">
        <v>10</v>
      </c>
      <c r="F489" s="3899">
        <v>-11.1</v>
      </c>
      <c r="G489" s="3900" t="s">
        <v>11</v>
      </c>
      <c r="H489" s="3901">
        <v>5237.33</v>
      </c>
      <c r="I489" s="3902" t="s">
        <v>11</v>
      </c>
      <c r="J489" s="3903" t="s">
        <v>289</v>
      </c>
      <c r="K489" s="5940" t="s">
        <v>1145</v>
      </c>
      <c r="L489" s="6760" t="str">
        <f>VLOOKUP(K489,'COD.'!$A$1:$B$39,2,0)</f>
        <v xml:space="preserve">Ocio y Entretenimiento </v>
      </c>
    </row>
    <row r="490" spans="1:12" x14ac:dyDescent="0.2">
      <c r="A490" s="6506" t="s">
        <v>776</v>
      </c>
      <c r="B490" s="3904" t="s">
        <v>789</v>
      </c>
      <c r="C490" s="6013">
        <f t="shared" si="7"/>
        <v>5</v>
      </c>
      <c r="D490" s="3905" t="s">
        <v>60</v>
      </c>
      <c r="E490" s="3906" t="s">
        <v>790</v>
      </c>
      <c r="F490" s="3907">
        <v>15</v>
      </c>
      <c r="G490" s="3908" t="s">
        <v>11</v>
      </c>
      <c r="H490" s="3909">
        <v>5248.43</v>
      </c>
      <c r="I490" s="3910" t="s">
        <v>11</v>
      </c>
      <c r="J490" s="3911" t="s">
        <v>791</v>
      </c>
      <c r="K490" s="5982" t="s">
        <v>60</v>
      </c>
      <c r="L490" s="6760" t="str">
        <f>VLOOKUP(K490,'COD.'!$A$1:$B$39,2,0)</f>
        <v xml:space="preserve">Transferencias y Efectivo </v>
      </c>
    </row>
    <row r="491" spans="1:12" x14ac:dyDescent="0.2">
      <c r="A491" s="6507" t="s">
        <v>776</v>
      </c>
      <c r="B491" s="3912" t="s">
        <v>776</v>
      </c>
      <c r="C491" s="6013">
        <f t="shared" si="7"/>
        <v>5</v>
      </c>
      <c r="D491" s="3913" t="s">
        <v>147</v>
      </c>
      <c r="E491" s="3914" t="s">
        <v>792</v>
      </c>
      <c r="F491" s="3915">
        <v>-78.2</v>
      </c>
      <c r="G491" s="3916" t="s">
        <v>11</v>
      </c>
      <c r="H491" s="3917">
        <v>5233.43</v>
      </c>
      <c r="I491" s="3918" t="s">
        <v>11</v>
      </c>
      <c r="J491" s="3919" t="s">
        <v>793</v>
      </c>
      <c r="K491" s="5940" t="s">
        <v>1152</v>
      </c>
      <c r="L491" s="6760" t="str">
        <f>VLOOKUP(K491,'COD.'!$A$1:$B$39,2,0)</f>
        <v xml:space="preserve">Suministros </v>
      </c>
    </row>
    <row r="492" spans="1:12" x14ac:dyDescent="0.2">
      <c r="A492" s="6508" t="s">
        <v>794</v>
      </c>
      <c r="B492" s="3920" t="s">
        <v>794</v>
      </c>
      <c r="C492" s="6013">
        <f t="shared" si="7"/>
        <v>5</v>
      </c>
      <c r="D492" s="3921" t="s">
        <v>795</v>
      </c>
      <c r="E492" s="3922" t="s">
        <v>177</v>
      </c>
      <c r="F492" s="3923">
        <v>72</v>
      </c>
      <c r="G492" s="3924" t="s">
        <v>11</v>
      </c>
      <c r="H492" s="3925">
        <v>5311.63</v>
      </c>
      <c r="I492" s="3926" t="s">
        <v>11</v>
      </c>
      <c r="J492" s="3927" t="s">
        <v>178</v>
      </c>
      <c r="K492" s="5979" t="s">
        <v>1159</v>
      </c>
      <c r="L492" s="6760" t="str">
        <f>VLOOKUP(K492,'COD.'!$A$1:$B$39,2,0)</f>
        <v xml:space="preserve">Ocio y Entretenimiento </v>
      </c>
    </row>
    <row r="493" spans="1:12" x14ac:dyDescent="0.2">
      <c r="A493" s="6509" t="s">
        <v>796</v>
      </c>
      <c r="B493" s="3928" t="s">
        <v>794</v>
      </c>
      <c r="C493" s="6013">
        <f t="shared" si="7"/>
        <v>5</v>
      </c>
      <c r="D493" s="3929" t="s">
        <v>166</v>
      </c>
      <c r="E493" s="3930" t="s">
        <v>164</v>
      </c>
      <c r="F493" s="3931">
        <v>-10</v>
      </c>
      <c r="G493" s="3932" t="s">
        <v>11</v>
      </c>
      <c r="H493" s="3933">
        <v>5239.63</v>
      </c>
      <c r="I493" s="3934" t="s">
        <v>11</v>
      </c>
      <c r="J493" s="3935" t="s">
        <v>167</v>
      </c>
      <c r="K493" s="5977" t="s">
        <v>1166</v>
      </c>
      <c r="L493" s="6760" t="str">
        <f>VLOOKUP(K493,'COD.'!$A$1:$B$39,2,0)</f>
        <v xml:space="preserve">Ocio y Entretenimiento </v>
      </c>
    </row>
    <row r="494" spans="1:12" x14ac:dyDescent="0.2">
      <c r="A494" s="6510" t="s">
        <v>797</v>
      </c>
      <c r="B494" s="3936" t="s">
        <v>796</v>
      </c>
      <c r="C494" s="6013">
        <f t="shared" si="7"/>
        <v>5</v>
      </c>
      <c r="D494" s="3937" t="s">
        <v>798</v>
      </c>
      <c r="E494" s="3938" t="s">
        <v>10</v>
      </c>
      <c r="F494" s="3939">
        <v>-2.2000000000000002</v>
      </c>
      <c r="G494" s="3940" t="s">
        <v>11</v>
      </c>
      <c r="H494" s="3941">
        <v>5249.63</v>
      </c>
      <c r="I494" s="3942" t="s">
        <v>11</v>
      </c>
      <c r="J494" s="3943" t="s">
        <v>799</v>
      </c>
      <c r="K494" s="5940" t="s">
        <v>1145</v>
      </c>
      <c r="L494" s="6760" t="str">
        <f>VLOOKUP(K494,'COD.'!$A$1:$B$39,2,0)</f>
        <v xml:space="preserve">Ocio y Entretenimiento </v>
      </c>
    </row>
    <row r="495" spans="1:12" x14ac:dyDescent="0.2">
      <c r="A495" s="6511" t="s">
        <v>797</v>
      </c>
      <c r="B495" s="3944" t="s">
        <v>796</v>
      </c>
      <c r="C495" s="6013">
        <f t="shared" si="7"/>
        <v>5</v>
      </c>
      <c r="D495" s="3945" t="s">
        <v>163</v>
      </c>
      <c r="E495" s="3946" t="s">
        <v>164</v>
      </c>
      <c r="F495" s="3947">
        <v>-56.83</v>
      </c>
      <c r="G495" s="3948" t="s">
        <v>11</v>
      </c>
      <c r="H495" s="3949">
        <v>5251.83</v>
      </c>
      <c r="I495" s="3950" t="s">
        <v>11</v>
      </c>
      <c r="J495" s="3951" t="s">
        <v>165</v>
      </c>
      <c r="K495" s="5976" t="s">
        <v>1160</v>
      </c>
      <c r="L495" s="6760" t="str">
        <f>VLOOKUP(K495,'COD.'!$A$1:$B$39,2,0)</f>
        <v xml:space="preserve">Vivienda y Préstamos </v>
      </c>
    </row>
    <row r="496" spans="1:12" x14ac:dyDescent="0.2">
      <c r="A496" s="6512" t="s">
        <v>800</v>
      </c>
      <c r="B496" s="3952" t="s">
        <v>800</v>
      </c>
      <c r="C496" s="6013">
        <f t="shared" si="7"/>
        <v>5</v>
      </c>
      <c r="D496" s="3953" t="s">
        <v>60</v>
      </c>
      <c r="E496" s="3954" t="s">
        <v>801</v>
      </c>
      <c r="F496" s="3955">
        <v>40</v>
      </c>
      <c r="G496" s="3956" t="s">
        <v>11</v>
      </c>
      <c r="H496" s="3957">
        <v>5308.66</v>
      </c>
      <c r="I496" s="3958" t="s">
        <v>11</v>
      </c>
      <c r="J496" s="3959" t="s">
        <v>802</v>
      </c>
      <c r="K496" s="5984" t="s">
        <v>1152</v>
      </c>
      <c r="L496" s="6760" t="str">
        <f>VLOOKUP(K496,'COD.'!$A$1:$B$39,2,0)</f>
        <v xml:space="preserve">Suministros </v>
      </c>
    </row>
    <row r="497" spans="1:12" x14ac:dyDescent="0.2">
      <c r="A497" s="6513" t="s">
        <v>803</v>
      </c>
      <c r="B497" s="3960" t="s">
        <v>800</v>
      </c>
      <c r="C497" s="6013">
        <f t="shared" si="7"/>
        <v>5</v>
      </c>
      <c r="D497" s="3961" t="s">
        <v>804</v>
      </c>
      <c r="E497" s="3962" t="s">
        <v>10</v>
      </c>
      <c r="F497" s="3963">
        <v>-4</v>
      </c>
      <c r="G497" s="3964" t="s">
        <v>11</v>
      </c>
      <c r="H497" s="3965">
        <v>5268.66</v>
      </c>
      <c r="I497" s="3966" t="s">
        <v>11</v>
      </c>
      <c r="J497" s="3967" t="s">
        <v>805</v>
      </c>
      <c r="K497" s="5940" t="s">
        <v>1169</v>
      </c>
      <c r="L497" s="6760" t="str">
        <f>VLOOKUP(K497,'COD.'!$A$1:$B$39,2,0)</f>
        <v xml:space="preserve">Ocio y Entretenimiento </v>
      </c>
    </row>
    <row r="498" spans="1:12" x14ac:dyDescent="0.2">
      <c r="A498" s="6514" t="s">
        <v>806</v>
      </c>
      <c r="B498" s="3968" t="s">
        <v>800</v>
      </c>
      <c r="C498" s="6013">
        <f t="shared" si="7"/>
        <v>5</v>
      </c>
      <c r="D498" s="3969" t="s">
        <v>807</v>
      </c>
      <c r="E498" s="3970" t="s">
        <v>10</v>
      </c>
      <c r="F498" s="3971">
        <v>-2.5</v>
      </c>
      <c r="G498" s="3972" t="s">
        <v>11</v>
      </c>
      <c r="H498" s="3973">
        <v>5272.66</v>
      </c>
      <c r="I498" s="3974" t="s">
        <v>11</v>
      </c>
      <c r="J498" s="3975" t="s">
        <v>808</v>
      </c>
      <c r="K498" s="5940" t="s">
        <v>1145</v>
      </c>
      <c r="L498" s="6760" t="str">
        <f>VLOOKUP(K498,'COD.'!$A$1:$B$39,2,0)</f>
        <v xml:space="preserve">Ocio y Entretenimiento </v>
      </c>
    </row>
    <row r="499" spans="1:12" x14ac:dyDescent="0.2">
      <c r="A499" s="6515" t="s">
        <v>809</v>
      </c>
      <c r="B499" s="3976" t="s">
        <v>800</v>
      </c>
      <c r="C499" s="6013">
        <f t="shared" si="7"/>
        <v>5</v>
      </c>
      <c r="D499" s="3977" t="s">
        <v>810</v>
      </c>
      <c r="E499" s="3978" t="s">
        <v>10</v>
      </c>
      <c r="F499" s="3979">
        <v>-40</v>
      </c>
      <c r="G499" s="3980" t="s">
        <v>11</v>
      </c>
      <c r="H499" s="3981">
        <v>5275.16</v>
      </c>
      <c r="I499" s="3982" t="s">
        <v>11</v>
      </c>
      <c r="J499" s="3983" t="s">
        <v>811</v>
      </c>
      <c r="K499" s="5940" t="s">
        <v>1149</v>
      </c>
      <c r="L499" s="6760" t="str">
        <f>VLOOKUP(K499,'COD.'!$A$1:$B$39,2,0)</f>
        <v xml:space="preserve">Ocio y Entretenimiento </v>
      </c>
    </row>
    <row r="500" spans="1:12" x14ac:dyDescent="0.2">
      <c r="A500" s="6516" t="s">
        <v>809</v>
      </c>
      <c r="B500" s="3984" t="s">
        <v>800</v>
      </c>
      <c r="C500" s="6013">
        <f t="shared" si="7"/>
        <v>5</v>
      </c>
      <c r="D500" s="3985" t="s">
        <v>812</v>
      </c>
      <c r="E500" s="3986" t="s">
        <v>10</v>
      </c>
      <c r="F500" s="3987">
        <v>-300</v>
      </c>
      <c r="G500" s="3988" t="s">
        <v>11</v>
      </c>
      <c r="H500" s="3989">
        <v>5315.16</v>
      </c>
      <c r="I500" s="3990" t="s">
        <v>11</v>
      </c>
      <c r="J500" s="3991" t="s">
        <v>813</v>
      </c>
      <c r="K500" s="5940" t="s">
        <v>1169</v>
      </c>
      <c r="L500" s="6760" t="str">
        <f>VLOOKUP(K500,'COD.'!$A$1:$B$39,2,0)</f>
        <v xml:space="preserve">Ocio y Entretenimiento </v>
      </c>
    </row>
    <row r="501" spans="1:12" x14ac:dyDescent="0.2">
      <c r="A501" s="6517" t="s">
        <v>800</v>
      </c>
      <c r="B501" s="3992" t="s">
        <v>800</v>
      </c>
      <c r="C501" s="6013">
        <f t="shared" si="7"/>
        <v>5</v>
      </c>
      <c r="D501" s="3993" t="s">
        <v>179</v>
      </c>
      <c r="E501" s="3994" t="s">
        <v>180</v>
      </c>
      <c r="F501" s="3995">
        <v>-83.97</v>
      </c>
      <c r="G501" s="3996" t="s">
        <v>11</v>
      </c>
      <c r="H501" s="3997">
        <v>5615.16</v>
      </c>
      <c r="I501" s="3998" t="s">
        <v>11</v>
      </c>
      <c r="J501" s="3999" t="s">
        <v>181</v>
      </c>
      <c r="K501" s="5980" t="s">
        <v>179</v>
      </c>
      <c r="L501" s="6760" t="str">
        <f>VLOOKUP(K501,'COD.'!$A$1:$B$39,2,0)</f>
        <v xml:space="preserve">Vivienda y Préstamos </v>
      </c>
    </row>
    <row r="502" spans="1:12" x14ac:dyDescent="0.2">
      <c r="A502" s="6518" t="s">
        <v>814</v>
      </c>
      <c r="B502" s="4000" t="s">
        <v>809</v>
      </c>
      <c r="C502" s="6013">
        <f t="shared" si="7"/>
        <v>4</v>
      </c>
      <c r="D502" s="4001" t="s">
        <v>815</v>
      </c>
      <c r="E502" s="4002" t="s">
        <v>10</v>
      </c>
      <c r="F502" s="4003">
        <v>-4</v>
      </c>
      <c r="G502" s="4004" t="s">
        <v>11</v>
      </c>
      <c r="H502" s="4005">
        <v>5699.13</v>
      </c>
      <c r="I502" s="4006" t="s">
        <v>11</v>
      </c>
      <c r="J502" s="4007" t="s">
        <v>816</v>
      </c>
      <c r="K502" s="5940" t="s">
        <v>1145</v>
      </c>
      <c r="L502" s="6760" t="str">
        <f>VLOOKUP(K502,'COD.'!$A$1:$B$39,2,0)</f>
        <v xml:space="preserve">Ocio y Entretenimiento </v>
      </c>
    </row>
    <row r="503" spans="1:12" x14ac:dyDescent="0.2">
      <c r="A503" s="6519" t="s">
        <v>814</v>
      </c>
      <c r="B503" s="4008" t="s">
        <v>809</v>
      </c>
      <c r="C503" s="6013">
        <f t="shared" si="7"/>
        <v>4</v>
      </c>
      <c r="D503" s="4009" t="s">
        <v>815</v>
      </c>
      <c r="E503" s="4010" t="s">
        <v>10</v>
      </c>
      <c r="F503" s="4011">
        <v>-6</v>
      </c>
      <c r="G503" s="4012" t="s">
        <v>11</v>
      </c>
      <c r="H503" s="4013">
        <v>5703.13</v>
      </c>
      <c r="I503" s="4014" t="s">
        <v>11</v>
      </c>
      <c r="J503" s="4015" t="s">
        <v>816</v>
      </c>
      <c r="K503" s="5940" t="s">
        <v>1145</v>
      </c>
      <c r="L503" s="6760" t="str">
        <f>VLOOKUP(K503,'COD.'!$A$1:$B$39,2,0)</f>
        <v xml:space="preserve">Ocio y Entretenimiento </v>
      </c>
    </row>
    <row r="504" spans="1:12" x14ac:dyDescent="0.2">
      <c r="A504" s="6520" t="s">
        <v>814</v>
      </c>
      <c r="B504" s="4016" t="s">
        <v>809</v>
      </c>
      <c r="C504" s="6013">
        <f t="shared" si="7"/>
        <v>4</v>
      </c>
      <c r="D504" s="4017" t="s">
        <v>14</v>
      </c>
      <c r="E504" s="4018" t="s">
        <v>10</v>
      </c>
      <c r="F504" s="4019">
        <v>-9.99</v>
      </c>
      <c r="G504" s="4020" t="s">
        <v>11</v>
      </c>
      <c r="H504" s="4021">
        <v>5709.13</v>
      </c>
      <c r="I504" s="4022" t="s">
        <v>11</v>
      </c>
      <c r="J504" s="4023" t="s">
        <v>15</v>
      </c>
      <c r="K504" s="6010" t="s">
        <v>1178</v>
      </c>
      <c r="L504" s="6760" t="str">
        <f>VLOOKUP(K504,'COD.'!$A$1:$B$39,2,0)</f>
        <v xml:space="preserve">Ocio y Entretenimiento </v>
      </c>
    </row>
    <row r="505" spans="1:12" x14ac:dyDescent="0.2">
      <c r="A505" s="6521" t="s">
        <v>809</v>
      </c>
      <c r="B505" s="4024" t="s">
        <v>809</v>
      </c>
      <c r="C505" s="6013">
        <f t="shared" si="7"/>
        <v>5</v>
      </c>
      <c r="D505" s="4025" t="s">
        <v>191</v>
      </c>
      <c r="E505" s="4026" t="s">
        <v>192</v>
      </c>
      <c r="F505" s="4027">
        <v>-30</v>
      </c>
      <c r="G505" s="4028" t="s">
        <v>11</v>
      </c>
      <c r="H505" s="4029">
        <v>5719.12</v>
      </c>
      <c r="I505" s="4030" t="s">
        <v>11</v>
      </c>
      <c r="J505" s="4031" t="s">
        <v>193</v>
      </c>
      <c r="K505" s="5940" t="s">
        <v>1168</v>
      </c>
      <c r="L505" s="6760" t="str">
        <f>VLOOKUP(K505,'COD.'!$A$1:$B$39,2,0)</f>
        <v>Moto</v>
      </c>
    </row>
    <row r="506" spans="1:12" x14ac:dyDescent="0.2">
      <c r="A506" s="6522" t="s">
        <v>809</v>
      </c>
      <c r="B506" s="4032" t="s">
        <v>809</v>
      </c>
      <c r="C506" s="6013">
        <f t="shared" si="7"/>
        <v>5</v>
      </c>
      <c r="D506" s="4033" t="s">
        <v>194</v>
      </c>
      <c r="E506" s="4034" t="s">
        <v>817</v>
      </c>
      <c r="F506" s="4035">
        <v>-50</v>
      </c>
      <c r="G506" s="4036" t="s">
        <v>11</v>
      </c>
      <c r="H506" s="4037">
        <v>5749.12</v>
      </c>
      <c r="I506" s="4038" t="s">
        <v>11</v>
      </c>
      <c r="J506" s="4039" t="s">
        <v>818</v>
      </c>
      <c r="K506" s="5940" t="s">
        <v>1154</v>
      </c>
      <c r="L506" s="6760" t="str">
        <f>VLOOKUP(K506,'COD.'!$A$1:$B$39,2,0)</f>
        <v xml:space="preserve">Vivienda y Préstamos </v>
      </c>
    </row>
    <row r="507" spans="1:12" x14ac:dyDescent="0.2">
      <c r="A507" s="6523" t="s">
        <v>809</v>
      </c>
      <c r="B507" s="4040" t="s">
        <v>809</v>
      </c>
      <c r="C507" s="6013">
        <f t="shared" si="7"/>
        <v>5</v>
      </c>
      <c r="D507" s="4041" t="s">
        <v>197</v>
      </c>
      <c r="E507" s="4042" t="s">
        <v>819</v>
      </c>
      <c r="F507" s="4043">
        <v>-65</v>
      </c>
      <c r="G507" s="4044" t="s">
        <v>11</v>
      </c>
      <c r="H507" s="4045">
        <v>5799.12</v>
      </c>
      <c r="I507" s="4046" t="s">
        <v>11</v>
      </c>
      <c r="J507" s="4047" t="s">
        <v>820</v>
      </c>
      <c r="K507" s="5940" t="s">
        <v>1155</v>
      </c>
      <c r="L507" s="6760" t="str">
        <f>VLOOKUP(K507,'COD.'!$A$1:$B$39,2,0)</f>
        <v xml:space="preserve">Ocio y Entretenimiento </v>
      </c>
    </row>
    <row r="508" spans="1:12" x14ac:dyDescent="0.2">
      <c r="A508" s="6524" t="s">
        <v>806</v>
      </c>
      <c r="B508" s="4048" t="s">
        <v>809</v>
      </c>
      <c r="C508" s="6013">
        <f t="shared" si="7"/>
        <v>5</v>
      </c>
      <c r="D508" s="4049" t="s">
        <v>183</v>
      </c>
      <c r="E508" s="4050" t="s">
        <v>10</v>
      </c>
      <c r="F508" s="4051">
        <v>-9</v>
      </c>
      <c r="G508" s="4052" t="s">
        <v>11</v>
      </c>
      <c r="H508" s="4053">
        <v>5864.12</v>
      </c>
      <c r="I508" s="4054" t="s">
        <v>11</v>
      </c>
      <c r="J508" s="4055" t="s">
        <v>184</v>
      </c>
      <c r="K508" s="5940" t="s">
        <v>1165</v>
      </c>
      <c r="L508" s="6760" t="str">
        <f>VLOOKUP(K508,'COD.'!$A$1:$B$39,2,0)</f>
        <v xml:space="preserve">Otros Gastos Generales </v>
      </c>
    </row>
    <row r="509" spans="1:12" x14ac:dyDescent="0.2">
      <c r="A509" s="6525" t="s">
        <v>821</v>
      </c>
      <c r="B509" s="4056" t="s">
        <v>814</v>
      </c>
      <c r="C509" s="6013">
        <f t="shared" si="7"/>
        <v>4</v>
      </c>
      <c r="D509" s="4057" t="s">
        <v>804</v>
      </c>
      <c r="E509" s="4058" t="s">
        <v>10</v>
      </c>
      <c r="F509" s="4059">
        <v>-26</v>
      </c>
      <c r="G509" s="4060" t="s">
        <v>11</v>
      </c>
      <c r="H509" s="4061">
        <v>5873.12</v>
      </c>
      <c r="I509" s="4062" t="s">
        <v>11</v>
      </c>
      <c r="J509" s="4063" t="s">
        <v>805</v>
      </c>
      <c r="K509" s="5940" t="s">
        <v>1169</v>
      </c>
      <c r="L509" s="6760" t="str">
        <f>VLOOKUP(K509,'COD.'!$A$1:$B$39,2,0)</f>
        <v xml:space="preserve">Ocio y Entretenimiento </v>
      </c>
    </row>
    <row r="510" spans="1:12" x14ac:dyDescent="0.2">
      <c r="A510" s="6526" t="s">
        <v>814</v>
      </c>
      <c r="B510" s="4064" t="s">
        <v>814</v>
      </c>
      <c r="C510" s="6013">
        <f t="shared" si="7"/>
        <v>4</v>
      </c>
      <c r="D510" s="4065" t="s">
        <v>26</v>
      </c>
      <c r="E510" s="4066" t="s">
        <v>822</v>
      </c>
      <c r="F510" s="4067">
        <v>-43.58</v>
      </c>
      <c r="G510" s="4068" t="s">
        <v>11</v>
      </c>
      <c r="H510" s="4069">
        <v>5899.12</v>
      </c>
      <c r="I510" s="4070" t="s">
        <v>11</v>
      </c>
      <c r="J510" s="4071" t="s">
        <v>823</v>
      </c>
      <c r="K510" s="5940" t="s">
        <v>1189</v>
      </c>
      <c r="L510" s="6760" t="str">
        <f>VLOOKUP(K510,'COD.'!$A$1:$B$39,2,0)</f>
        <v xml:space="preserve">Suministros </v>
      </c>
    </row>
    <row r="511" spans="1:12" x14ac:dyDescent="0.2">
      <c r="A511" s="6527" t="s">
        <v>814</v>
      </c>
      <c r="B511" s="4072" t="s">
        <v>814</v>
      </c>
      <c r="C511" s="6013">
        <f t="shared" si="7"/>
        <v>4</v>
      </c>
      <c r="D511" s="4073" t="s">
        <v>19</v>
      </c>
      <c r="E511" s="4074" t="s">
        <v>20</v>
      </c>
      <c r="F511" s="4075">
        <v>-431.25</v>
      </c>
      <c r="G511" s="4076" t="s">
        <v>11</v>
      </c>
      <c r="H511" s="4077">
        <v>5942.7</v>
      </c>
      <c r="I511" s="4078" t="s">
        <v>11</v>
      </c>
      <c r="J511" s="4079" t="s">
        <v>21</v>
      </c>
      <c r="K511" s="5942" t="s">
        <v>1170</v>
      </c>
      <c r="L511" s="6760" t="str">
        <f>VLOOKUP(K511,'COD.'!$A$1:$B$39,2,0)</f>
        <v xml:space="preserve">Vivienda y Préstamos </v>
      </c>
    </row>
    <row r="512" spans="1:12" x14ac:dyDescent="0.2">
      <c r="A512" s="6528" t="s">
        <v>824</v>
      </c>
      <c r="B512" s="4080" t="s">
        <v>824</v>
      </c>
      <c r="C512" s="6013">
        <f t="shared" si="7"/>
        <v>4</v>
      </c>
      <c r="D512" s="4081" t="s">
        <v>825</v>
      </c>
      <c r="E512" s="4082" t="s">
        <v>10</v>
      </c>
      <c r="F512" s="4083">
        <v>-52.55</v>
      </c>
      <c r="G512" s="4084" t="s">
        <v>11</v>
      </c>
      <c r="H512" s="4085">
        <v>6373.95</v>
      </c>
      <c r="I512" s="4086" t="s">
        <v>11</v>
      </c>
      <c r="J512" s="4087" t="s">
        <v>826</v>
      </c>
      <c r="K512" s="5940" t="s">
        <v>1145</v>
      </c>
      <c r="L512" s="6760" t="str">
        <f>VLOOKUP(K512,'COD.'!$A$1:$B$39,2,0)</f>
        <v xml:space="preserve">Ocio y Entretenimiento </v>
      </c>
    </row>
    <row r="513" spans="1:12" x14ac:dyDescent="0.2">
      <c r="A513" s="6529" t="s">
        <v>824</v>
      </c>
      <c r="B513" s="4088" t="s">
        <v>824</v>
      </c>
      <c r="C513" s="6013">
        <f t="shared" si="7"/>
        <v>4</v>
      </c>
      <c r="D513" s="4089" t="s">
        <v>16</v>
      </c>
      <c r="E513" s="4090" t="s">
        <v>827</v>
      </c>
      <c r="F513" s="4091">
        <v>-73.959999999999994</v>
      </c>
      <c r="G513" s="4092" t="s">
        <v>11</v>
      </c>
      <c r="H513" s="4093">
        <v>6426.5</v>
      </c>
      <c r="I513" s="4094" t="s">
        <v>11</v>
      </c>
      <c r="J513" s="4095" t="s">
        <v>828</v>
      </c>
      <c r="K513" s="5941" t="s">
        <v>1188</v>
      </c>
      <c r="L513" s="6760" t="str">
        <f>VLOOKUP(K513,'COD.'!$A$1:$B$39,2,0)</f>
        <v xml:space="preserve">Suministros </v>
      </c>
    </row>
    <row r="514" spans="1:12" x14ac:dyDescent="0.2">
      <c r="A514" s="6530" t="s">
        <v>824</v>
      </c>
      <c r="B514" s="4096" t="s">
        <v>824</v>
      </c>
      <c r="C514" s="6013">
        <f t="shared" si="7"/>
        <v>4</v>
      </c>
      <c r="D514" s="4097" t="s">
        <v>29</v>
      </c>
      <c r="E514" s="4098" t="s">
        <v>30</v>
      </c>
      <c r="F514" s="4099">
        <v>1867.53</v>
      </c>
      <c r="G514" s="4100" t="s">
        <v>11</v>
      </c>
      <c r="H514" s="4101">
        <v>6500.46</v>
      </c>
      <c r="I514" s="4102" t="s">
        <v>11</v>
      </c>
      <c r="J514" s="4103" t="s">
        <v>30</v>
      </c>
      <c r="K514" s="6001" t="s">
        <v>1144</v>
      </c>
      <c r="L514" s="6760" t="str">
        <f>VLOOKUP(K514,'COD.'!$A$1:$B$39,2,0)</f>
        <v xml:space="preserve">Transferencias y Efectivo </v>
      </c>
    </row>
    <row r="515" spans="1:12" x14ac:dyDescent="0.2">
      <c r="A515" s="6531" t="s">
        <v>821</v>
      </c>
      <c r="B515" s="4104" t="s">
        <v>821</v>
      </c>
      <c r="C515" s="6013">
        <f t="shared" ref="C515:C578" si="8">MONTH(A515)</f>
        <v>4</v>
      </c>
      <c r="D515" s="4105" t="s">
        <v>103</v>
      </c>
      <c r="E515" s="4106" t="s">
        <v>10</v>
      </c>
      <c r="F515" s="4107">
        <v>-30.98</v>
      </c>
      <c r="G515" s="4108" t="s">
        <v>11</v>
      </c>
      <c r="H515" s="4109">
        <v>4632.93</v>
      </c>
      <c r="I515" s="4110" t="s">
        <v>11</v>
      </c>
      <c r="J515" s="4111" t="s">
        <v>104</v>
      </c>
      <c r="K515" s="5940" t="s">
        <v>1148</v>
      </c>
      <c r="L515" s="6760" t="str">
        <f>VLOOKUP(K515,'COD.'!$A$1:$B$39,2,0)</f>
        <v xml:space="preserve">Supermercado </v>
      </c>
    </row>
    <row r="516" spans="1:12" x14ac:dyDescent="0.2">
      <c r="A516" s="6532" t="s">
        <v>829</v>
      </c>
      <c r="B516" s="4112" t="s">
        <v>821</v>
      </c>
      <c r="C516" s="6013">
        <f t="shared" si="8"/>
        <v>4</v>
      </c>
      <c r="D516" s="4113" t="s">
        <v>320</v>
      </c>
      <c r="E516" s="4114" t="s">
        <v>164</v>
      </c>
      <c r="F516" s="4115">
        <v>-60</v>
      </c>
      <c r="G516" s="4116" t="s">
        <v>11</v>
      </c>
      <c r="H516" s="4117">
        <v>4663.91</v>
      </c>
      <c r="I516" s="4118" t="s">
        <v>11</v>
      </c>
      <c r="J516" s="4119" t="s">
        <v>336</v>
      </c>
      <c r="K516" s="5998" t="s">
        <v>1159</v>
      </c>
      <c r="L516" s="6760" t="str">
        <f>VLOOKUP(K516,'COD.'!$A$1:$B$39,2,0)</f>
        <v xml:space="preserve">Ocio y Entretenimiento </v>
      </c>
    </row>
    <row r="517" spans="1:12" x14ac:dyDescent="0.2">
      <c r="A517" s="6533" t="s">
        <v>829</v>
      </c>
      <c r="B517" s="4120" t="s">
        <v>821</v>
      </c>
      <c r="C517" s="6013">
        <f t="shared" si="8"/>
        <v>4</v>
      </c>
      <c r="D517" s="4121" t="s">
        <v>49</v>
      </c>
      <c r="E517" s="4122" t="s">
        <v>10</v>
      </c>
      <c r="F517" s="4123">
        <v>-4.5</v>
      </c>
      <c r="G517" s="4124" t="s">
        <v>11</v>
      </c>
      <c r="H517" s="4125">
        <v>4723.91</v>
      </c>
      <c r="I517" s="4126" t="s">
        <v>11</v>
      </c>
      <c r="J517" s="4127" t="s">
        <v>50</v>
      </c>
      <c r="K517" s="5940" t="s">
        <v>1145</v>
      </c>
      <c r="L517" s="6760" t="str">
        <f>VLOOKUP(K517,'COD.'!$A$1:$B$39,2,0)</f>
        <v xml:space="preserve">Ocio y Entretenimiento </v>
      </c>
    </row>
    <row r="518" spans="1:12" x14ac:dyDescent="0.2">
      <c r="A518" s="6534" t="s">
        <v>829</v>
      </c>
      <c r="B518" s="4128" t="s">
        <v>821</v>
      </c>
      <c r="C518" s="6013">
        <f t="shared" si="8"/>
        <v>4</v>
      </c>
      <c r="D518" s="4129" t="s">
        <v>60</v>
      </c>
      <c r="E518" s="4130" t="s">
        <v>830</v>
      </c>
      <c r="F518" s="4131">
        <v>-16.46</v>
      </c>
      <c r="G518" s="4132" t="s">
        <v>11</v>
      </c>
      <c r="H518" s="4133">
        <v>4728.41</v>
      </c>
      <c r="I518" s="4134" t="s">
        <v>11</v>
      </c>
      <c r="J518" s="4135" t="s">
        <v>831</v>
      </c>
      <c r="K518" s="5982" t="s">
        <v>60</v>
      </c>
      <c r="L518" s="6760" t="str">
        <f>VLOOKUP(K518,'COD.'!$A$1:$B$39,2,0)</f>
        <v xml:space="preserve">Transferencias y Efectivo </v>
      </c>
    </row>
    <row r="519" spans="1:12" x14ac:dyDescent="0.2">
      <c r="A519" s="6535" t="s">
        <v>829</v>
      </c>
      <c r="B519" s="4136" t="s">
        <v>821</v>
      </c>
      <c r="C519" s="6013">
        <f t="shared" si="8"/>
        <v>4</v>
      </c>
      <c r="D519" s="4137" t="s">
        <v>410</v>
      </c>
      <c r="E519" s="4138" t="s">
        <v>10</v>
      </c>
      <c r="F519" s="4139">
        <v>-12.55</v>
      </c>
      <c r="G519" s="4140" t="s">
        <v>11</v>
      </c>
      <c r="H519" s="4141">
        <v>4744.87</v>
      </c>
      <c r="I519" s="4142" t="s">
        <v>11</v>
      </c>
      <c r="J519" s="4143" t="s">
        <v>411</v>
      </c>
      <c r="K519" s="5940" t="s">
        <v>1163</v>
      </c>
      <c r="L519" s="6760" t="str">
        <f>VLOOKUP(K519,'COD.'!$A$1:$B$39,2,0)</f>
        <v xml:space="preserve">Otros Gastos Generales </v>
      </c>
    </row>
    <row r="520" spans="1:12" x14ac:dyDescent="0.2">
      <c r="A520" s="6536" t="s">
        <v>832</v>
      </c>
      <c r="B520" s="4144" t="s">
        <v>821</v>
      </c>
      <c r="C520" s="6013">
        <f t="shared" si="8"/>
        <v>4</v>
      </c>
      <c r="D520" s="4145" t="s">
        <v>833</v>
      </c>
      <c r="E520" s="4146" t="s">
        <v>10</v>
      </c>
      <c r="F520" s="4147">
        <v>-16</v>
      </c>
      <c r="G520" s="4148" t="s">
        <v>11</v>
      </c>
      <c r="H520" s="4149">
        <v>4757.42</v>
      </c>
      <c r="I520" s="4150" t="s">
        <v>11</v>
      </c>
      <c r="J520" s="4151" t="s">
        <v>834</v>
      </c>
      <c r="K520" s="6002" t="s">
        <v>1149</v>
      </c>
      <c r="L520" s="6760" t="str">
        <f>VLOOKUP(K520,'COD.'!$A$1:$B$39,2,0)</f>
        <v xml:space="preserve">Ocio y Entretenimiento </v>
      </c>
    </row>
    <row r="521" spans="1:12" x14ac:dyDescent="0.2">
      <c r="A521" s="6537" t="s">
        <v>832</v>
      </c>
      <c r="B521" s="4152" t="s">
        <v>821</v>
      </c>
      <c r="C521" s="6013">
        <f t="shared" si="8"/>
        <v>4</v>
      </c>
      <c r="D521" s="4153" t="s">
        <v>835</v>
      </c>
      <c r="E521" s="4154" t="s">
        <v>10</v>
      </c>
      <c r="F521" s="4155">
        <v>-50.5</v>
      </c>
      <c r="G521" s="4156" t="s">
        <v>11</v>
      </c>
      <c r="H521" s="4157">
        <v>4773.42</v>
      </c>
      <c r="I521" s="4158" t="s">
        <v>11</v>
      </c>
      <c r="J521" s="4159" t="s">
        <v>836</v>
      </c>
      <c r="K521" s="5940" t="s">
        <v>1145</v>
      </c>
      <c r="L521" s="6760" t="str">
        <f>VLOOKUP(K521,'COD.'!$A$1:$B$39,2,0)</f>
        <v xml:space="preserve">Ocio y Entretenimiento </v>
      </c>
    </row>
    <row r="522" spans="1:12" x14ac:dyDescent="0.2">
      <c r="A522" s="6538" t="s">
        <v>832</v>
      </c>
      <c r="B522" s="4160" t="s">
        <v>821</v>
      </c>
      <c r="C522" s="6013">
        <f t="shared" si="8"/>
        <v>4</v>
      </c>
      <c r="D522" s="4161" t="s">
        <v>108</v>
      </c>
      <c r="E522" s="4162" t="s">
        <v>10</v>
      </c>
      <c r="F522" s="4163">
        <v>-0.8</v>
      </c>
      <c r="G522" s="4164" t="s">
        <v>11</v>
      </c>
      <c r="H522" s="4165">
        <v>4823.92</v>
      </c>
      <c r="I522" s="4166" t="s">
        <v>11</v>
      </c>
      <c r="J522" s="4167" t="s">
        <v>109</v>
      </c>
      <c r="K522" s="5940" t="s">
        <v>1145</v>
      </c>
      <c r="L522" s="6760" t="str">
        <f>VLOOKUP(K522,'COD.'!$A$1:$B$39,2,0)</f>
        <v xml:space="preserve">Ocio y Entretenimiento </v>
      </c>
    </row>
    <row r="523" spans="1:12" x14ac:dyDescent="0.2">
      <c r="A523" s="6539" t="s">
        <v>832</v>
      </c>
      <c r="B523" s="4168" t="s">
        <v>821</v>
      </c>
      <c r="C523" s="6013">
        <f t="shared" si="8"/>
        <v>4</v>
      </c>
      <c r="D523" s="4169" t="s">
        <v>728</v>
      </c>
      <c r="E523" s="4170" t="s">
        <v>10</v>
      </c>
      <c r="F523" s="4171">
        <v>-90</v>
      </c>
      <c r="G523" s="4172" t="s">
        <v>11</v>
      </c>
      <c r="H523" s="4173">
        <v>4824.72</v>
      </c>
      <c r="I523" s="4174" t="s">
        <v>11</v>
      </c>
      <c r="J523" s="4175" t="s">
        <v>729</v>
      </c>
      <c r="K523" s="5940" t="s">
        <v>1172</v>
      </c>
      <c r="L523" s="6760" t="str">
        <f>VLOOKUP(K523,'COD.'!$A$1:$B$39,2,0)</f>
        <v xml:space="preserve">Ocio y Entretenimiento </v>
      </c>
    </row>
    <row r="524" spans="1:12" x14ac:dyDescent="0.2">
      <c r="A524" s="6540" t="s">
        <v>837</v>
      </c>
      <c r="B524" s="4176" t="s">
        <v>821</v>
      </c>
      <c r="C524" s="6013">
        <f t="shared" si="8"/>
        <v>4</v>
      </c>
      <c r="D524" s="4177" t="s">
        <v>98</v>
      </c>
      <c r="E524" s="4178" t="s">
        <v>10</v>
      </c>
      <c r="F524" s="4179">
        <v>-9.5</v>
      </c>
      <c r="G524" s="4180" t="s">
        <v>11</v>
      </c>
      <c r="H524" s="4181">
        <v>4914.72</v>
      </c>
      <c r="I524" s="4182" t="s">
        <v>11</v>
      </c>
      <c r="J524" s="4183" t="s">
        <v>582</v>
      </c>
      <c r="K524" s="5940" t="s">
        <v>1145</v>
      </c>
      <c r="L524" s="6760" t="str">
        <f>VLOOKUP(K524,'COD.'!$A$1:$B$39,2,0)</f>
        <v xml:space="preserve">Ocio y Entretenimiento </v>
      </c>
    </row>
    <row r="525" spans="1:12" x14ac:dyDescent="0.2">
      <c r="A525" s="6541" t="s">
        <v>837</v>
      </c>
      <c r="B525" s="4184" t="s">
        <v>837</v>
      </c>
      <c r="C525" s="6013">
        <f t="shared" si="8"/>
        <v>4</v>
      </c>
      <c r="D525" s="4185" t="s">
        <v>67</v>
      </c>
      <c r="E525" s="4186" t="s">
        <v>10</v>
      </c>
      <c r="F525" s="4187">
        <v>-43.5</v>
      </c>
      <c r="G525" s="4188" t="s">
        <v>11</v>
      </c>
      <c r="H525" s="4189">
        <v>4924.22</v>
      </c>
      <c r="I525" s="4190" t="s">
        <v>11</v>
      </c>
      <c r="J525" s="4191" t="s">
        <v>68</v>
      </c>
      <c r="K525" s="5940" t="s">
        <v>1146</v>
      </c>
      <c r="L525" s="6760" t="str">
        <f>VLOOKUP(K525,'COD.'!$A$1:$B$39,2,0)</f>
        <v xml:space="preserve">Supermercado </v>
      </c>
    </row>
    <row r="526" spans="1:12" x14ac:dyDescent="0.2">
      <c r="A526" s="6542" t="s">
        <v>838</v>
      </c>
      <c r="B526" s="4192" t="s">
        <v>837</v>
      </c>
      <c r="C526" s="6013">
        <f t="shared" si="8"/>
        <v>4</v>
      </c>
      <c r="D526" s="4193" t="s">
        <v>839</v>
      </c>
      <c r="E526" s="4194" t="s">
        <v>10</v>
      </c>
      <c r="F526" s="4195">
        <v>-10.99</v>
      </c>
      <c r="G526" s="4196" t="s">
        <v>11</v>
      </c>
      <c r="H526" s="4197">
        <v>4967.72</v>
      </c>
      <c r="I526" s="4198" t="s">
        <v>11</v>
      </c>
      <c r="J526" s="4199" t="s">
        <v>840</v>
      </c>
      <c r="K526" s="5940" t="s">
        <v>1173</v>
      </c>
      <c r="L526" s="6760" t="str">
        <f>VLOOKUP(K526,'COD.'!$A$1:$B$39,2,0)</f>
        <v xml:space="preserve">Ocio y Entretenimiento </v>
      </c>
    </row>
    <row r="527" spans="1:12" x14ac:dyDescent="0.2">
      <c r="A527" s="6543" t="s">
        <v>837</v>
      </c>
      <c r="B527" s="4200" t="s">
        <v>837</v>
      </c>
      <c r="C527" s="6013">
        <f t="shared" si="8"/>
        <v>4</v>
      </c>
      <c r="D527" s="4201" t="s">
        <v>42</v>
      </c>
      <c r="E527" s="4202" t="s">
        <v>10</v>
      </c>
      <c r="F527" s="4203">
        <v>-28.69</v>
      </c>
      <c r="G527" s="4204" t="s">
        <v>11</v>
      </c>
      <c r="H527" s="4205">
        <v>4978.71</v>
      </c>
      <c r="I527" s="4206" t="s">
        <v>11</v>
      </c>
      <c r="J527" s="4207" t="s">
        <v>43</v>
      </c>
      <c r="K527" s="5940" t="s">
        <v>1146</v>
      </c>
      <c r="L527" s="6760" t="str">
        <f>VLOOKUP(K527,'COD.'!$A$1:$B$39,2,0)</f>
        <v xml:space="preserve">Supermercado </v>
      </c>
    </row>
    <row r="528" spans="1:12" x14ac:dyDescent="0.2">
      <c r="A528" s="6544" t="s">
        <v>837</v>
      </c>
      <c r="B528" s="4208" t="s">
        <v>837</v>
      </c>
      <c r="C528" s="6013">
        <f t="shared" si="8"/>
        <v>4</v>
      </c>
      <c r="D528" s="4209" t="s">
        <v>841</v>
      </c>
      <c r="E528" s="4210" t="s">
        <v>10</v>
      </c>
      <c r="F528" s="4211">
        <v>-42</v>
      </c>
      <c r="G528" s="4212" t="s">
        <v>11</v>
      </c>
      <c r="H528" s="4213">
        <v>5007.3999999999996</v>
      </c>
      <c r="I528" s="4214" t="s">
        <v>11</v>
      </c>
      <c r="J528" s="4215" t="s">
        <v>842</v>
      </c>
      <c r="K528" s="5940" t="s">
        <v>1162</v>
      </c>
      <c r="L528" s="6760" t="str">
        <f>VLOOKUP(K528,'COD.'!$A$1:$B$39,2,0)</f>
        <v xml:space="preserve">Ocio y Entretenimiento </v>
      </c>
    </row>
    <row r="529" spans="1:12" x14ac:dyDescent="0.2">
      <c r="A529" s="6545" t="s">
        <v>843</v>
      </c>
      <c r="B529" s="4216" t="s">
        <v>843</v>
      </c>
      <c r="C529" s="6013">
        <f t="shared" si="8"/>
        <v>4</v>
      </c>
      <c r="D529" s="4217" t="s">
        <v>844</v>
      </c>
      <c r="E529" s="4218" t="s">
        <v>10</v>
      </c>
      <c r="F529" s="4219">
        <v>-6.5</v>
      </c>
      <c r="G529" s="4220" t="s">
        <v>11</v>
      </c>
      <c r="H529" s="4221">
        <v>5049.3999999999996</v>
      </c>
      <c r="I529" s="4222" t="s">
        <v>11</v>
      </c>
      <c r="J529" s="4223" t="s">
        <v>845</v>
      </c>
      <c r="K529" s="6003" t="s">
        <v>1145</v>
      </c>
      <c r="L529" s="6760" t="str">
        <f>VLOOKUP(K529,'COD.'!$A$1:$B$39,2,0)</f>
        <v xml:space="preserve">Ocio y Entretenimiento </v>
      </c>
    </row>
    <row r="530" spans="1:12" x14ac:dyDescent="0.2">
      <c r="A530" s="6546" t="s">
        <v>846</v>
      </c>
      <c r="B530" s="4224" t="s">
        <v>843</v>
      </c>
      <c r="C530" s="6013">
        <f t="shared" si="8"/>
        <v>4</v>
      </c>
      <c r="D530" s="4225" t="s">
        <v>847</v>
      </c>
      <c r="E530" s="4226" t="s">
        <v>10</v>
      </c>
      <c r="F530" s="4227">
        <v>-32.99</v>
      </c>
      <c r="G530" s="4228" t="s">
        <v>11</v>
      </c>
      <c r="H530" s="4229">
        <v>5055.8999999999996</v>
      </c>
      <c r="I530" s="4230" t="s">
        <v>11</v>
      </c>
      <c r="J530" s="4231" t="s">
        <v>848</v>
      </c>
      <c r="K530" s="5940" t="s">
        <v>1145</v>
      </c>
      <c r="L530" s="6760" t="str">
        <f>VLOOKUP(K530,'COD.'!$A$1:$B$39,2,0)</f>
        <v xml:space="preserve">Ocio y Entretenimiento </v>
      </c>
    </row>
    <row r="531" spans="1:12" x14ac:dyDescent="0.2">
      <c r="A531" s="6547" t="s">
        <v>838</v>
      </c>
      <c r="B531" s="4232" t="s">
        <v>843</v>
      </c>
      <c r="C531" s="6013">
        <f t="shared" si="8"/>
        <v>4</v>
      </c>
      <c r="D531" s="4233" t="s">
        <v>849</v>
      </c>
      <c r="E531" s="4234" t="s">
        <v>10</v>
      </c>
      <c r="F531" s="4235">
        <v>-8.9499999999999993</v>
      </c>
      <c r="G531" s="4236" t="s">
        <v>11</v>
      </c>
      <c r="H531" s="4237">
        <v>5088.8900000000003</v>
      </c>
      <c r="I531" s="4238" t="s">
        <v>11</v>
      </c>
      <c r="J531" s="4239" t="s">
        <v>850</v>
      </c>
      <c r="K531" s="5940" t="s">
        <v>1145</v>
      </c>
      <c r="L531" s="6760" t="str">
        <f>VLOOKUP(K531,'COD.'!$A$1:$B$39,2,0)</f>
        <v xml:space="preserve">Ocio y Entretenimiento </v>
      </c>
    </row>
    <row r="532" spans="1:12" x14ac:dyDescent="0.2">
      <c r="A532" s="6548" t="s">
        <v>838</v>
      </c>
      <c r="B532" s="4240" t="s">
        <v>838</v>
      </c>
      <c r="C532" s="6013">
        <f t="shared" si="8"/>
        <v>4</v>
      </c>
      <c r="D532" s="4241" t="s">
        <v>60</v>
      </c>
      <c r="E532" s="4242" t="s">
        <v>730</v>
      </c>
      <c r="F532" s="4243">
        <v>-32</v>
      </c>
      <c r="G532" s="4244" t="s">
        <v>11</v>
      </c>
      <c r="H532" s="4245">
        <v>5097.84</v>
      </c>
      <c r="I532" s="4246" t="s">
        <v>11</v>
      </c>
      <c r="J532" s="4247" t="s">
        <v>731</v>
      </c>
      <c r="K532" s="5979" t="s">
        <v>1159</v>
      </c>
      <c r="L532" s="6760" t="str">
        <f>VLOOKUP(K532,'COD.'!$A$1:$B$39,2,0)</f>
        <v xml:space="preserve">Ocio y Entretenimiento </v>
      </c>
    </row>
    <row r="533" spans="1:12" x14ac:dyDescent="0.2">
      <c r="A533" s="6549" t="s">
        <v>846</v>
      </c>
      <c r="B533" s="4248" t="s">
        <v>838</v>
      </c>
      <c r="C533" s="6013">
        <f t="shared" si="8"/>
        <v>4</v>
      </c>
      <c r="D533" s="4249" t="s">
        <v>60</v>
      </c>
      <c r="E533" s="4250" t="s">
        <v>432</v>
      </c>
      <c r="F533" s="4251">
        <v>35</v>
      </c>
      <c r="G533" s="4252" t="s">
        <v>11</v>
      </c>
      <c r="H533" s="4253">
        <v>5129.84</v>
      </c>
      <c r="I533" s="4254" t="s">
        <v>11</v>
      </c>
      <c r="J533" s="4255" t="s">
        <v>433</v>
      </c>
      <c r="K533" s="5982" t="s">
        <v>60</v>
      </c>
      <c r="L533" s="6760" t="str">
        <f>VLOOKUP(K533,'COD.'!$A$1:$B$39,2,0)</f>
        <v xml:space="preserve">Transferencias y Efectivo </v>
      </c>
    </row>
    <row r="534" spans="1:12" x14ac:dyDescent="0.2">
      <c r="A534" s="6550" t="s">
        <v>851</v>
      </c>
      <c r="B534" s="4256" t="s">
        <v>852</v>
      </c>
      <c r="C534" s="6013">
        <f t="shared" si="8"/>
        <v>4</v>
      </c>
      <c r="D534" s="4257" t="s">
        <v>853</v>
      </c>
      <c r="E534" s="4258" t="s">
        <v>10</v>
      </c>
      <c r="F534" s="4259">
        <v>-10.48</v>
      </c>
      <c r="G534" s="4260" t="s">
        <v>11</v>
      </c>
      <c r="H534" s="4261">
        <v>5094.84</v>
      </c>
      <c r="I534" s="4262" t="s">
        <v>11</v>
      </c>
      <c r="J534" s="4263" t="s">
        <v>854</v>
      </c>
      <c r="K534" s="5940" t="s">
        <v>1149</v>
      </c>
      <c r="L534" s="6760" t="str">
        <f>VLOOKUP(K534,'COD.'!$A$1:$B$39,2,0)</f>
        <v xml:space="preserve">Ocio y Entretenimiento </v>
      </c>
    </row>
    <row r="535" spans="1:12" x14ac:dyDescent="0.2">
      <c r="A535" s="6551" t="s">
        <v>855</v>
      </c>
      <c r="B535" s="4264" t="s">
        <v>852</v>
      </c>
      <c r="C535" s="6013">
        <f t="shared" si="8"/>
        <v>4</v>
      </c>
      <c r="D535" s="4265" t="s">
        <v>56</v>
      </c>
      <c r="E535" s="4266" t="s">
        <v>10</v>
      </c>
      <c r="F535" s="4267">
        <v>-3.2</v>
      </c>
      <c r="G535" s="4268" t="s">
        <v>11</v>
      </c>
      <c r="H535" s="4269">
        <v>5105.32</v>
      </c>
      <c r="I535" s="4270" t="s">
        <v>11</v>
      </c>
      <c r="J535" s="4271" t="s">
        <v>57</v>
      </c>
      <c r="K535" s="5940" t="s">
        <v>1145</v>
      </c>
      <c r="L535" s="6760" t="str">
        <f>VLOOKUP(K535,'COD.'!$A$1:$B$39,2,0)</f>
        <v xml:space="preserve">Ocio y Entretenimiento </v>
      </c>
    </row>
    <row r="536" spans="1:12" x14ac:dyDescent="0.2">
      <c r="A536" s="6552" t="s">
        <v>856</v>
      </c>
      <c r="B536" s="4272" t="s">
        <v>852</v>
      </c>
      <c r="C536" s="6013">
        <f t="shared" si="8"/>
        <v>4</v>
      </c>
      <c r="D536" s="4273" t="s">
        <v>233</v>
      </c>
      <c r="E536" s="4274" t="s">
        <v>10</v>
      </c>
      <c r="F536" s="4275">
        <v>-7.77</v>
      </c>
      <c r="G536" s="4276" t="s">
        <v>11</v>
      </c>
      <c r="H536" s="4277">
        <v>5108.5200000000004</v>
      </c>
      <c r="I536" s="4278" t="s">
        <v>11</v>
      </c>
      <c r="J536" s="4279" t="s">
        <v>234</v>
      </c>
      <c r="K536" s="5940" t="s">
        <v>1145</v>
      </c>
      <c r="L536" s="6760" t="str">
        <f>VLOOKUP(K536,'COD.'!$A$1:$B$39,2,0)</f>
        <v xml:space="preserve">Ocio y Entretenimiento </v>
      </c>
    </row>
    <row r="537" spans="1:12" x14ac:dyDescent="0.2">
      <c r="A537" s="6553" t="s">
        <v>856</v>
      </c>
      <c r="B537" s="4280" t="s">
        <v>852</v>
      </c>
      <c r="C537" s="6013">
        <f t="shared" si="8"/>
        <v>4</v>
      </c>
      <c r="D537" s="4281" t="s">
        <v>151</v>
      </c>
      <c r="E537" s="4282" t="s">
        <v>10</v>
      </c>
      <c r="F537" s="4283">
        <v>-42.49</v>
      </c>
      <c r="G537" s="4284" t="s">
        <v>11</v>
      </c>
      <c r="H537" s="4285">
        <v>5116.29</v>
      </c>
      <c r="I537" s="4286" t="s">
        <v>11</v>
      </c>
      <c r="J537" s="4287" t="s">
        <v>152</v>
      </c>
      <c r="K537" s="5940" t="s">
        <v>1149</v>
      </c>
      <c r="L537" s="6760" t="str">
        <f>VLOOKUP(K537,'COD.'!$A$1:$B$39,2,0)</f>
        <v xml:space="preserve">Ocio y Entretenimiento </v>
      </c>
    </row>
    <row r="538" spans="1:12" x14ac:dyDescent="0.2">
      <c r="A538" s="6554" t="s">
        <v>856</v>
      </c>
      <c r="B538" s="4288" t="s">
        <v>852</v>
      </c>
      <c r="C538" s="6013">
        <f t="shared" si="8"/>
        <v>4</v>
      </c>
      <c r="D538" s="4289" t="s">
        <v>562</v>
      </c>
      <c r="E538" s="4290" t="s">
        <v>10</v>
      </c>
      <c r="F538" s="4291">
        <v>-9.06</v>
      </c>
      <c r="G538" s="4292" t="s">
        <v>11</v>
      </c>
      <c r="H538" s="4293">
        <v>5158.78</v>
      </c>
      <c r="I538" s="4294" t="s">
        <v>11</v>
      </c>
      <c r="J538" s="4295" t="s">
        <v>563</v>
      </c>
      <c r="K538" s="5940" t="s">
        <v>1148</v>
      </c>
      <c r="L538" s="6760" t="str">
        <f>VLOOKUP(K538,'COD.'!$A$1:$B$39,2,0)</f>
        <v xml:space="preserve">Supermercado </v>
      </c>
    </row>
    <row r="539" spans="1:12" x14ac:dyDescent="0.2">
      <c r="A539" s="6555" t="s">
        <v>856</v>
      </c>
      <c r="B539" s="4296" t="s">
        <v>852</v>
      </c>
      <c r="C539" s="6013">
        <f t="shared" si="8"/>
        <v>4</v>
      </c>
      <c r="D539" s="4297" t="s">
        <v>129</v>
      </c>
      <c r="E539" s="4298" t="s">
        <v>10</v>
      </c>
      <c r="F539" s="4299">
        <v>-10.9</v>
      </c>
      <c r="G539" s="4300" t="s">
        <v>11</v>
      </c>
      <c r="H539" s="4301">
        <v>5167.84</v>
      </c>
      <c r="I539" s="4302" t="s">
        <v>11</v>
      </c>
      <c r="J539" s="4303" t="s">
        <v>130</v>
      </c>
      <c r="K539" s="5940" t="s">
        <v>1147</v>
      </c>
      <c r="L539" s="6760" t="str">
        <f>VLOOKUP(K539,'COD.'!$A$1:$B$39,2,0)</f>
        <v xml:space="preserve">Otros Gastos Generales </v>
      </c>
    </row>
    <row r="540" spans="1:12" x14ac:dyDescent="0.2">
      <c r="A540" s="6556" t="s">
        <v>857</v>
      </c>
      <c r="B540" s="4304" t="s">
        <v>858</v>
      </c>
      <c r="C540" s="6013">
        <f t="shared" si="8"/>
        <v>4</v>
      </c>
      <c r="D540" s="4305" t="s">
        <v>859</v>
      </c>
      <c r="E540" s="4306" t="s">
        <v>10</v>
      </c>
      <c r="F540" s="4307">
        <v>-30.17</v>
      </c>
      <c r="G540" s="4308" t="s">
        <v>11</v>
      </c>
      <c r="H540" s="4309">
        <v>5178.74</v>
      </c>
      <c r="I540" s="4310" t="s">
        <v>11</v>
      </c>
      <c r="J540" s="4311" t="s">
        <v>860</v>
      </c>
      <c r="K540" s="5940" t="s">
        <v>1148</v>
      </c>
      <c r="L540" s="6760" t="str">
        <f>VLOOKUP(K540,'COD.'!$A$1:$B$39,2,0)</f>
        <v xml:space="preserve">Supermercado </v>
      </c>
    </row>
    <row r="541" spans="1:12" x14ac:dyDescent="0.2">
      <c r="A541" s="6557" t="s">
        <v>861</v>
      </c>
      <c r="B541" s="4312" t="s">
        <v>851</v>
      </c>
      <c r="C541" s="6013">
        <f t="shared" si="8"/>
        <v>4</v>
      </c>
      <c r="D541" s="4313" t="s">
        <v>862</v>
      </c>
      <c r="E541" s="4314" t="s">
        <v>10</v>
      </c>
      <c r="F541" s="4315">
        <v>-7.6</v>
      </c>
      <c r="G541" s="4316" t="s">
        <v>11</v>
      </c>
      <c r="H541" s="4317">
        <v>5208.91</v>
      </c>
      <c r="I541" s="4318" t="s">
        <v>11</v>
      </c>
      <c r="J541" s="4319" t="s">
        <v>863</v>
      </c>
      <c r="K541" s="5940" t="s">
        <v>1163</v>
      </c>
      <c r="L541" s="6760" t="str">
        <f>VLOOKUP(K541,'COD.'!$A$1:$B$39,2,0)</f>
        <v xml:space="preserve">Otros Gastos Generales </v>
      </c>
    </row>
    <row r="542" spans="1:12" x14ac:dyDescent="0.2">
      <c r="A542" s="6558" t="s">
        <v>861</v>
      </c>
      <c r="B542" s="4320" t="s">
        <v>851</v>
      </c>
      <c r="C542" s="6013">
        <f t="shared" si="8"/>
        <v>4</v>
      </c>
      <c r="D542" s="4321" t="s">
        <v>778</v>
      </c>
      <c r="E542" s="4322" t="s">
        <v>10</v>
      </c>
      <c r="F542" s="4323">
        <v>-66.83</v>
      </c>
      <c r="G542" s="4324" t="s">
        <v>11</v>
      </c>
      <c r="H542" s="4325">
        <v>5216.51</v>
      </c>
      <c r="I542" s="4326" t="s">
        <v>11</v>
      </c>
      <c r="J542" s="4327" t="s">
        <v>779</v>
      </c>
      <c r="K542" s="5940" t="s">
        <v>1149</v>
      </c>
      <c r="L542" s="6760" t="str">
        <f>VLOOKUP(K542,'COD.'!$A$1:$B$39,2,0)</f>
        <v xml:space="preserve">Ocio y Entretenimiento </v>
      </c>
    </row>
    <row r="543" spans="1:12" x14ac:dyDescent="0.2">
      <c r="A543" s="6559" t="s">
        <v>861</v>
      </c>
      <c r="B543" s="4328" t="s">
        <v>851</v>
      </c>
      <c r="C543" s="6013">
        <f t="shared" si="8"/>
        <v>4</v>
      </c>
      <c r="D543" s="4329" t="s">
        <v>769</v>
      </c>
      <c r="E543" s="4330" t="s">
        <v>10</v>
      </c>
      <c r="F543" s="4331">
        <v>-2.99</v>
      </c>
      <c r="G543" s="4332" t="s">
        <v>11</v>
      </c>
      <c r="H543" s="4333">
        <v>5283.34</v>
      </c>
      <c r="I543" s="4334" t="s">
        <v>11</v>
      </c>
      <c r="J543" s="4335" t="s">
        <v>770</v>
      </c>
      <c r="K543" s="5972" t="s">
        <v>1150</v>
      </c>
      <c r="L543" s="6760" t="str">
        <f>VLOOKUP(K543,'COD.'!$A$1:$B$39,2,0)</f>
        <v xml:space="preserve">Ocio y Entretenimiento </v>
      </c>
    </row>
    <row r="544" spans="1:12" x14ac:dyDescent="0.2">
      <c r="A544" s="6560" t="s">
        <v>857</v>
      </c>
      <c r="B544" s="4336" t="s">
        <v>851</v>
      </c>
      <c r="C544" s="6013">
        <f t="shared" si="8"/>
        <v>4</v>
      </c>
      <c r="D544" s="4337" t="s">
        <v>60</v>
      </c>
      <c r="E544" s="4338" t="s">
        <v>864</v>
      </c>
      <c r="F544" s="4339">
        <v>307.39999999999998</v>
      </c>
      <c r="G544" s="4340" t="s">
        <v>11</v>
      </c>
      <c r="H544" s="4341">
        <v>5286.33</v>
      </c>
      <c r="I544" s="4342" t="s">
        <v>11</v>
      </c>
      <c r="J544" s="4343" t="s">
        <v>865</v>
      </c>
      <c r="K544" s="5982" t="s">
        <v>60</v>
      </c>
      <c r="L544" s="6760" t="str">
        <f>VLOOKUP(K544,'COD.'!$A$1:$B$39,2,0)</f>
        <v xml:space="preserve">Transferencias y Efectivo </v>
      </c>
    </row>
    <row r="545" spans="1:12" x14ac:dyDescent="0.2">
      <c r="A545" s="6561" t="s">
        <v>857</v>
      </c>
      <c r="B545" s="4344" t="s">
        <v>851</v>
      </c>
      <c r="C545" s="6013">
        <f t="shared" si="8"/>
        <v>4</v>
      </c>
      <c r="D545" s="4345" t="s">
        <v>60</v>
      </c>
      <c r="E545" s="4346" t="s">
        <v>866</v>
      </c>
      <c r="F545" s="4347">
        <v>-615.4</v>
      </c>
      <c r="G545" s="4348" t="s">
        <v>11</v>
      </c>
      <c r="H545" s="4349">
        <v>4978.93</v>
      </c>
      <c r="I545" s="4350" t="s">
        <v>11</v>
      </c>
      <c r="J545" s="4351" t="s">
        <v>867</v>
      </c>
      <c r="K545" s="5982" t="s">
        <v>1169</v>
      </c>
      <c r="L545" s="6760" t="str">
        <f>VLOOKUP(K545,'COD.'!$A$1:$B$39,2,0)</f>
        <v xml:space="preserve">Ocio y Entretenimiento </v>
      </c>
    </row>
    <row r="546" spans="1:12" x14ac:dyDescent="0.2">
      <c r="A546" s="6562" t="s">
        <v>861</v>
      </c>
      <c r="B546" s="4352" t="s">
        <v>861</v>
      </c>
      <c r="C546" s="6013">
        <f t="shared" si="8"/>
        <v>4</v>
      </c>
      <c r="D546" s="4353" t="s">
        <v>60</v>
      </c>
      <c r="E546" s="4354" t="s">
        <v>868</v>
      </c>
      <c r="F546" s="4355">
        <v>-72</v>
      </c>
      <c r="G546" s="4356" t="s">
        <v>11</v>
      </c>
      <c r="H546" s="4357">
        <v>5594.33</v>
      </c>
      <c r="I546" s="4358" t="s">
        <v>11</v>
      </c>
      <c r="J546" s="4359" t="s">
        <v>869</v>
      </c>
      <c r="K546" s="5982" t="s">
        <v>60</v>
      </c>
      <c r="L546" s="6760" t="str">
        <f>VLOOKUP(K546,'COD.'!$A$1:$B$39,2,0)</f>
        <v xml:space="preserve">Transferencias y Efectivo </v>
      </c>
    </row>
    <row r="547" spans="1:12" x14ac:dyDescent="0.2">
      <c r="A547" s="6563" t="s">
        <v>870</v>
      </c>
      <c r="B547" s="4360" t="s">
        <v>861</v>
      </c>
      <c r="C547" s="6013">
        <f t="shared" si="8"/>
        <v>4</v>
      </c>
      <c r="D547" s="4361" t="s">
        <v>233</v>
      </c>
      <c r="E547" s="4362" t="s">
        <v>10</v>
      </c>
      <c r="F547" s="4363">
        <v>-4.71</v>
      </c>
      <c r="G547" s="4364" t="s">
        <v>11</v>
      </c>
      <c r="H547" s="4365">
        <v>5666.33</v>
      </c>
      <c r="I547" s="4366" t="s">
        <v>11</v>
      </c>
      <c r="J547" s="4367" t="s">
        <v>234</v>
      </c>
      <c r="K547" s="5940" t="s">
        <v>1145</v>
      </c>
      <c r="L547" s="6760" t="str">
        <f>VLOOKUP(K547,'COD.'!$A$1:$B$39,2,0)</f>
        <v xml:space="preserve">Ocio y Entretenimiento </v>
      </c>
    </row>
    <row r="548" spans="1:12" x14ac:dyDescent="0.2">
      <c r="A548" s="6564" t="s">
        <v>871</v>
      </c>
      <c r="B548" s="4368" t="s">
        <v>861</v>
      </c>
      <c r="C548" s="6013">
        <f t="shared" si="8"/>
        <v>4</v>
      </c>
      <c r="D548" s="4369" t="s">
        <v>103</v>
      </c>
      <c r="E548" s="4370" t="s">
        <v>10</v>
      </c>
      <c r="F548" s="4371">
        <v>-35.76</v>
      </c>
      <c r="G548" s="4372" t="s">
        <v>11</v>
      </c>
      <c r="H548" s="4373">
        <v>5671.04</v>
      </c>
      <c r="I548" s="4374" t="s">
        <v>11</v>
      </c>
      <c r="J548" s="4375" t="s">
        <v>104</v>
      </c>
      <c r="K548" s="5940" t="s">
        <v>1148</v>
      </c>
      <c r="L548" s="6760" t="str">
        <f>VLOOKUP(K548,'COD.'!$A$1:$B$39,2,0)</f>
        <v xml:space="preserve">Supermercado </v>
      </c>
    </row>
    <row r="549" spans="1:12" x14ac:dyDescent="0.2">
      <c r="A549" s="6565" t="s">
        <v>871</v>
      </c>
      <c r="B549" s="4376" t="s">
        <v>861</v>
      </c>
      <c r="C549" s="6013">
        <f t="shared" si="8"/>
        <v>4</v>
      </c>
      <c r="D549" s="4377" t="s">
        <v>872</v>
      </c>
      <c r="E549" s="4378" t="s">
        <v>10</v>
      </c>
      <c r="F549" s="4379">
        <v>-3.3</v>
      </c>
      <c r="G549" s="4380" t="s">
        <v>11</v>
      </c>
      <c r="H549" s="4381">
        <v>5706.8</v>
      </c>
      <c r="I549" s="4382" t="s">
        <v>11</v>
      </c>
      <c r="J549" s="4383" t="s">
        <v>873</v>
      </c>
      <c r="K549" s="5940" t="s">
        <v>1145</v>
      </c>
      <c r="L549" s="6760" t="str">
        <f>VLOOKUP(K549,'COD.'!$A$1:$B$39,2,0)</f>
        <v xml:space="preserve">Ocio y Entretenimiento </v>
      </c>
    </row>
    <row r="550" spans="1:12" x14ac:dyDescent="0.2">
      <c r="A550" s="6566" t="s">
        <v>871</v>
      </c>
      <c r="B550" s="4384" t="s">
        <v>861</v>
      </c>
      <c r="C550" s="6013">
        <f t="shared" si="8"/>
        <v>4</v>
      </c>
      <c r="D550" s="4385" t="s">
        <v>39</v>
      </c>
      <c r="E550" s="4386" t="s">
        <v>10</v>
      </c>
      <c r="F550" s="4387">
        <v>-28</v>
      </c>
      <c r="G550" s="4388" t="s">
        <v>11</v>
      </c>
      <c r="H550" s="4389">
        <v>5710.1</v>
      </c>
      <c r="I550" s="4390" t="s">
        <v>11</v>
      </c>
      <c r="J550" s="4391" t="s">
        <v>111</v>
      </c>
      <c r="K550" s="5940" t="s">
        <v>443</v>
      </c>
      <c r="L550" s="6760" t="str">
        <f>VLOOKUP(K550,'COD.'!$A$1:$B$39,2,0)</f>
        <v xml:space="preserve">Salud y Cuidado </v>
      </c>
    </row>
    <row r="551" spans="1:12" x14ac:dyDescent="0.2">
      <c r="A551" s="6567" t="s">
        <v>871</v>
      </c>
      <c r="B551" s="4392" t="s">
        <v>861</v>
      </c>
      <c r="C551" s="6013">
        <f t="shared" si="8"/>
        <v>4</v>
      </c>
      <c r="D551" s="4393" t="s">
        <v>200</v>
      </c>
      <c r="E551" s="4394" t="s">
        <v>10</v>
      </c>
      <c r="F551" s="4395">
        <v>-21.88</v>
      </c>
      <c r="G551" s="4396" t="s">
        <v>11</v>
      </c>
      <c r="H551" s="4397">
        <v>5738.1</v>
      </c>
      <c r="I551" s="4398" t="s">
        <v>11</v>
      </c>
      <c r="J551" s="4399" t="s">
        <v>201</v>
      </c>
      <c r="K551" s="5940" t="s">
        <v>1149</v>
      </c>
      <c r="L551" s="6760" t="str">
        <f>VLOOKUP(K551,'COD.'!$A$1:$B$39,2,0)</f>
        <v xml:space="preserve">Ocio y Entretenimiento </v>
      </c>
    </row>
    <row r="552" spans="1:12" x14ac:dyDescent="0.2">
      <c r="A552" s="6568" t="s">
        <v>874</v>
      </c>
      <c r="B552" s="4400" t="s">
        <v>861</v>
      </c>
      <c r="C552" s="6013">
        <f t="shared" si="8"/>
        <v>4</v>
      </c>
      <c r="D552" s="4401" t="s">
        <v>875</v>
      </c>
      <c r="E552" s="4402" t="s">
        <v>10</v>
      </c>
      <c r="F552" s="4403">
        <v>-42.4</v>
      </c>
      <c r="G552" s="4404" t="s">
        <v>11</v>
      </c>
      <c r="H552" s="4405">
        <v>5759.98</v>
      </c>
      <c r="I552" s="4406" t="s">
        <v>11</v>
      </c>
      <c r="J552" s="4407" t="s">
        <v>876</v>
      </c>
      <c r="K552" s="5940" t="s">
        <v>1145</v>
      </c>
      <c r="L552" s="6760" t="str">
        <f>VLOOKUP(K552,'COD.'!$A$1:$B$39,2,0)</f>
        <v xml:space="preserve">Ocio y Entretenimiento </v>
      </c>
    </row>
    <row r="553" spans="1:12" x14ac:dyDescent="0.2">
      <c r="A553" s="6569" t="s">
        <v>874</v>
      </c>
      <c r="B553" s="4408" t="s">
        <v>874</v>
      </c>
      <c r="C553" s="6013">
        <f t="shared" si="8"/>
        <v>4</v>
      </c>
      <c r="D553" s="4409" t="s">
        <v>235</v>
      </c>
      <c r="E553" s="4410" t="s">
        <v>10</v>
      </c>
      <c r="F553" s="4411">
        <v>-19.52</v>
      </c>
      <c r="G553" s="4412" t="s">
        <v>11</v>
      </c>
      <c r="H553" s="4413">
        <v>5802.38</v>
      </c>
      <c r="I553" s="4414" t="s">
        <v>11</v>
      </c>
      <c r="J553" s="4415" t="s">
        <v>236</v>
      </c>
      <c r="K553" s="5940" t="s">
        <v>1146</v>
      </c>
      <c r="L553" s="6760" t="str">
        <f>VLOOKUP(K553,'COD.'!$A$1:$B$39,2,0)</f>
        <v xml:space="preserve">Supermercado </v>
      </c>
    </row>
    <row r="554" spans="1:12" x14ac:dyDescent="0.2">
      <c r="A554" s="6570" t="s">
        <v>874</v>
      </c>
      <c r="B554" s="4416" t="s">
        <v>874</v>
      </c>
      <c r="C554" s="6013">
        <f t="shared" si="8"/>
        <v>4</v>
      </c>
      <c r="D554" s="4417" t="s">
        <v>9</v>
      </c>
      <c r="E554" s="4418" t="s">
        <v>10</v>
      </c>
      <c r="F554" s="4419">
        <v>-2.54</v>
      </c>
      <c r="G554" s="4420" t="s">
        <v>11</v>
      </c>
      <c r="H554" s="4421">
        <v>5821.9</v>
      </c>
      <c r="I554" s="4422" t="s">
        <v>11</v>
      </c>
      <c r="J554" s="4423" t="s">
        <v>12</v>
      </c>
      <c r="K554" s="5940" t="s">
        <v>1163</v>
      </c>
      <c r="L554" s="6760" t="str">
        <f>VLOOKUP(K554,'COD.'!$A$1:$B$39,2,0)</f>
        <v xml:space="preserve">Otros Gastos Generales </v>
      </c>
    </row>
    <row r="555" spans="1:12" x14ac:dyDescent="0.2">
      <c r="A555" s="6571" t="s">
        <v>877</v>
      </c>
      <c r="B555" s="4424" t="s">
        <v>877</v>
      </c>
      <c r="C555" s="6013">
        <f t="shared" si="8"/>
        <v>4</v>
      </c>
      <c r="D555" s="4425" t="s">
        <v>98</v>
      </c>
      <c r="E555" s="4426" t="s">
        <v>10</v>
      </c>
      <c r="F555" s="4427">
        <v>-5.6</v>
      </c>
      <c r="G555" s="4428" t="s">
        <v>11</v>
      </c>
      <c r="H555" s="4429">
        <v>5824.44</v>
      </c>
      <c r="I555" s="4430" t="s">
        <v>11</v>
      </c>
      <c r="J555" s="4431" t="s">
        <v>582</v>
      </c>
      <c r="K555" s="5940" t="s">
        <v>1145</v>
      </c>
      <c r="L555" s="6760" t="str">
        <f>VLOOKUP(K555,'COD.'!$A$1:$B$39,2,0)</f>
        <v xml:space="preserve">Ocio y Entretenimiento </v>
      </c>
    </row>
    <row r="556" spans="1:12" x14ac:dyDescent="0.2">
      <c r="A556" s="6572" t="s">
        <v>878</v>
      </c>
      <c r="B556" s="4432" t="s">
        <v>878</v>
      </c>
      <c r="C556" s="6013">
        <f t="shared" si="8"/>
        <v>4</v>
      </c>
      <c r="D556" s="4433" t="s">
        <v>90</v>
      </c>
      <c r="E556" s="4434" t="s">
        <v>10</v>
      </c>
      <c r="F556" s="4435">
        <v>-12</v>
      </c>
      <c r="G556" s="4436" t="s">
        <v>11</v>
      </c>
      <c r="H556" s="4437">
        <v>5830.04</v>
      </c>
      <c r="I556" s="4438" t="s">
        <v>11</v>
      </c>
      <c r="J556" s="4439" t="s">
        <v>91</v>
      </c>
      <c r="K556" s="5940" t="s">
        <v>1156</v>
      </c>
      <c r="L556" s="6760" t="str">
        <f>VLOOKUP(K556,'COD.'!$A$1:$B$39,2,0)</f>
        <v>Moto</v>
      </c>
    </row>
    <row r="557" spans="1:12" x14ac:dyDescent="0.2">
      <c r="A557" s="6573" t="s">
        <v>878</v>
      </c>
      <c r="B557" s="4440" t="s">
        <v>878</v>
      </c>
      <c r="C557" s="6013">
        <f t="shared" si="8"/>
        <v>4</v>
      </c>
      <c r="D557" s="4441" t="s">
        <v>24</v>
      </c>
      <c r="E557" s="4442" t="s">
        <v>10</v>
      </c>
      <c r="F557" s="4443">
        <v>-6.1</v>
      </c>
      <c r="G557" s="4444" t="s">
        <v>11</v>
      </c>
      <c r="H557" s="4445">
        <v>5842.04</v>
      </c>
      <c r="I557" s="4446" t="s">
        <v>11</v>
      </c>
      <c r="J557" s="4447" t="s">
        <v>25</v>
      </c>
      <c r="K557" s="5940" t="s">
        <v>1145</v>
      </c>
      <c r="L557" s="6760" t="str">
        <f>VLOOKUP(K557,'COD.'!$A$1:$B$39,2,0)</f>
        <v xml:space="preserve">Ocio y Entretenimiento </v>
      </c>
    </row>
    <row r="558" spans="1:12" x14ac:dyDescent="0.2">
      <c r="A558" s="6574" t="s">
        <v>878</v>
      </c>
      <c r="B558" s="4448" t="s">
        <v>878</v>
      </c>
      <c r="C558" s="6013">
        <f t="shared" si="8"/>
        <v>4</v>
      </c>
      <c r="D558" s="4449" t="s">
        <v>147</v>
      </c>
      <c r="E558" s="4450" t="s">
        <v>879</v>
      </c>
      <c r="F558" s="4451">
        <v>-78.2</v>
      </c>
      <c r="G558" s="4452" t="s">
        <v>11</v>
      </c>
      <c r="H558" s="4453">
        <v>5848.14</v>
      </c>
      <c r="I558" s="4454" t="s">
        <v>11</v>
      </c>
      <c r="J558" s="4455" t="s">
        <v>880</v>
      </c>
      <c r="K558" s="5940" t="s">
        <v>1152</v>
      </c>
      <c r="L558" s="6760" t="str">
        <f>VLOOKUP(K558,'COD.'!$A$1:$B$39,2,0)</f>
        <v xml:space="preserve">Suministros </v>
      </c>
    </row>
    <row r="559" spans="1:12" x14ac:dyDescent="0.2">
      <c r="A559" s="6575" t="s">
        <v>881</v>
      </c>
      <c r="B559" s="4456" t="s">
        <v>878</v>
      </c>
      <c r="C559" s="6013">
        <f t="shared" si="8"/>
        <v>4</v>
      </c>
      <c r="D559" s="4457" t="s">
        <v>166</v>
      </c>
      <c r="E559" s="4458" t="s">
        <v>164</v>
      </c>
      <c r="F559" s="4459">
        <v>-10</v>
      </c>
      <c r="G559" s="4460" t="s">
        <v>11</v>
      </c>
      <c r="H559" s="4461">
        <v>5926.34</v>
      </c>
      <c r="I559" s="4462" t="s">
        <v>11</v>
      </c>
      <c r="J559" s="4463" t="s">
        <v>167</v>
      </c>
      <c r="K559" s="5977" t="s">
        <v>1166</v>
      </c>
      <c r="L559" s="6760" t="str">
        <f>VLOOKUP(K559,'COD.'!$A$1:$B$39,2,0)</f>
        <v xml:space="preserve">Ocio y Entretenimiento </v>
      </c>
    </row>
    <row r="560" spans="1:12" x14ac:dyDescent="0.2">
      <c r="A560" s="6576" t="s">
        <v>881</v>
      </c>
      <c r="B560" s="4464" t="s">
        <v>881</v>
      </c>
      <c r="C560" s="6013">
        <f t="shared" si="8"/>
        <v>4</v>
      </c>
      <c r="D560" s="4465" t="s">
        <v>320</v>
      </c>
      <c r="E560" s="4466" t="s">
        <v>164</v>
      </c>
      <c r="F560" s="4467">
        <v>-100</v>
      </c>
      <c r="G560" s="4468" t="s">
        <v>11</v>
      </c>
      <c r="H560" s="4469">
        <v>5936.34</v>
      </c>
      <c r="I560" s="4470" t="s">
        <v>11</v>
      </c>
      <c r="J560" s="4471" t="s">
        <v>336</v>
      </c>
      <c r="K560" s="5998" t="s">
        <v>1159</v>
      </c>
      <c r="L560" s="6760" t="str">
        <f>VLOOKUP(K560,'COD.'!$A$1:$B$39,2,0)</f>
        <v xml:space="preserve">Ocio y Entretenimiento </v>
      </c>
    </row>
    <row r="561" spans="1:12" x14ac:dyDescent="0.2">
      <c r="A561" s="6577" t="s">
        <v>882</v>
      </c>
      <c r="B561" s="4472" t="s">
        <v>882</v>
      </c>
      <c r="C561" s="6013">
        <f t="shared" si="8"/>
        <v>4</v>
      </c>
      <c r="D561" s="4473" t="s">
        <v>584</v>
      </c>
      <c r="E561" s="4474" t="s">
        <v>10</v>
      </c>
      <c r="F561" s="4475">
        <v>-17.100000000000001</v>
      </c>
      <c r="G561" s="4476" t="s">
        <v>11</v>
      </c>
      <c r="H561" s="4477">
        <v>6036.34</v>
      </c>
      <c r="I561" s="4478" t="s">
        <v>11</v>
      </c>
      <c r="J561" s="4479" t="s">
        <v>585</v>
      </c>
      <c r="K561" s="5940" t="s">
        <v>1145</v>
      </c>
      <c r="L561" s="6760" t="str">
        <f>VLOOKUP(K561,'COD.'!$A$1:$B$39,2,0)</f>
        <v xml:space="preserve">Ocio y Entretenimiento </v>
      </c>
    </row>
    <row r="562" spans="1:12" x14ac:dyDescent="0.2">
      <c r="A562" s="6578" t="s">
        <v>882</v>
      </c>
      <c r="B562" s="4480" t="s">
        <v>882</v>
      </c>
      <c r="C562" s="6013">
        <f t="shared" si="8"/>
        <v>4</v>
      </c>
      <c r="D562" s="4481" t="s">
        <v>883</v>
      </c>
      <c r="E562" s="4482" t="s">
        <v>10</v>
      </c>
      <c r="F562" s="4483">
        <v>-7.3</v>
      </c>
      <c r="G562" s="4484" t="s">
        <v>11</v>
      </c>
      <c r="H562" s="4485">
        <v>6053.44</v>
      </c>
      <c r="I562" s="4486" t="s">
        <v>11</v>
      </c>
      <c r="J562" s="4487" t="s">
        <v>884</v>
      </c>
      <c r="K562" s="5940" t="s">
        <v>1147</v>
      </c>
      <c r="L562" s="6760" t="str">
        <f>VLOOKUP(K562,'COD.'!$A$1:$B$39,2,0)</f>
        <v xml:space="preserve">Otros Gastos Generales </v>
      </c>
    </row>
    <row r="563" spans="1:12" x14ac:dyDescent="0.2">
      <c r="A563" s="6579" t="s">
        <v>885</v>
      </c>
      <c r="B563" s="4488" t="s">
        <v>882</v>
      </c>
      <c r="C563" s="6013">
        <f t="shared" si="8"/>
        <v>4</v>
      </c>
      <c r="D563" s="4489" t="s">
        <v>233</v>
      </c>
      <c r="E563" s="4490" t="s">
        <v>10</v>
      </c>
      <c r="F563" s="4491">
        <v>-3.51</v>
      </c>
      <c r="G563" s="4492" t="s">
        <v>11</v>
      </c>
      <c r="H563" s="4493">
        <v>6060.74</v>
      </c>
      <c r="I563" s="4494" t="s">
        <v>11</v>
      </c>
      <c r="J563" s="4495" t="s">
        <v>234</v>
      </c>
      <c r="K563" s="5940" t="s">
        <v>1145</v>
      </c>
      <c r="L563" s="6760" t="str">
        <f>VLOOKUP(K563,'COD.'!$A$1:$B$39,2,0)</f>
        <v xml:space="preserve">Ocio y Entretenimiento </v>
      </c>
    </row>
    <row r="564" spans="1:12" x14ac:dyDescent="0.2">
      <c r="A564" s="6580" t="s">
        <v>886</v>
      </c>
      <c r="B564" s="4496" t="s">
        <v>882</v>
      </c>
      <c r="C564" s="6013">
        <f t="shared" si="8"/>
        <v>4</v>
      </c>
      <c r="D564" s="4497" t="s">
        <v>887</v>
      </c>
      <c r="E564" s="4498" t="s">
        <v>10</v>
      </c>
      <c r="F564" s="4499">
        <v>-56</v>
      </c>
      <c r="G564" s="4500" t="s">
        <v>11</v>
      </c>
      <c r="H564" s="4501">
        <v>6064.25</v>
      </c>
      <c r="I564" s="4502" t="s">
        <v>11</v>
      </c>
      <c r="J564" s="4503" t="s">
        <v>888</v>
      </c>
      <c r="K564" s="5940" t="s">
        <v>1157</v>
      </c>
      <c r="L564" s="6760" t="str">
        <f>VLOOKUP(K564,'COD.'!$A$1:$B$39,2,0)</f>
        <v xml:space="preserve">Ocio y Entretenimiento </v>
      </c>
    </row>
    <row r="565" spans="1:12" x14ac:dyDescent="0.2">
      <c r="A565" s="6581" t="s">
        <v>886</v>
      </c>
      <c r="B565" s="4504" t="s">
        <v>882</v>
      </c>
      <c r="C565" s="6013">
        <f t="shared" si="8"/>
        <v>4</v>
      </c>
      <c r="D565" s="4505" t="s">
        <v>60</v>
      </c>
      <c r="E565" s="4506" t="s">
        <v>889</v>
      </c>
      <c r="F565" s="4507">
        <v>-70</v>
      </c>
      <c r="G565" s="4508" t="s">
        <v>11</v>
      </c>
      <c r="H565" s="4509">
        <v>6120.25</v>
      </c>
      <c r="I565" s="4510" t="s">
        <v>11</v>
      </c>
      <c r="J565" s="4511" t="s">
        <v>890</v>
      </c>
      <c r="K565" s="5982" t="s">
        <v>60</v>
      </c>
      <c r="L565" s="6760" t="str">
        <f>VLOOKUP(K565,'COD.'!$A$1:$B$39,2,0)</f>
        <v xml:space="preserve">Transferencias y Efectivo </v>
      </c>
    </row>
    <row r="566" spans="1:12" x14ac:dyDescent="0.2">
      <c r="A566" s="6582" t="s">
        <v>886</v>
      </c>
      <c r="B566" s="4512" t="s">
        <v>882</v>
      </c>
      <c r="C566" s="6013">
        <f t="shared" si="8"/>
        <v>4</v>
      </c>
      <c r="D566" s="4513" t="s">
        <v>891</v>
      </c>
      <c r="E566" s="4514" t="s">
        <v>10</v>
      </c>
      <c r="F566" s="4515">
        <v>-6.2</v>
      </c>
      <c r="G566" s="4516" t="s">
        <v>11</v>
      </c>
      <c r="H566" s="4517">
        <v>6190.25</v>
      </c>
      <c r="I566" s="4518" t="s">
        <v>11</v>
      </c>
      <c r="J566" s="4519" t="s">
        <v>892</v>
      </c>
      <c r="K566" s="5940" t="s">
        <v>1145</v>
      </c>
      <c r="L566" s="6760" t="str">
        <f>VLOOKUP(K566,'COD.'!$A$1:$B$39,2,0)</f>
        <v xml:space="preserve">Ocio y Entretenimiento </v>
      </c>
    </row>
    <row r="567" spans="1:12" x14ac:dyDescent="0.2">
      <c r="A567" s="6583" t="s">
        <v>893</v>
      </c>
      <c r="B567" s="4520" t="s">
        <v>882</v>
      </c>
      <c r="C567" s="6013">
        <f t="shared" si="8"/>
        <v>4</v>
      </c>
      <c r="D567" s="4521" t="s">
        <v>894</v>
      </c>
      <c r="E567" s="4522" t="s">
        <v>10</v>
      </c>
      <c r="F567" s="4523">
        <v>-10.8</v>
      </c>
      <c r="G567" s="4524" t="s">
        <v>11</v>
      </c>
      <c r="H567" s="4525">
        <v>6196.45</v>
      </c>
      <c r="I567" s="4526" t="s">
        <v>11</v>
      </c>
      <c r="J567" s="4527" t="s">
        <v>895</v>
      </c>
      <c r="K567" s="6004" t="s">
        <v>1145</v>
      </c>
      <c r="L567" s="6760" t="str">
        <f>VLOOKUP(K567,'COD.'!$A$1:$B$39,2,0)</f>
        <v xml:space="preserve">Ocio y Entretenimiento </v>
      </c>
    </row>
    <row r="568" spans="1:12" x14ac:dyDescent="0.2">
      <c r="A568" s="6584" t="s">
        <v>893</v>
      </c>
      <c r="B568" s="4528" t="s">
        <v>882</v>
      </c>
      <c r="C568" s="6013">
        <f t="shared" si="8"/>
        <v>4</v>
      </c>
      <c r="D568" s="4529" t="s">
        <v>60</v>
      </c>
      <c r="E568" s="4530" t="s">
        <v>896</v>
      </c>
      <c r="F568" s="4531">
        <v>40</v>
      </c>
      <c r="G568" s="4532" t="s">
        <v>11</v>
      </c>
      <c r="H568" s="4533">
        <v>6207.25</v>
      </c>
      <c r="I568" s="4534" t="s">
        <v>11</v>
      </c>
      <c r="J568" s="4535" t="s">
        <v>897</v>
      </c>
      <c r="K568" s="5984" t="s">
        <v>1152</v>
      </c>
      <c r="L568" s="6760" t="str">
        <f>VLOOKUP(K568,'COD.'!$A$1:$B$39,2,0)</f>
        <v xml:space="preserve">Suministros </v>
      </c>
    </row>
    <row r="569" spans="1:12" x14ac:dyDescent="0.2">
      <c r="A569" s="6585" t="s">
        <v>886</v>
      </c>
      <c r="B569" s="4536" t="s">
        <v>893</v>
      </c>
      <c r="C569" s="6013">
        <f t="shared" si="8"/>
        <v>4</v>
      </c>
      <c r="D569" s="4537" t="s">
        <v>179</v>
      </c>
      <c r="E569" s="4538" t="s">
        <v>180</v>
      </c>
      <c r="F569" s="4539">
        <v>-83.93</v>
      </c>
      <c r="G569" s="4540" t="s">
        <v>11</v>
      </c>
      <c r="H569" s="4541">
        <v>6167.25</v>
      </c>
      <c r="I569" s="4542" t="s">
        <v>11</v>
      </c>
      <c r="J569" s="4543" t="s">
        <v>181</v>
      </c>
      <c r="K569" s="5980" t="s">
        <v>179</v>
      </c>
      <c r="L569" s="6760" t="str">
        <f>VLOOKUP(K569,'COD.'!$A$1:$B$39,2,0)</f>
        <v xml:space="preserve">Vivienda y Préstamos </v>
      </c>
    </row>
    <row r="570" spans="1:12" x14ac:dyDescent="0.2">
      <c r="A570" s="6586" t="s">
        <v>893</v>
      </c>
      <c r="B570" s="4544" t="s">
        <v>893</v>
      </c>
      <c r="C570" s="6013">
        <f t="shared" si="8"/>
        <v>4</v>
      </c>
      <c r="D570" s="4545" t="s">
        <v>163</v>
      </c>
      <c r="E570" s="4546" t="s">
        <v>164</v>
      </c>
      <c r="F570" s="4547">
        <v>-56.83</v>
      </c>
      <c r="G570" s="4548" t="s">
        <v>11</v>
      </c>
      <c r="H570" s="4549">
        <v>6251.18</v>
      </c>
      <c r="I570" s="4550" t="s">
        <v>11</v>
      </c>
      <c r="J570" s="4551" t="s">
        <v>165</v>
      </c>
      <c r="K570" s="5976" t="s">
        <v>1160</v>
      </c>
      <c r="L570" s="6760" t="str">
        <f>VLOOKUP(K570,'COD.'!$A$1:$B$39,2,0)</f>
        <v xml:space="preserve">Vivienda y Préstamos </v>
      </c>
    </row>
    <row r="571" spans="1:12" x14ac:dyDescent="0.2">
      <c r="A571" s="6587" t="s">
        <v>898</v>
      </c>
      <c r="B571" s="4552" t="s">
        <v>898</v>
      </c>
      <c r="C571" s="6013">
        <f t="shared" si="8"/>
        <v>4</v>
      </c>
      <c r="D571" s="4553" t="s">
        <v>103</v>
      </c>
      <c r="E571" s="4554" t="s">
        <v>10</v>
      </c>
      <c r="F571" s="4555">
        <v>-39.200000000000003</v>
      </c>
      <c r="G571" s="4556" t="s">
        <v>11</v>
      </c>
      <c r="H571" s="4557">
        <v>6308.01</v>
      </c>
      <c r="I571" s="4558" t="s">
        <v>11</v>
      </c>
      <c r="J571" s="4559" t="s">
        <v>104</v>
      </c>
      <c r="K571" s="5940" t="s">
        <v>1148</v>
      </c>
      <c r="L571" s="6760" t="str">
        <f>VLOOKUP(K571,'COD.'!$A$1:$B$39,2,0)</f>
        <v xml:space="preserve">Supermercado </v>
      </c>
    </row>
    <row r="572" spans="1:12" x14ac:dyDescent="0.2">
      <c r="A572" s="6588" t="s">
        <v>898</v>
      </c>
      <c r="B572" s="4560" t="s">
        <v>898</v>
      </c>
      <c r="C572" s="6013">
        <f t="shared" si="8"/>
        <v>4</v>
      </c>
      <c r="D572" s="4561" t="s">
        <v>899</v>
      </c>
      <c r="E572" s="4562" t="s">
        <v>10</v>
      </c>
      <c r="F572" s="4563">
        <v>-8.58</v>
      </c>
      <c r="G572" s="4564" t="s">
        <v>11</v>
      </c>
      <c r="H572" s="4565">
        <v>6347.21</v>
      </c>
      <c r="I572" s="4566" t="s">
        <v>11</v>
      </c>
      <c r="J572" s="4567" t="s">
        <v>900</v>
      </c>
      <c r="K572" s="5940" t="s">
        <v>1148</v>
      </c>
      <c r="L572" s="6760" t="str">
        <f>VLOOKUP(K572,'COD.'!$A$1:$B$39,2,0)</f>
        <v xml:space="preserve">Supermercado </v>
      </c>
    </row>
    <row r="573" spans="1:12" x14ac:dyDescent="0.2">
      <c r="A573" s="6589" t="s">
        <v>901</v>
      </c>
      <c r="B573" s="4568" t="s">
        <v>902</v>
      </c>
      <c r="C573" s="6013">
        <f t="shared" si="8"/>
        <v>4</v>
      </c>
      <c r="D573" s="4569" t="s">
        <v>183</v>
      </c>
      <c r="E573" s="4570" t="s">
        <v>10</v>
      </c>
      <c r="F573" s="4571">
        <v>-9</v>
      </c>
      <c r="G573" s="4572" t="s">
        <v>11</v>
      </c>
      <c r="H573" s="4573">
        <v>6355.79</v>
      </c>
      <c r="I573" s="4574" t="s">
        <v>11</v>
      </c>
      <c r="J573" s="4575" t="s">
        <v>184</v>
      </c>
      <c r="K573" s="5940" t="s">
        <v>1165</v>
      </c>
      <c r="L573" s="6760" t="str">
        <f>VLOOKUP(K573,'COD.'!$A$1:$B$39,2,0)</f>
        <v xml:space="preserve">Otros Gastos Generales </v>
      </c>
    </row>
    <row r="574" spans="1:12" x14ac:dyDescent="0.2">
      <c r="A574" s="6590" t="s">
        <v>901</v>
      </c>
      <c r="B574" s="4576" t="s">
        <v>901</v>
      </c>
      <c r="C574" s="6013">
        <f t="shared" si="8"/>
        <v>4</v>
      </c>
      <c r="D574" s="4577" t="s">
        <v>101</v>
      </c>
      <c r="E574" s="4578" t="s">
        <v>10</v>
      </c>
      <c r="F574" s="4579">
        <v>-29.9</v>
      </c>
      <c r="G574" s="4580" t="s">
        <v>11</v>
      </c>
      <c r="H574" s="4581">
        <v>6364.79</v>
      </c>
      <c r="I574" s="4582" t="s">
        <v>11</v>
      </c>
      <c r="J574" s="4583" t="s">
        <v>102</v>
      </c>
      <c r="K574" s="5940" t="s">
        <v>443</v>
      </c>
      <c r="L574" s="6760" t="str">
        <f>VLOOKUP(K574,'COD.'!$A$1:$B$39,2,0)</f>
        <v xml:space="preserve">Salud y Cuidado </v>
      </c>
    </row>
    <row r="575" spans="1:12" x14ac:dyDescent="0.2">
      <c r="A575" s="6591" t="s">
        <v>901</v>
      </c>
      <c r="B575" s="4584" t="s">
        <v>901</v>
      </c>
      <c r="C575" s="6013">
        <f t="shared" si="8"/>
        <v>4</v>
      </c>
      <c r="D575" s="4585" t="s">
        <v>60</v>
      </c>
      <c r="E575" s="4586" t="s">
        <v>493</v>
      </c>
      <c r="F575" s="4587">
        <v>72</v>
      </c>
      <c r="G575" s="4588" t="s">
        <v>11</v>
      </c>
      <c r="H575" s="4589">
        <v>6394.69</v>
      </c>
      <c r="I575" s="4590" t="s">
        <v>11</v>
      </c>
      <c r="J575" s="4591" t="s">
        <v>494</v>
      </c>
      <c r="K575" s="5979" t="s">
        <v>1159</v>
      </c>
      <c r="L575" s="6760" t="str">
        <f>VLOOKUP(K575,'COD.'!$A$1:$B$39,2,0)</f>
        <v xml:space="preserve">Ocio y Entretenimiento </v>
      </c>
    </row>
    <row r="576" spans="1:12" x14ac:dyDescent="0.2">
      <c r="A576" s="6592" t="s">
        <v>901</v>
      </c>
      <c r="B576" s="4592" t="s">
        <v>901</v>
      </c>
      <c r="C576" s="6013">
        <f t="shared" si="8"/>
        <v>4</v>
      </c>
      <c r="D576" s="4593" t="s">
        <v>194</v>
      </c>
      <c r="E576" s="4594" t="s">
        <v>903</v>
      </c>
      <c r="F576" s="4595">
        <v>-50</v>
      </c>
      <c r="G576" s="4596" t="s">
        <v>11</v>
      </c>
      <c r="H576" s="4597">
        <v>6322.69</v>
      </c>
      <c r="I576" s="4598" t="s">
        <v>11</v>
      </c>
      <c r="J576" s="4599" t="s">
        <v>904</v>
      </c>
      <c r="K576" s="5940" t="s">
        <v>1154</v>
      </c>
      <c r="L576" s="6760" t="str">
        <f>VLOOKUP(K576,'COD.'!$A$1:$B$39,2,0)</f>
        <v xml:space="preserve">Vivienda y Préstamos </v>
      </c>
    </row>
    <row r="577" spans="1:12" x14ac:dyDescent="0.2">
      <c r="A577" s="6593" t="s">
        <v>901</v>
      </c>
      <c r="B577" s="4600" t="s">
        <v>901</v>
      </c>
      <c r="C577" s="6013">
        <f t="shared" si="8"/>
        <v>4</v>
      </c>
      <c r="D577" s="4601" t="s">
        <v>197</v>
      </c>
      <c r="E577" s="4602" t="s">
        <v>905</v>
      </c>
      <c r="F577" s="4603">
        <v>-65</v>
      </c>
      <c r="G577" s="4604" t="s">
        <v>11</v>
      </c>
      <c r="H577" s="4605">
        <v>6372.69</v>
      </c>
      <c r="I577" s="4606" t="s">
        <v>11</v>
      </c>
      <c r="J577" s="4607" t="s">
        <v>906</v>
      </c>
      <c r="K577" s="5940" t="s">
        <v>1155</v>
      </c>
      <c r="L577" s="6760" t="str">
        <f>VLOOKUP(K577,'COD.'!$A$1:$B$39,2,0)</f>
        <v xml:space="preserve">Ocio y Entretenimiento </v>
      </c>
    </row>
    <row r="578" spans="1:12" x14ac:dyDescent="0.2">
      <c r="A578" s="6594" t="s">
        <v>901</v>
      </c>
      <c r="B578" s="4608" t="s">
        <v>901</v>
      </c>
      <c r="C578" s="6013">
        <f t="shared" si="8"/>
        <v>4</v>
      </c>
      <c r="D578" s="4609" t="s">
        <v>191</v>
      </c>
      <c r="E578" s="4610" t="s">
        <v>192</v>
      </c>
      <c r="F578" s="4611">
        <v>-30</v>
      </c>
      <c r="G578" s="4612" t="s">
        <v>11</v>
      </c>
      <c r="H578" s="4613">
        <v>6437.69</v>
      </c>
      <c r="I578" s="4614" t="s">
        <v>11</v>
      </c>
      <c r="J578" s="4615" t="s">
        <v>193</v>
      </c>
      <c r="K578" s="5940" t="s">
        <v>1168</v>
      </c>
      <c r="L578" s="6760" t="str">
        <f>VLOOKUP(K578,'COD.'!$A$1:$B$39,2,0)</f>
        <v>Moto</v>
      </c>
    </row>
    <row r="579" spans="1:12" x14ac:dyDescent="0.2">
      <c r="A579" s="6595" t="s">
        <v>907</v>
      </c>
      <c r="B579" s="4616" t="s">
        <v>908</v>
      </c>
      <c r="C579" s="6013">
        <f t="shared" ref="C579:C642" si="9">MONTH(A579)</f>
        <v>3</v>
      </c>
      <c r="D579" s="4617" t="s">
        <v>14</v>
      </c>
      <c r="E579" s="4618" t="s">
        <v>10</v>
      </c>
      <c r="F579" s="4619">
        <v>-9.99</v>
      </c>
      <c r="G579" s="4620" t="s">
        <v>11</v>
      </c>
      <c r="H579" s="4621">
        <v>6467.69</v>
      </c>
      <c r="I579" s="4622" t="s">
        <v>11</v>
      </c>
      <c r="J579" s="4623" t="s">
        <v>909</v>
      </c>
      <c r="K579" s="6010" t="s">
        <v>1178</v>
      </c>
      <c r="L579" s="6760" t="str">
        <f>VLOOKUP(K579,'COD.'!$A$1:$B$39,2,0)</f>
        <v xml:space="preserve">Ocio y Entretenimiento </v>
      </c>
    </row>
    <row r="580" spans="1:12" x14ac:dyDescent="0.2">
      <c r="A580" s="6596" t="s">
        <v>908</v>
      </c>
      <c r="B580" s="4624" t="s">
        <v>908</v>
      </c>
      <c r="C580" s="6013">
        <f t="shared" si="9"/>
        <v>3</v>
      </c>
      <c r="D580" s="4625" t="s">
        <v>19</v>
      </c>
      <c r="E580" s="4626" t="s">
        <v>20</v>
      </c>
      <c r="F580" s="4627">
        <v>-431.17</v>
      </c>
      <c r="G580" s="4628" t="s">
        <v>11</v>
      </c>
      <c r="H580" s="4629">
        <v>6477.68</v>
      </c>
      <c r="I580" s="4630" t="s">
        <v>11</v>
      </c>
      <c r="J580" s="4631" t="s">
        <v>21</v>
      </c>
      <c r="K580" s="5942" t="s">
        <v>1170</v>
      </c>
      <c r="L580" s="6760" t="str">
        <f>VLOOKUP(K580,'COD.'!$A$1:$B$39,2,0)</f>
        <v xml:space="preserve">Vivienda y Préstamos </v>
      </c>
    </row>
    <row r="581" spans="1:12" x14ac:dyDescent="0.2">
      <c r="A581" s="6597" t="s">
        <v>910</v>
      </c>
      <c r="B581" s="4632" t="s">
        <v>910</v>
      </c>
      <c r="C581" s="6013">
        <f t="shared" si="9"/>
        <v>3</v>
      </c>
      <c r="D581" s="4633" t="s">
        <v>16</v>
      </c>
      <c r="E581" s="4634" t="s">
        <v>911</v>
      </c>
      <c r="F581" s="4635">
        <v>-93.59</v>
      </c>
      <c r="G581" s="4636" t="s">
        <v>11</v>
      </c>
      <c r="H581" s="4637">
        <v>6908.85</v>
      </c>
      <c r="I581" s="4638" t="s">
        <v>11</v>
      </c>
      <c r="J581" s="4639" t="s">
        <v>912</v>
      </c>
      <c r="K581" s="5941" t="s">
        <v>1188</v>
      </c>
      <c r="L581" s="6760" t="str">
        <f>VLOOKUP(K581,'COD.'!$A$1:$B$39,2,0)</f>
        <v xml:space="preserve">Suministros </v>
      </c>
    </row>
    <row r="582" spans="1:12" x14ac:dyDescent="0.2">
      <c r="A582" s="6598" t="s">
        <v>910</v>
      </c>
      <c r="B582" s="4640" t="s">
        <v>910</v>
      </c>
      <c r="C582" s="6013">
        <f t="shared" si="9"/>
        <v>3</v>
      </c>
      <c r="D582" s="4641" t="s">
        <v>913</v>
      </c>
      <c r="E582" s="4642" t="s">
        <v>10</v>
      </c>
      <c r="F582" s="4643">
        <v>-4.45</v>
      </c>
      <c r="G582" s="4644" t="s">
        <v>11</v>
      </c>
      <c r="H582" s="4645">
        <v>7002.44</v>
      </c>
      <c r="I582" s="4646" t="s">
        <v>11</v>
      </c>
      <c r="J582" s="4647" t="s">
        <v>914</v>
      </c>
      <c r="K582" s="5940" t="s">
        <v>1145</v>
      </c>
      <c r="L582" s="6760" t="str">
        <f>VLOOKUP(K582,'COD.'!$A$1:$B$39,2,0)</f>
        <v xml:space="preserve">Ocio y Entretenimiento </v>
      </c>
    </row>
    <row r="583" spans="1:12" x14ac:dyDescent="0.2">
      <c r="A583" s="6599" t="s">
        <v>915</v>
      </c>
      <c r="B583" s="4648" t="s">
        <v>915</v>
      </c>
      <c r="C583" s="6013">
        <f t="shared" si="9"/>
        <v>3</v>
      </c>
      <c r="D583" s="4649" t="s">
        <v>235</v>
      </c>
      <c r="E583" s="4650" t="s">
        <v>10</v>
      </c>
      <c r="F583" s="4651">
        <v>-72.17</v>
      </c>
      <c r="G583" s="4652" t="s">
        <v>11</v>
      </c>
      <c r="H583" s="4653">
        <v>7006.89</v>
      </c>
      <c r="I583" s="4654" t="s">
        <v>11</v>
      </c>
      <c r="J583" s="4655" t="s">
        <v>236</v>
      </c>
      <c r="K583" s="5940" t="s">
        <v>1146</v>
      </c>
      <c r="L583" s="6760" t="str">
        <f>VLOOKUP(K583,'COD.'!$A$1:$B$39,2,0)</f>
        <v xml:space="preserve">Supermercado </v>
      </c>
    </row>
    <row r="584" spans="1:12" x14ac:dyDescent="0.2">
      <c r="A584" s="6600" t="s">
        <v>915</v>
      </c>
      <c r="B584" s="4656" t="s">
        <v>915</v>
      </c>
      <c r="C584" s="6013">
        <f t="shared" si="9"/>
        <v>3</v>
      </c>
      <c r="D584" s="4657" t="s">
        <v>60</v>
      </c>
      <c r="E584" s="4658" t="s">
        <v>432</v>
      </c>
      <c r="F584" s="4659">
        <v>79</v>
      </c>
      <c r="G584" s="4660" t="s">
        <v>11</v>
      </c>
      <c r="H584" s="4661">
        <v>7079.06</v>
      </c>
      <c r="I584" s="4662" t="s">
        <v>11</v>
      </c>
      <c r="J584" s="4663" t="s">
        <v>433</v>
      </c>
      <c r="K584" s="5982" t="s">
        <v>60</v>
      </c>
      <c r="L584" s="6760" t="str">
        <f>VLOOKUP(K584,'COD.'!$A$1:$B$39,2,0)</f>
        <v xml:space="preserve">Transferencias y Efectivo </v>
      </c>
    </row>
    <row r="585" spans="1:12" x14ac:dyDescent="0.2">
      <c r="A585" s="6601" t="s">
        <v>915</v>
      </c>
      <c r="B585" s="4664" t="s">
        <v>915</v>
      </c>
      <c r="C585" s="6013">
        <f t="shared" si="9"/>
        <v>3</v>
      </c>
      <c r="D585" s="4665" t="s">
        <v>60</v>
      </c>
      <c r="E585" s="4666" t="s">
        <v>916</v>
      </c>
      <c r="F585" s="4667">
        <v>-158</v>
      </c>
      <c r="G585" s="4668" t="s">
        <v>11</v>
      </c>
      <c r="H585" s="4669">
        <v>7000.06</v>
      </c>
      <c r="I585" s="4670" t="s">
        <v>11</v>
      </c>
      <c r="J585" s="4671" t="s">
        <v>917</v>
      </c>
      <c r="K585" s="5982" t="s">
        <v>60</v>
      </c>
      <c r="L585" s="6760" t="str">
        <f>VLOOKUP(K585,'COD.'!$A$1:$B$39,2,0)</f>
        <v xml:space="preserve">Transferencias y Efectivo </v>
      </c>
    </row>
    <row r="586" spans="1:12" x14ac:dyDescent="0.2">
      <c r="A586" s="6602" t="s">
        <v>915</v>
      </c>
      <c r="B586" s="4672" t="s">
        <v>915</v>
      </c>
      <c r="C586" s="6013">
        <f t="shared" si="9"/>
        <v>3</v>
      </c>
      <c r="D586" s="4673" t="s">
        <v>29</v>
      </c>
      <c r="E586" s="4674" t="s">
        <v>30</v>
      </c>
      <c r="F586" s="4675">
        <v>1867.53</v>
      </c>
      <c r="G586" s="4676" t="s">
        <v>11</v>
      </c>
      <c r="H586" s="4677">
        <v>7158.06</v>
      </c>
      <c r="I586" s="4678" t="s">
        <v>11</v>
      </c>
      <c r="J586" s="4679" t="s">
        <v>30</v>
      </c>
      <c r="K586" s="6005" t="s">
        <v>1144</v>
      </c>
      <c r="L586" s="6760" t="str">
        <f>VLOOKUP(K586,'COD.'!$A$1:$B$39,2,0)</f>
        <v xml:space="preserve">Transferencias y Efectivo </v>
      </c>
    </row>
    <row r="587" spans="1:12" x14ac:dyDescent="0.2">
      <c r="A587" s="6603" t="s">
        <v>918</v>
      </c>
      <c r="B587" s="4680" t="s">
        <v>918</v>
      </c>
      <c r="C587" s="6013">
        <f t="shared" si="9"/>
        <v>3</v>
      </c>
      <c r="D587" s="4681" t="s">
        <v>9</v>
      </c>
      <c r="E587" s="4682" t="s">
        <v>10</v>
      </c>
      <c r="F587" s="4683">
        <v>-6.86</v>
      </c>
      <c r="G587" s="4684" t="s">
        <v>11</v>
      </c>
      <c r="H587" s="4685">
        <v>5290.53</v>
      </c>
      <c r="I587" s="4686" t="s">
        <v>11</v>
      </c>
      <c r="J587" s="4687" t="s">
        <v>12</v>
      </c>
      <c r="K587" s="5940" t="s">
        <v>1163</v>
      </c>
      <c r="L587" s="6760" t="str">
        <f>VLOOKUP(K587,'COD.'!$A$1:$B$39,2,0)</f>
        <v xml:space="preserve">Otros Gastos Generales </v>
      </c>
    </row>
    <row r="588" spans="1:12" x14ac:dyDescent="0.2">
      <c r="A588" s="6604" t="s">
        <v>919</v>
      </c>
      <c r="B588" s="4688" t="s">
        <v>919</v>
      </c>
      <c r="C588" s="6013">
        <f t="shared" si="9"/>
        <v>3</v>
      </c>
      <c r="D588" s="4689" t="s">
        <v>920</v>
      </c>
      <c r="E588" s="4690" t="s">
        <v>10</v>
      </c>
      <c r="F588" s="4691">
        <v>-2.95</v>
      </c>
      <c r="G588" s="4692" t="s">
        <v>11</v>
      </c>
      <c r="H588" s="4693">
        <v>5297.39</v>
      </c>
      <c r="I588" s="4694" t="s">
        <v>11</v>
      </c>
      <c r="J588" s="4695" t="s">
        <v>921</v>
      </c>
      <c r="K588" s="5940" t="s">
        <v>1145</v>
      </c>
      <c r="L588" s="6760" t="str">
        <f>VLOOKUP(K588,'COD.'!$A$1:$B$39,2,0)</f>
        <v xml:space="preserve">Ocio y Entretenimiento </v>
      </c>
    </row>
    <row r="589" spans="1:12" x14ac:dyDescent="0.2">
      <c r="A589" s="6605" t="s">
        <v>919</v>
      </c>
      <c r="B589" s="4696" t="s">
        <v>919</v>
      </c>
      <c r="C589" s="6013">
        <f t="shared" si="9"/>
        <v>3</v>
      </c>
      <c r="D589" s="4697" t="s">
        <v>9</v>
      </c>
      <c r="E589" s="4698" t="s">
        <v>10</v>
      </c>
      <c r="F589" s="4699">
        <v>-6.85</v>
      </c>
      <c r="G589" s="4700" t="s">
        <v>11</v>
      </c>
      <c r="H589" s="4701">
        <v>5300.34</v>
      </c>
      <c r="I589" s="4702" t="s">
        <v>11</v>
      </c>
      <c r="J589" s="4703" t="s">
        <v>12</v>
      </c>
      <c r="K589" s="5940" t="s">
        <v>1163</v>
      </c>
      <c r="L589" s="6760" t="str">
        <f>VLOOKUP(K589,'COD.'!$A$1:$B$39,2,0)</f>
        <v xml:space="preserve">Otros Gastos Generales </v>
      </c>
    </row>
    <row r="590" spans="1:12" x14ac:dyDescent="0.2">
      <c r="A590" s="6606" t="s">
        <v>922</v>
      </c>
      <c r="B590" s="4704" t="s">
        <v>919</v>
      </c>
      <c r="C590" s="6013">
        <f t="shared" si="9"/>
        <v>3</v>
      </c>
      <c r="D590" s="4705" t="s">
        <v>923</v>
      </c>
      <c r="E590" s="4706" t="s">
        <v>10</v>
      </c>
      <c r="F590" s="4707">
        <v>-25.55</v>
      </c>
      <c r="G590" s="4708" t="s">
        <v>11</v>
      </c>
      <c r="H590" s="4709">
        <v>5307.19</v>
      </c>
      <c r="I590" s="4710" t="s">
        <v>11</v>
      </c>
      <c r="J590" s="4711" t="s">
        <v>924</v>
      </c>
      <c r="K590" s="5940" t="s">
        <v>1145</v>
      </c>
      <c r="L590" s="6760" t="str">
        <f>VLOOKUP(K590,'COD.'!$A$1:$B$39,2,0)</f>
        <v xml:space="preserve">Ocio y Entretenimiento </v>
      </c>
    </row>
    <row r="591" spans="1:12" x14ac:dyDescent="0.2">
      <c r="A591" s="6607" t="s">
        <v>922</v>
      </c>
      <c r="B591" s="4712" t="s">
        <v>919</v>
      </c>
      <c r="C591" s="6013">
        <f t="shared" si="9"/>
        <v>3</v>
      </c>
      <c r="D591" s="4713" t="s">
        <v>925</v>
      </c>
      <c r="E591" s="4714" t="s">
        <v>10</v>
      </c>
      <c r="F591" s="4715">
        <v>-10.99</v>
      </c>
      <c r="G591" s="4716" t="s">
        <v>11</v>
      </c>
      <c r="H591" s="4717">
        <v>5332.74</v>
      </c>
      <c r="I591" s="4718" t="s">
        <v>11</v>
      </c>
      <c r="J591" s="4719" t="s">
        <v>926</v>
      </c>
      <c r="K591" s="5940" t="s">
        <v>1173</v>
      </c>
      <c r="L591" s="6760" t="str">
        <f>VLOOKUP(K591,'COD.'!$A$1:$B$39,2,0)</f>
        <v xml:space="preserve">Ocio y Entretenimiento </v>
      </c>
    </row>
    <row r="592" spans="1:12" x14ac:dyDescent="0.2">
      <c r="A592" s="6608" t="s">
        <v>919</v>
      </c>
      <c r="B592" s="4720" t="s">
        <v>919</v>
      </c>
      <c r="C592" s="6013">
        <f t="shared" si="9"/>
        <v>3</v>
      </c>
      <c r="D592" s="4721" t="s">
        <v>60</v>
      </c>
      <c r="E592" s="4722" t="s">
        <v>927</v>
      </c>
      <c r="F592" s="4723">
        <v>-2.67</v>
      </c>
      <c r="G592" s="4724" t="s">
        <v>11</v>
      </c>
      <c r="H592" s="4725">
        <v>5343.73</v>
      </c>
      <c r="I592" s="4726" t="s">
        <v>11</v>
      </c>
      <c r="J592" s="4727" t="s">
        <v>928</v>
      </c>
      <c r="K592" s="5982" t="s">
        <v>60</v>
      </c>
      <c r="L592" s="6760" t="str">
        <f>VLOOKUP(K592,'COD.'!$A$1:$B$39,2,0)</f>
        <v xml:space="preserve">Transferencias y Efectivo </v>
      </c>
    </row>
    <row r="593" spans="1:12" x14ac:dyDescent="0.2">
      <c r="A593" s="6609" t="s">
        <v>929</v>
      </c>
      <c r="B593" s="4728" t="s">
        <v>929</v>
      </c>
      <c r="C593" s="6013">
        <f t="shared" si="9"/>
        <v>3</v>
      </c>
      <c r="D593" s="4729" t="s">
        <v>103</v>
      </c>
      <c r="E593" s="4730" t="s">
        <v>10</v>
      </c>
      <c r="F593" s="4731">
        <v>-27.5</v>
      </c>
      <c r="G593" s="4732" t="s">
        <v>11</v>
      </c>
      <c r="H593" s="4733">
        <v>5346.4</v>
      </c>
      <c r="I593" s="4734" t="s">
        <v>11</v>
      </c>
      <c r="J593" s="4735" t="s">
        <v>104</v>
      </c>
      <c r="K593" s="5940" t="s">
        <v>1148</v>
      </c>
      <c r="L593" s="6760" t="str">
        <f>VLOOKUP(K593,'COD.'!$A$1:$B$39,2,0)</f>
        <v xml:space="preserve">Supermercado </v>
      </c>
    </row>
    <row r="594" spans="1:12" x14ac:dyDescent="0.2">
      <c r="A594" s="6610" t="s">
        <v>930</v>
      </c>
      <c r="B594" s="4736" t="s">
        <v>929</v>
      </c>
      <c r="C594" s="6013">
        <f t="shared" si="9"/>
        <v>3</v>
      </c>
      <c r="D594" s="4737" t="s">
        <v>931</v>
      </c>
      <c r="E594" s="4738" t="s">
        <v>10</v>
      </c>
      <c r="F594" s="4739">
        <v>-51.5</v>
      </c>
      <c r="G594" s="4740" t="s">
        <v>11</v>
      </c>
      <c r="H594" s="4741">
        <v>5373.9</v>
      </c>
      <c r="I594" s="4742" t="s">
        <v>11</v>
      </c>
      <c r="J594" s="4743" t="s">
        <v>932</v>
      </c>
      <c r="K594" s="5940" t="s">
        <v>1149</v>
      </c>
      <c r="L594" s="6760" t="str">
        <f>VLOOKUP(K594,'COD.'!$A$1:$B$39,2,0)</f>
        <v xml:space="preserve">Ocio y Entretenimiento </v>
      </c>
    </row>
    <row r="595" spans="1:12" x14ac:dyDescent="0.2">
      <c r="A595" s="6611" t="s">
        <v>929</v>
      </c>
      <c r="B595" s="4744" t="s">
        <v>929</v>
      </c>
      <c r="C595" s="6013">
        <f t="shared" si="9"/>
        <v>3</v>
      </c>
      <c r="D595" s="4745" t="s">
        <v>654</v>
      </c>
      <c r="E595" s="4746" t="s">
        <v>10</v>
      </c>
      <c r="F595" s="4747">
        <v>-10.47</v>
      </c>
      <c r="G595" s="4748" t="s">
        <v>11</v>
      </c>
      <c r="H595" s="4749">
        <v>5425.4</v>
      </c>
      <c r="I595" s="4750" t="s">
        <v>11</v>
      </c>
      <c r="J595" s="4751" t="s">
        <v>655</v>
      </c>
      <c r="K595" s="5940" t="s">
        <v>1148</v>
      </c>
      <c r="L595" s="6760" t="str">
        <f>VLOOKUP(K595,'COD.'!$A$1:$B$39,2,0)</f>
        <v xml:space="preserve">Supermercado </v>
      </c>
    </row>
    <row r="596" spans="1:12" x14ac:dyDescent="0.2">
      <c r="A596" s="6612" t="s">
        <v>922</v>
      </c>
      <c r="B596" s="4752" t="s">
        <v>929</v>
      </c>
      <c r="C596" s="6013">
        <f t="shared" si="9"/>
        <v>3</v>
      </c>
      <c r="D596" s="4753" t="s">
        <v>60</v>
      </c>
      <c r="E596" s="4754" t="s">
        <v>933</v>
      </c>
      <c r="F596" s="4755">
        <v>-100</v>
      </c>
      <c r="G596" s="4756" t="s">
        <v>11</v>
      </c>
      <c r="H596" s="4757">
        <v>5435.87</v>
      </c>
      <c r="I596" s="4758" t="s">
        <v>11</v>
      </c>
      <c r="J596" s="4759" t="s">
        <v>934</v>
      </c>
      <c r="K596" s="5982" t="s">
        <v>60</v>
      </c>
      <c r="L596" s="6760" t="str">
        <f>VLOOKUP(K596,'COD.'!$A$1:$B$39,2,0)</f>
        <v xml:space="preserve">Transferencias y Efectivo </v>
      </c>
    </row>
    <row r="597" spans="1:12" x14ac:dyDescent="0.2">
      <c r="A597" s="6613" t="s">
        <v>935</v>
      </c>
      <c r="B597" s="4760" t="s">
        <v>929</v>
      </c>
      <c r="C597" s="6013">
        <f t="shared" si="9"/>
        <v>3</v>
      </c>
      <c r="D597" s="4761" t="s">
        <v>56</v>
      </c>
      <c r="E597" s="4762" t="s">
        <v>10</v>
      </c>
      <c r="F597" s="4763">
        <v>-48.9</v>
      </c>
      <c r="G597" s="4764" t="s">
        <v>11</v>
      </c>
      <c r="H597" s="4765">
        <v>5535.87</v>
      </c>
      <c r="I597" s="4766" t="s">
        <v>11</v>
      </c>
      <c r="J597" s="4767" t="s">
        <v>57</v>
      </c>
      <c r="K597" s="5940" t="s">
        <v>1145</v>
      </c>
      <c r="L597" s="6760" t="str">
        <f>VLOOKUP(K597,'COD.'!$A$1:$B$39,2,0)</f>
        <v xml:space="preserve">Ocio y Entretenimiento </v>
      </c>
    </row>
    <row r="598" spans="1:12" x14ac:dyDescent="0.2">
      <c r="A598" s="6614" t="s">
        <v>936</v>
      </c>
      <c r="B598" s="4768" t="s">
        <v>936</v>
      </c>
      <c r="C598" s="6013">
        <f t="shared" si="9"/>
        <v>3</v>
      </c>
      <c r="D598" s="4769" t="s">
        <v>937</v>
      </c>
      <c r="E598" s="4770" t="s">
        <v>10</v>
      </c>
      <c r="F598" s="4771">
        <v>-21.29</v>
      </c>
      <c r="G598" s="4772" t="s">
        <v>11</v>
      </c>
      <c r="H598" s="4773">
        <v>5584.77</v>
      </c>
      <c r="I598" s="4774" t="s">
        <v>11</v>
      </c>
      <c r="J598" s="4775" t="s">
        <v>938</v>
      </c>
      <c r="K598" s="5940" t="s">
        <v>1164</v>
      </c>
      <c r="L598" s="6760" t="str">
        <f>VLOOKUP(K598,'COD.'!$A$1:$B$39,2,0)</f>
        <v>Moto</v>
      </c>
    </row>
    <row r="599" spans="1:12" x14ac:dyDescent="0.2">
      <c r="A599" s="6615" t="s">
        <v>930</v>
      </c>
      <c r="B599" s="4776" t="s">
        <v>930</v>
      </c>
      <c r="C599" s="6013">
        <f t="shared" si="9"/>
        <v>3</v>
      </c>
      <c r="D599" s="4777" t="s">
        <v>443</v>
      </c>
      <c r="E599" s="4778" t="s">
        <v>10</v>
      </c>
      <c r="F599" s="4779">
        <v>-15.7</v>
      </c>
      <c r="G599" s="4780" t="s">
        <v>11</v>
      </c>
      <c r="H599" s="4781">
        <v>5606.06</v>
      </c>
      <c r="I599" s="4782" t="s">
        <v>11</v>
      </c>
      <c r="J599" s="4783" t="s">
        <v>444</v>
      </c>
      <c r="K599" s="5940" t="s">
        <v>443</v>
      </c>
      <c r="L599" s="6760" t="str">
        <f>VLOOKUP(K599,'COD.'!$A$1:$B$39,2,0)</f>
        <v xml:space="preserve">Salud y Cuidado </v>
      </c>
    </row>
    <row r="600" spans="1:12" x14ac:dyDescent="0.2">
      <c r="A600" s="6616" t="s">
        <v>939</v>
      </c>
      <c r="B600" s="4784" t="s">
        <v>939</v>
      </c>
      <c r="C600" s="6013">
        <f t="shared" si="9"/>
        <v>3</v>
      </c>
      <c r="D600" s="4785" t="s">
        <v>174</v>
      </c>
      <c r="E600" s="4786" t="s">
        <v>10</v>
      </c>
      <c r="F600" s="4787">
        <v>-4.4000000000000004</v>
      </c>
      <c r="G600" s="4788" t="s">
        <v>11</v>
      </c>
      <c r="H600" s="4789">
        <v>5621.76</v>
      </c>
      <c r="I600" s="4790" t="s">
        <v>11</v>
      </c>
      <c r="J600" s="4791" t="s">
        <v>175</v>
      </c>
      <c r="K600" s="5940" t="s">
        <v>1145</v>
      </c>
      <c r="L600" s="6760" t="str">
        <f>VLOOKUP(K600,'COD.'!$A$1:$B$39,2,0)</f>
        <v xml:space="preserve">Ocio y Entretenimiento </v>
      </c>
    </row>
    <row r="601" spans="1:12" x14ac:dyDescent="0.2">
      <c r="A601" s="6617" t="s">
        <v>939</v>
      </c>
      <c r="B601" s="4792" t="s">
        <v>939</v>
      </c>
      <c r="C601" s="6013">
        <f t="shared" si="9"/>
        <v>3</v>
      </c>
      <c r="D601" s="4793" t="s">
        <v>940</v>
      </c>
      <c r="E601" s="4794" t="s">
        <v>10</v>
      </c>
      <c r="F601" s="4795">
        <v>-8.4</v>
      </c>
      <c r="G601" s="4796" t="s">
        <v>11</v>
      </c>
      <c r="H601" s="4797">
        <v>5626.16</v>
      </c>
      <c r="I601" s="4798" t="s">
        <v>11</v>
      </c>
      <c r="J601" s="4799" t="s">
        <v>941</v>
      </c>
      <c r="K601" s="5940" t="s">
        <v>1147</v>
      </c>
      <c r="L601" s="6760" t="str">
        <f>VLOOKUP(K601,'COD.'!$A$1:$B$39,2,0)</f>
        <v xml:space="preserve">Otros Gastos Generales </v>
      </c>
    </row>
    <row r="602" spans="1:12" x14ac:dyDescent="0.2">
      <c r="A602" s="6618" t="s">
        <v>942</v>
      </c>
      <c r="B602" s="4800" t="s">
        <v>942</v>
      </c>
      <c r="C602" s="6013">
        <f t="shared" si="9"/>
        <v>3</v>
      </c>
      <c r="D602" s="4801" t="s">
        <v>191</v>
      </c>
      <c r="E602" s="4802" t="s">
        <v>943</v>
      </c>
      <c r="F602" s="4803">
        <v>-200</v>
      </c>
      <c r="G602" s="4804" t="s">
        <v>11</v>
      </c>
      <c r="H602" s="4805">
        <v>5634.56</v>
      </c>
      <c r="I602" s="4806" t="s">
        <v>11</v>
      </c>
      <c r="J602" s="4807" t="s">
        <v>944</v>
      </c>
      <c r="K602" s="5940" t="s">
        <v>60</v>
      </c>
      <c r="L602" s="6760" t="str">
        <f>VLOOKUP(K602,'COD.'!$A$1:$B$39,2,0)</f>
        <v xml:space="preserve">Transferencias y Efectivo </v>
      </c>
    </row>
    <row r="603" spans="1:12" x14ac:dyDescent="0.2">
      <c r="A603" s="6619" t="s">
        <v>945</v>
      </c>
      <c r="B603" s="4808" t="s">
        <v>946</v>
      </c>
      <c r="C603" s="6013">
        <f t="shared" si="9"/>
        <v>3</v>
      </c>
      <c r="D603" s="4809" t="s">
        <v>947</v>
      </c>
      <c r="E603" s="4810" t="s">
        <v>10</v>
      </c>
      <c r="F603" s="4811">
        <v>-27.99</v>
      </c>
      <c r="G603" s="4812" t="s">
        <v>11</v>
      </c>
      <c r="H603" s="4813">
        <v>5834.56</v>
      </c>
      <c r="I603" s="4814" t="s">
        <v>11</v>
      </c>
      <c r="J603" s="4815" t="s">
        <v>948</v>
      </c>
      <c r="K603" s="5940" t="s">
        <v>1149</v>
      </c>
      <c r="L603" s="6760" t="str">
        <f>VLOOKUP(K603,'COD.'!$A$1:$B$39,2,0)</f>
        <v xml:space="preserve">Ocio y Entretenimiento </v>
      </c>
    </row>
    <row r="604" spans="1:12" x14ac:dyDescent="0.2">
      <c r="A604" s="6620" t="s">
        <v>949</v>
      </c>
      <c r="B604" s="4816" t="s">
        <v>946</v>
      </c>
      <c r="C604" s="6013">
        <f t="shared" si="9"/>
        <v>3</v>
      </c>
      <c r="D604" s="4817" t="s">
        <v>769</v>
      </c>
      <c r="E604" s="4818" t="s">
        <v>10</v>
      </c>
      <c r="F604" s="4819">
        <v>-2.99</v>
      </c>
      <c r="G604" s="4820" t="s">
        <v>11</v>
      </c>
      <c r="H604" s="4821">
        <v>5862.55</v>
      </c>
      <c r="I604" s="4822" t="s">
        <v>11</v>
      </c>
      <c r="J604" s="4823" t="s">
        <v>770</v>
      </c>
      <c r="K604" s="5972" t="s">
        <v>1150</v>
      </c>
      <c r="L604" s="6760" t="str">
        <f>VLOOKUP(K604,'COD.'!$A$1:$B$39,2,0)</f>
        <v xml:space="preserve">Ocio y Entretenimiento </v>
      </c>
    </row>
    <row r="605" spans="1:12" x14ac:dyDescent="0.2">
      <c r="A605" s="6621" t="s">
        <v>945</v>
      </c>
      <c r="B605" s="4824" t="s">
        <v>946</v>
      </c>
      <c r="C605" s="6013">
        <f t="shared" si="9"/>
        <v>3</v>
      </c>
      <c r="D605" s="4825" t="s">
        <v>931</v>
      </c>
      <c r="E605" s="4826" t="s">
        <v>10</v>
      </c>
      <c r="F605" s="4827">
        <v>-22.99</v>
      </c>
      <c r="G605" s="4828" t="s">
        <v>11</v>
      </c>
      <c r="H605" s="4829">
        <v>5865.54</v>
      </c>
      <c r="I605" s="4830" t="s">
        <v>11</v>
      </c>
      <c r="J605" s="4831" t="s">
        <v>932</v>
      </c>
      <c r="K605" s="5940" t="s">
        <v>1149</v>
      </c>
      <c r="L605" s="6760" t="str">
        <f>VLOOKUP(K605,'COD.'!$A$1:$B$39,2,0)</f>
        <v xml:space="preserve">Ocio y Entretenimiento </v>
      </c>
    </row>
    <row r="606" spans="1:12" x14ac:dyDescent="0.2">
      <c r="A606" s="6622" t="s">
        <v>946</v>
      </c>
      <c r="B606" s="4832" t="s">
        <v>946</v>
      </c>
      <c r="C606" s="6013">
        <f t="shared" si="9"/>
        <v>3</v>
      </c>
      <c r="D606" s="4833" t="s">
        <v>950</v>
      </c>
      <c r="E606" s="4834" t="s">
        <v>10</v>
      </c>
      <c r="F606" s="4835">
        <v>-1.95</v>
      </c>
      <c r="G606" s="4836" t="s">
        <v>11</v>
      </c>
      <c r="H606" s="4837">
        <v>5888.53</v>
      </c>
      <c r="I606" s="4838" t="s">
        <v>11</v>
      </c>
      <c r="J606" s="4839" t="s">
        <v>951</v>
      </c>
      <c r="K606" s="5940" t="s">
        <v>1145</v>
      </c>
      <c r="L606" s="6760" t="str">
        <f>VLOOKUP(K606,'COD.'!$A$1:$B$39,2,0)</f>
        <v xml:space="preserve">Ocio y Entretenimiento </v>
      </c>
    </row>
    <row r="607" spans="1:12" x14ac:dyDescent="0.2">
      <c r="A607" s="6623" t="s">
        <v>952</v>
      </c>
      <c r="B607" s="4840" t="s">
        <v>946</v>
      </c>
      <c r="C607" s="6013">
        <f t="shared" si="9"/>
        <v>3</v>
      </c>
      <c r="D607" s="4841" t="s">
        <v>39</v>
      </c>
      <c r="E607" s="4842" t="s">
        <v>10</v>
      </c>
      <c r="F607" s="4843">
        <v>-24.95</v>
      </c>
      <c r="G607" s="4844" t="s">
        <v>11</v>
      </c>
      <c r="H607" s="4845">
        <v>5890.48</v>
      </c>
      <c r="I607" s="4846" t="s">
        <v>11</v>
      </c>
      <c r="J607" s="4847" t="s">
        <v>111</v>
      </c>
      <c r="K607" s="5940" t="s">
        <v>443</v>
      </c>
      <c r="L607" s="6760" t="str">
        <f>VLOOKUP(K607,'COD.'!$A$1:$B$39,2,0)</f>
        <v xml:space="preserve">Salud y Cuidado </v>
      </c>
    </row>
    <row r="608" spans="1:12" x14ac:dyDescent="0.2">
      <c r="A608" s="6624" t="s">
        <v>952</v>
      </c>
      <c r="B608" s="4848" t="s">
        <v>946</v>
      </c>
      <c r="C608" s="6013">
        <f t="shared" si="9"/>
        <v>3</v>
      </c>
      <c r="D608" s="4849" t="s">
        <v>174</v>
      </c>
      <c r="E608" s="4850" t="s">
        <v>10</v>
      </c>
      <c r="F608" s="4851">
        <v>-1.64</v>
      </c>
      <c r="G608" s="4852" t="s">
        <v>11</v>
      </c>
      <c r="H608" s="4853">
        <v>5915.43</v>
      </c>
      <c r="I608" s="4854" t="s">
        <v>11</v>
      </c>
      <c r="J608" s="4855" t="s">
        <v>175</v>
      </c>
      <c r="K608" s="5940" t="s">
        <v>1145</v>
      </c>
      <c r="L608" s="6760" t="str">
        <f>VLOOKUP(K608,'COD.'!$A$1:$B$39,2,0)</f>
        <v xml:space="preserve">Ocio y Entretenimiento </v>
      </c>
    </row>
    <row r="609" spans="1:12" x14ac:dyDescent="0.2">
      <c r="A609" s="6625" t="s">
        <v>945</v>
      </c>
      <c r="B609" s="4856" t="s">
        <v>946</v>
      </c>
      <c r="C609" s="6013">
        <f t="shared" si="9"/>
        <v>3</v>
      </c>
      <c r="D609" s="4857" t="s">
        <v>953</v>
      </c>
      <c r="E609" s="4858" t="s">
        <v>10</v>
      </c>
      <c r="F609" s="4859">
        <v>-1.25</v>
      </c>
      <c r="G609" s="4860" t="s">
        <v>11</v>
      </c>
      <c r="H609" s="4861">
        <v>5917.07</v>
      </c>
      <c r="I609" s="4862" t="s">
        <v>11</v>
      </c>
      <c r="J609" s="4863" t="s">
        <v>954</v>
      </c>
      <c r="K609" s="5940" t="s">
        <v>1145</v>
      </c>
      <c r="L609" s="6760" t="str">
        <f>VLOOKUP(K609,'COD.'!$A$1:$B$39,2,0)</f>
        <v xml:space="preserve">Ocio y Entretenimiento </v>
      </c>
    </row>
    <row r="610" spans="1:12" x14ac:dyDescent="0.2">
      <c r="A610" s="6626" t="s">
        <v>955</v>
      </c>
      <c r="B610" s="4864" t="s">
        <v>956</v>
      </c>
      <c r="C610" s="6013">
        <f t="shared" si="9"/>
        <v>3</v>
      </c>
      <c r="D610" s="4865" t="s">
        <v>957</v>
      </c>
      <c r="E610" s="4866" t="s">
        <v>10</v>
      </c>
      <c r="F610" s="4867">
        <v>-42.49</v>
      </c>
      <c r="G610" s="4868" t="s">
        <v>11</v>
      </c>
      <c r="H610" s="4869">
        <v>5918.32</v>
      </c>
      <c r="I610" s="4870" t="s">
        <v>11</v>
      </c>
      <c r="J610" s="4871" t="s">
        <v>958</v>
      </c>
      <c r="K610" s="5940" t="s">
        <v>1149</v>
      </c>
      <c r="L610" s="6760" t="str">
        <f>VLOOKUP(K610,'COD.'!$A$1:$B$39,2,0)</f>
        <v xml:space="preserve">Ocio y Entretenimiento </v>
      </c>
    </row>
    <row r="611" spans="1:12" x14ac:dyDescent="0.2">
      <c r="A611" s="6627" t="s">
        <v>959</v>
      </c>
      <c r="B611" s="4872" t="s">
        <v>959</v>
      </c>
      <c r="C611" s="6013">
        <f t="shared" si="9"/>
        <v>3</v>
      </c>
      <c r="D611" s="4873" t="s">
        <v>103</v>
      </c>
      <c r="E611" s="4874" t="s">
        <v>10</v>
      </c>
      <c r="F611" s="4875">
        <v>-55.48</v>
      </c>
      <c r="G611" s="4876" t="s">
        <v>11</v>
      </c>
      <c r="H611" s="4877">
        <v>5960.81</v>
      </c>
      <c r="I611" s="4878" t="s">
        <v>11</v>
      </c>
      <c r="J611" s="4879" t="s">
        <v>104</v>
      </c>
      <c r="K611" s="5940" t="s">
        <v>1148</v>
      </c>
      <c r="L611" s="6760" t="str">
        <f>VLOOKUP(K611,'COD.'!$A$1:$B$39,2,0)</f>
        <v xml:space="preserve">Supermercado </v>
      </c>
    </row>
    <row r="612" spans="1:12" x14ac:dyDescent="0.2">
      <c r="A612" s="6628" t="s">
        <v>959</v>
      </c>
      <c r="B612" s="4880" t="s">
        <v>959</v>
      </c>
      <c r="C612" s="6013">
        <f t="shared" si="9"/>
        <v>3</v>
      </c>
      <c r="D612" s="4881" t="s">
        <v>60</v>
      </c>
      <c r="E612" s="4882" t="s">
        <v>493</v>
      </c>
      <c r="F612" s="4883">
        <v>72</v>
      </c>
      <c r="G612" s="4884" t="s">
        <v>11</v>
      </c>
      <c r="H612" s="4885">
        <v>6016.29</v>
      </c>
      <c r="I612" s="4886" t="s">
        <v>11</v>
      </c>
      <c r="J612" s="4887" t="s">
        <v>960</v>
      </c>
      <c r="K612" s="5979" t="s">
        <v>1159</v>
      </c>
      <c r="L612" s="6760" t="str">
        <f>VLOOKUP(K612,'COD.'!$A$1:$B$39,2,0)</f>
        <v xml:space="preserve">Ocio y Entretenimiento </v>
      </c>
    </row>
    <row r="613" spans="1:12" x14ac:dyDescent="0.2">
      <c r="A613" s="6629" t="s">
        <v>955</v>
      </c>
      <c r="B613" s="4888" t="s">
        <v>959</v>
      </c>
      <c r="C613" s="6013">
        <f t="shared" si="9"/>
        <v>3</v>
      </c>
      <c r="D613" s="4889" t="s">
        <v>166</v>
      </c>
      <c r="E613" s="4890" t="s">
        <v>164</v>
      </c>
      <c r="F613" s="4891">
        <v>-10</v>
      </c>
      <c r="G613" s="4892" t="s">
        <v>11</v>
      </c>
      <c r="H613" s="4893">
        <v>5944.29</v>
      </c>
      <c r="I613" s="4894" t="s">
        <v>11</v>
      </c>
      <c r="J613" s="4895" t="s">
        <v>167</v>
      </c>
      <c r="K613" s="5977" t="s">
        <v>1166</v>
      </c>
      <c r="L613" s="6760" t="str">
        <f>VLOOKUP(K613,'COD.'!$A$1:$B$39,2,0)</f>
        <v xml:space="preserve">Ocio y Entretenimiento </v>
      </c>
    </row>
    <row r="614" spans="1:12" x14ac:dyDescent="0.2">
      <c r="A614" s="6630" t="s">
        <v>961</v>
      </c>
      <c r="B614" s="4896" t="s">
        <v>961</v>
      </c>
      <c r="C614" s="6013">
        <f t="shared" si="9"/>
        <v>3</v>
      </c>
      <c r="D614" s="4897" t="s">
        <v>147</v>
      </c>
      <c r="E614" s="4898" t="s">
        <v>962</v>
      </c>
      <c r="F614" s="4899">
        <v>-78.2</v>
      </c>
      <c r="G614" s="4900" t="s">
        <v>11</v>
      </c>
      <c r="H614" s="4901">
        <v>5954.29</v>
      </c>
      <c r="I614" s="4902" t="s">
        <v>11</v>
      </c>
      <c r="J614" s="4903" t="s">
        <v>963</v>
      </c>
      <c r="K614" s="5940" t="s">
        <v>1152</v>
      </c>
      <c r="L614" s="6760" t="str">
        <f>VLOOKUP(K614,'COD.'!$A$1:$B$39,2,0)</f>
        <v xml:space="preserve">Suministros </v>
      </c>
    </row>
    <row r="615" spans="1:12" x14ac:dyDescent="0.2">
      <c r="A615" s="6631" t="s">
        <v>964</v>
      </c>
      <c r="B615" s="4904" t="s">
        <v>961</v>
      </c>
      <c r="C615" s="6013">
        <f t="shared" si="9"/>
        <v>3</v>
      </c>
      <c r="D615" s="4905" t="s">
        <v>965</v>
      </c>
      <c r="E615" s="4906" t="s">
        <v>10</v>
      </c>
      <c r="F615" s="4907">
        <v>-28</v>
      </c>
      <c r="G615" s="4908" t="s">
        <v>11</v>
      </c>
      <c r="H615" s="4909">
        <v>6032.49</v>
      </c>
      <c r="I615" s="4910" t="s">
        <v>11</v>
      </c>
      <c r="J615" s="4911" t="s">
        <v>966</v>
      </c>
      <c r="K615" s="5940" t="s">
        <v>1145</v>
      </c>
      <c r="L615" s="6760" t="str">
        <f>VLOOKUP(K615,'COD.'!$A$1:$B$39,2,0)</f>
        <v xml:space="preserve">Ocio y Entretenimiento </v>
      </c>
    </row>
    <row r="616" spans="1:12" x14ac:dyDescent="0.2">
      <c r="A616" s="6632" t="s">
        <v>964</v>
      </c>
      <c r="B616" s="4912" t="s">
        <v>961</v>
      </c>
      <c r="C616" s="6013">
        <f t="shared" si="9"/>
        <v>3</v>
      </c>
      <c r="D616" s="4913" t="s">
        <v>967</v>
      </c>
      <c r="E616" s="4914" t="s">
        <v>10</v>
      </c>
      <c r="F616" s="4915">
        <v>-16</v>
      </c>
      <c r="G616" s="4916" t="s">
        <v>11</v>
      </c>
      <c r="H616" s="4917">
        <v>6060.49</v>
      </c>
      <c r="I616" s="4918" t="s">
        <v>11</v>
      </c>
      <c r="J616" s="4919" t="s">
        <v>968</v>
      </c>
      <c r="K616" s="5940" t="s">
        <v>1145</v>
      </c>
      <c r="L616" s="6760" t="str">
        <f>VLOOKUP(K616,'COD.'!$A$1:$B$39,2,0)</f>
        <v xml:space="preserve">Ocio y Entretenimiento </v>
      </c>
    </row>
    <row r="617" spans="1:12" x14ac:dyDescent="0.2">
      <c r="A617" s="6633" t="s">
        <v>964</v>
      </c>
      <c r="B617" s="4920" t="s">
        <v>961</v>
      </c>
      <c r="C617" s="6013">
        <f t="shared" si="9"/>
        <v>3</v>
      </c>
      <c r="D617" s="4921" t="s">
        <v>410</v>
      </c>
      <c r="E617" s="4922" t="s">
        <v>10</v>
      </c>
      <c r="F617" s="4923">
        <v>-12.55</v>
      </c>
      <c r="G617" s="4924" t="s">
        <v>11</v>
      </c>
      <c r="H617" s="4925">
        <v>6076.49</v>
      </c>
      <c r="I617" s="4926" t="s">
        <v>11</v>
      </c>
      <c r="J617" s="4927" t="s">
        <v>411</v>
      </c>
      <c r="K617" s="5940" t="s">
        <v>1163</v>
      </c>
      <c r="L617" s="6760" t="str">
        <f>VLOOKUP(K617,'COD.'!$A$1:$B$39,2,0)</f>
        <v xml:space="preserve">Otros Gastos Generales </v>
      </c>
    </row>
    <row r="618" spans="1:12" x14ac:dyDescent="0.2">
      <c r="A618" s="6634" t="s">
        <v>969</v>
      </c>
      <c r="B618" s="4928" t="s">
        <v>961</v>
      </c>
      <c r="C618" s="6013">
        <f t="shared" si="9"/>
        <v>3</v>
      </c>
      <c r="D618" s="4929" t="s">
        <v>970</v>
      </c>
      <c r="E618" s="4930" t="s">
        <v>10</v>
      </c>
      <c r="F618" s="4931">
        <v>-1.6</v>
      </c>
      <c r="G618" s="4932" t="s">
        <v>11</v>
      </c>
      <c r="H618" s="4933">
        <v>6089.04</v>
      </c>
      <c r="I618" s="4934" t="s">
        <v>11</v>
      </c>
      <c r="J618" s="4935" t="s">
        <v>971</v>
      </c>
      <c r="K618" s="5940" t="s">
        <v>1145</v>
      </c>
      <c r="L618" s="6760" t="str">
        <f>VLOOKUP(K618,'COD.'!$A$1:$B$39,2,0)</f>
        <v xml:space="preserve">Ocio y Entretenimiento </v>
      </c>
    </row>
    <row r="619" spans="1:12" x14ac:dyDescent="0.2">
      <c r="A619" s="6635" t="s">
        <v>972</v>
      </c>
      <c r="B619" s="4936" t="s">
        <v>972</v>
      </c>
      <c r="C619" s="6013">
        <f t="shared" si="9"/>
        <v>3</v>
      </c>
      <c r="D619" s="4937" t="s">
        <v>235</v>
      </c>
      <c r="E619" s="4938" t="s">
        <v>10</v>
      </c>
      <c r="F619" s="4939">
        <v>-8.5</v>
      </c>
      <c r="G619" s="4940" t="s">
        <v>11</v>
      </c>
      <c r="H619" s="4941">
        <v>6090.64</v>
      </c>
      <c r="I619" s="4942" t="s">
        <v>11</v>
      </c>
      <c r="J619" s="4943" t="s">
        <v>236</v>
      </c>
      <c r="K619" s="5940" t="s">
        <v>1146</v>
      </c>
      <c r="L619" s="6760" t="str">
        <f>VLOOKUP(K619,'COD.'!$A$1:$B$39,2,0)</f>
        <v xml:space="preserve">Supermercado </v>
      </c>
    </row>
    <row r="620" spans="1:12" x14ac:dyDescent="0.2">
      <c r="A620" s="6636" t="s">
        <v>973</v>
      </c>
      <c r="B620" s="4944" t="s">
        <v>973</v>
      </c>
      <c r="C620" s="6013">
        <f t="shared" si="9"/>
        <v>3</v>
      </c>
      <c r="D620" s="4945" t="s">
        <v>60</v>
      </c>
      <c r="E620" s="4946" t="s">
        <v>974</v>
      </c>
      <c r="F620" s="4947">
        <v>40</v>
      </c>
      <c r="G620" s="4948" t="s">
        <v>11</v>
      </c>
      <c r="H620" s="4949">
        <v>6099.14</v>
      </c>
      <c r="I620" s="4950" t="s">
        <v>11</v>
      </c>
      <c r="J620" s="4951" t="s">
        <v>975</v>
      </c>
      <c r="K620" s="5984" t="s">
        <v>1152</v>
      </c>
      <c r="L620" s="6760" t="str">
        <f>VLOOKUP(K620,'COD.'!$A$1:$B$39,2,0)</f>
        <v xml:space="preserve">Suministros </v>
      </c>
    </row>
    <row r="621" spans="1:12" x14ac:dyDescent="0.2">
      <c r="A621" s="6637" t="s">
        <v>973</v>
      </c>
      <c r="B621" s="4952" t="s">
        <v>973</v>
      </c>
      <c r="C621" s="6013">
        <f t="shared" si="9"/>
        <v>3</v>
      </c>
      <c r="D621" s="4953" t="s">
        <v>16</v>
      </c>
      <c r="E621" s="4954" t="s">
        <v>976</v>
      </c>
      <c r="F621" s="4955">
        <v>-120.61</v>
      </c>
      <c r="G621" s="4956" t="s">
        <v>11</v>
      </c>
      <c r="H621" s="4957">
        <v>6059.14</v>
      </c>
      <c r="I621" s="4958" t="s">
        <v>11</v>
      </c>
      <c r="J621" s="4959" t="s">
        <v>977</v>
      </c>
      <c r="K621" s="5941" t="s">
        <v>1188</v>
      </c>
      <c r="L621" s="6760" t="str">
        <f>VLOOKUP(K621,'COD.'!$A$1:$B$39,2,0)</f>
        <v xml:space="preserve">Suministros </v>
      </c>
    </row>
    <row r="622" spans="1:12" x14ac:dyDescent="0.2">
      <c r="A622" s="6638" t="s">
        <v>973</v>
      </c>
      <c r="B622" s="4960" t="s">
        <v>973</v>
      </c>
      <c r="C622" s="6013">
        <f t="shared" si="9"/>
        <v>3</v>
      </c>
      <c r="D622" s="4961" t="s">
        <v>179</v>
      </c>
      <c r="E622" s="4962" t="s">
        <v>180</v>
      </c>
      <c r="F622" s="4963">
        <v>-83.93</v>
      </c>
      <c r="G622" s="4964" t="s">
        <v>11</v>
      </c>
      <c r="H622" s="4965">
        <v>6179.75</v>
      </c>
      <c r="I622" s="4966" t="s">
        <v>11</v>
      </c>
      <c r="J622" s="4967" t="s">
        <v>181</v>
      </c>
      <c r="K622" s="5980" t="s">
        <v>179</v>
      </c>
      <c r="L622" s="6760" t="str">
        <f>VLOOKUP(K622,'COD.'!$A$1:$B$39,2,0)</f>
        <v xml:space="preserve">Vivienda y Préstamos </v>
      </c>
    </row>
    <row r="623" spans="1:12" x14ac:dyDescent="0.2">
      <c r="A623" s="6639" t="s">
        <v>978</v>
      </c>
      <c r="B623" s="4968" t="s">
        <v>973</v>
      </c>
      <c r="C623" s="6013">
        <f t="shared" si="9"/>
        <v>3</v>
      </c>
      <c r="D623" s="4969" t="s">
        <v>163</v>
      </c>
      <c r="E623" s="4970" t="s">
        <v>164</v>
      </c>
      <c r="F623" s="4971">
        <v>-55.51</v>
      </c>
      <c r="G623" s="4972" t="s">
        <v>11</v>
      </c>
      <c r="H623" s="4973">
        <v>6263.68</v>
      </c>
      <c r="I623" s="4974" t="s">
        <v>11</v>
      </c>
      <c r="J623" s="4975" t="s">
        <v>165</v>
      </c>
      <c r="K623" s="5976" t="s">
        <v>1160</v>
      </c>
      <c r="L623" s="6760" t="str">
        <f>VLOOKUP(K623,'COD.'!$A$1:$B$39,2,0)</f>
        <v xml:space="preserve">Vivienda y Préstamos </v>
      </c>
    </row>
    <row r="624" spans="1:12" x14ac:dyDescent="0.2">
      <c r="A624" s="6640" t="s">
        <v>978</v>
      </c>
      <c r="B624" s="4976" t="s">
        <v>978</v>
      </c>
      <c r="C624" s="6013">
        <f t="shared" si="9"/>
        <v>3</v>
      </c>
      <c r="D624" s="4977" t="s">
        <v>507</v>
      </c>
      <c r="E624" s="4978" t="s">
        <v>10</v>
      </c>
      <c r="F624" s="4979">
        <v>-13.75</v>
      </c>
      <c r="G624" s="4980" t="s">
        <v>11</v>
      </c>
      <c r="H624" s="4981">
        <v>6319.19</v>
      </c>
      <c r="I624" s="4982" t="s">
        <v>11</v>
      </c>
      <c r="J624" s="4983" t="s">
        <v>508</v>
      </c>
      <c r="K624" s="5940" t="s">
        <v>1145</v>
      </c>
      <c r="L624" s="6760" t="str">
        <f>VLOOKUP(K624,'COD.'!$A$1:$B$39,2,0)</f>
        <v xml:space="preserve">Ocio y Entretenimiento </v>
      </c>
    </row>
    <row r="625" spans="1:12" x14ac:dyDescent="0.2">
      <c r="A625" s="6641" t="s">
        <v>979</v>
      </c>
      <c r="B625" s="4984" t="s">
        <v>980</v>
      </c>
      <c r="C625" s="6013">
        <f t="shared" si="9"/>
        <v>2</v>
      </c>
      <c r="D625" s="4985" t="s">
        <v>14</v>
      </c>
      <c r="E625" s="4986" t="s">
        <v>10</v>
      </c>
      <c r="F625" s="4987">
        <v>-9.99</v>
      </c>
      <c r="G625" s="4988" t="s">
        <v>11</v>
      </c>
      <c r="H625" s="4989">
        <v>6332.94</v>
      </c>
      <c r="I625" s="4990" t="s">
        <v>11</v>
      </c>
      <c r="J625" s="4991" t="s">
        <v>909</v>
      </c>
      <c r="K625" s="6010" t="s">
        <v>1178</v>
      </c>
      <c r="L625" s="6760" t="str">
        <f>VLOOKUP(K625,'COD.'!$A$1:$B$39,2,0)</f>
        <v xml:space="preserve">Ocio y Entretenimiento </v>
      </c>
    </row>
    <row r="626" spans="1:12" x14ac:dyDescent="0.2">
      <c r="A626" s="6642" t="s">
        <v>979</v>
      </c>
      <c r="B626" s="4992" t="s">
        <v>980</v>
      </c>
      <c r="C626" s="6013">
        <f t="shared" si="9"/>
        <v>2</v>
      </c>
      <c r="D626" s="4993" t="s">
        <v>981</v>
      </c>
      <c r="E626" s="4994" t="s">
        <v>10</v>
      </c>
      <c r="F626" s="4995">
        <v>-41.7</v>
      </c>
      <c r="G626" s="4996" t="s">
        <v>11</v>
      </c>
      <c r="H626" s="4997">
        <v>6342.93</v>
      </c>
      <c r="I626" s="4998" t="s">
        <v>11</v>
      </c>
      <c r="J626" s="4999" t="s">
        <v>982</v>
      </c>
      <c r="K626" s="5940" t="s">
        <v>1146</v>
      </c>
      <c r="L626" s="6760" t="str">
        <f>VLOOKUP(K626,'COD.'!$A$1:$B$39,2,0)</f>
        <v xml:space="preserve">Supermercado </v>
      </c>
    </row>
    <row r="627" spans="1:12" x14ac:dyDescent="0.2">
      <c r="A627" s="6643" t="s">
        <v>980</v>
      </c>
      <c r="B627" s="5000" t="s">
        <v>980</v>
      </c>
      <c r="C627" s="6013">
        <f t="shared" si="9"/>
        <v>3</v>
      </c>
      <c r="D627" s="5001" t="s">
        <v>191</v>
      </c>
      <c r="E627" s="5002" t="s">
        <v>192</v>
      </c>
      <c r="F627" s="5003">
        <v>-30</v>
      </c>
      <c r="G627" s="5004" t="s">
        <v>11</v>
      </c>
      <c r="H627" s="5005">
        <v>6384.63</v>
      </c>
      <c r="I627" s="5006" t="s">
        <v>11</v>
      </c>
      <c r="J627" s="5007" t="s">
        <v>193</v>
      </c>
      <c r="K627" s="5940" t="s">
        <v>1168</v>
      </c>
      <c r="L627" s="6760" t="str">
        <f>VLOOKUP(K627,'COD.'!$A$1:$B$39,2,0)</f>
        <v>Moto</v>
      </c>
    </row>
    <row r="628" spans="1:12" x14ac:dyDescent="0.2">
      <c r="A628" s="6644" t="s">
        <v>980</v>
      </c>
      <c r="B628" s="5008" t="s">
        <v>980</v>
      </c>
      <c r="C628" s="6013">
        <f t="shared" si="9"/>
        <v>3</v>
      </c>
      <c r="D628" s="5009" t="s">
        <v>194</v>
      </c>
      <c r="E628" s="5010" t="s">
        <v>983</v>
      </c>
      <c r="F628" s="5011">
        <v>-50</v>
      </c>
      <c r="G628" s="5012" t="s">
        <v>11</v>
      </c>
      <c r="H628" s="5013">
        <v>6414.63</v>
      </c>
      <c r="I628" s="5014" t="s">
        <v>11</v>
      </c>
      <c r="J628" s="5015" t="s">
        <v>984</v>
      </c>
      <c r="K628" s="5940" t="s">
        <v>1154</v>
      </c>
      <c r="L628" s="6760" t="str">
        <f>VLOOKUP(K628,'COD.'!$A$1:$B$39,2,0)</f>
        <v xml:space="preserve">Vivienda y Préstamos </v>
      </c>
    </row>
    <row r="629" spans="1:12" x14ac:dyDescent="0.2">
      <c r="A629" s="6645" t="s">
        <v>980</v>
      </c>
      <c r="B629" s="5016" t="s">
        <v>980</v>
      </c>
      <c r="C629" s="6013">
        <f t="shared" si="9"/>
        <v>3</v>
      </c>
      <c r="D629" s="5017" t="s">
        <v>197</v>
      </c>
      <c r="E629" s="5018" t="s">
        <v>985</v>
      </c>
      <c r="F629" s="5019">
        <v>-65</v>
      </c>
      <c r="G629" s="5020" t="s">
        <v>11</v>
      </c>
      <c r="H629" s="5021">
        <v>6464.63</v>
      </c>
      <c r="I629" s="5022" t="s">
        <v>11</v>
      </c>
      <c r="J629" s="5023" t="s">
        <v>986</v>
      </c>
      <c r="K629" s="5940" t="s">
        <v>1155</v>
      </c>
      <c r="L629" s="6760" t="str">
        <f>VLOOKUP(K629,'COD.'!$A$1:$B$39,2,0)</f>
        <v xml:space="preserve">Ocio y Entretenimiento </v>
      </c>
    </row>
    <row r="630" spans="1:12" x14ac:dyDescent="0.2">
      <c r="A630" s="6646" t="s">
        <v>980</v>
      </c>
      <c r="B630" s="5024" t="s">
        <v>980</v>
      </c>
      <c r="C630" s="6013">
        <f t="shared" si="9"/>
        <v>3</v>
      </c>
      <c r="D630" s="5025" t="s">
        <v>329</v>
      </c>
      <c r="E630" s="5026" t="s">
        <v>987</v>
      </c>
      <c r="F630" s="5027">
        <v>-56.43</v>
      </c>
      <c r="G630" s="5028" t="s">
        <v>11</v>
      </c>
      <c r="H630" s="5029">
        <v>6529.63</v>
      </c>
      <c r="I630" s="5030" t="s">
        <v>11</v>
      </c>
      <c r="J630" s="5031" t="s">
        <v>988</v>
      </c>
      <c r="K630" s="5985" t="s">
        <v>1153</v>
      </c>
      <c r="L630" s="6760" t="str">
        <f>VLOOKUP(K630,'COD.'!$A$1:$B$39,2,0)</f>
        <v xml:space="preserve">Vivienda y Préstamos </v>
      </c>
    </row>
    <row r="631" spans="1:12" x14ac:dyDescent="0.2">
      <c r="A631" s="6647" t="s">
        <v>989</v>
      </c>
      <c r="B631" s="5032" t="s">
        <v>980</v>
      </c>
      <c r="C631" s="6013">
        <f t="shared" si="9"/>
        <v>3</v>
      </c>
      <c r="D631" s="5033" t="s">
        <v>183</v>
      </c>
      <c r="E631" s="5034" t="s">
        <v>10</v>
      </c>
      <c r="F631" s="5035">
        <v>-9</v>
      </c>
      <c r="G631" s="5036" t="s">
        <v>11</v>
      </c>
      <c r="H631" s="5037">
        <v>6586.06</v>
      </c>
      <c r="I631" s="5038" t="s">
        <v>11</v>
      </c>
      <c r="J631" s="5039" t="s">
        <v>184</v>
      </c>
      <c r="K631" s="5940" t="s">
        <v>1165</v>
      </c>
      <c r="L631" s="6760" t="str">
        <f>VLOOKUP(K631,'COD.'!$A$1:$B$39,2,0)</f>
        <v xml:space="preserve">Otros Gastos Generales </v>
      </c>
    </row>
    <row r="632" spans="1:12" x14ac:dyDescent="0.2">
      <c r="A632" s="6648" t="s">
        <v>989</v>
      </c>
      <c r="B632" s="5040" t="s">
        <v>980</v>
      </c>
      <c r="C632" s="6013">
        <f t="shared" si="9"/>
        <v>3</v>
      </c>
      <c r="D632" s="5041" t="s">
        <v>990</v>
      </c>
      <c r="E632" s="5042" t="s">
        <v>10</v>
      </c>
      <c r="F632" s="5043">
        <v>-26.81</v>
      </c>
      <c r="G632" s="5044" t="s">
        <v>11</v>
      </c>
      <c r="H632" s="5045">
        <v>6595.06</v>
      </c>
      <c r="I632" s="5046" t="s">
        <v>11</v>
      </c>
      <c r="J632" s="5047" t="s">
        <v>991</v>
      </c>
      <c r="K632" s="5940" t="s">
        <v>1148</v>
      </c>
      <c r="L632" s="6760" t="str">
        <f>VLOOKUP(K632,'COD.'!$A$1:$B$39,2,0)</f>
        <v xml:space="preserve">Supermercado </v>
      </c>
    </row>
    <row r="633" spans="1:12" x14ac:dyDescent="0.2">
      <c r="A633" s="6649" t="s">
        <v>989</v>
      </c>
      <c r="B633" s="5048" t="s">
        <v>980</v>
      </c>
      <c r="C633" s="6013">
        <f t="shared" si="9"/>
        <v>3</v>
      </c>
      <c r="D633" s="5049" t="s">
        <v>443</v>
      </c>
      <c r="E633" s="5050" t="s">
        <v>10</v>
      </c>
      <c r="F633" s="5051">
        <v>-3.26</v>
      </c>
      <c r="G633" s="5052" t="s">
        <v>11</v>
      </c>
      <c r="H633" s="5053">
        <v>6621.87</v>
      </c>
      <c r="I633" s="5054" t="s">
        <v>11</v>
      </c>
      <c r="J633" s="5055" t="s">
        <v>444</v>
      </c>
      <c r="K633" s="5940" t="s">
        <v>443</v>
      </c>
      <c r="L633" s="6760" t="str">
        <f>VLOOKUP(K633,'COD.'!$A$1:$B$39,2,0)</f>
        <v xml:space="preserve">Salud y Cuidado </v>
      </c>
    </row>
    <row r="634" spans="1:12" x14ac:dyDescent="0.2">
      <c r="A634" s="6650" t="s">
        <v>979</v>
      </c>
      <c r="B634" s="5056" t="s">
        <v>979</v>
      </c>
      <c r="C634" s="6013">
        <f t="shared" si="9"/>
        <v>2</v>
      </c>
      <c r="D634" s="5057" t="s">
        <v>26</v>
      </c>
      <c r="E634" s="5058" t="s">
        <v>992</v>
      </c>
      <c r="F634" s="5059">
        <v>-44.2</v>
      </c>
      <c r="G634" s="5060" t="s">
        <v>11</v>
      </c>
      <c r="H634" s="5061">
        <v>6625.13</v>
      </c>
      <c r="I634" s="5062" t="s">
        <v>11</v>
      </c>
      <c r="J634" s="5063" t="s">
        <v>993</v>
      </c>
      <c r="K634" s="5940" t="s">
        <v>1189</v>
      </c>
      <c r="L634" s="6760" t="str">
        <f>VLOOKUP(K634,'COD.'!$A$1:$B$39,2,0)</f>
        <v xml:space="preserve">Suministros </v>
      </c>
    </row>
    <row r="635" spans="1:12" x14ac:dyDescent="0.2">
      <c r="A635" s="6651" t="s">
        <v>979</v>
      </c>
      <c r="B635" s="5064" t="s">
        <v>979</v>
      </c>
      <c r="C635" s="6013">
        <f t="shared" si="9"/>
        <v>2</v>
      </c>
      <c r="D635" s="5065" t="s">
        <v>19</v>
      </c>
      <c r="E635" s="5066" t="s">
        <v>20</v>
      </c>
      <c r="F635" s="5067">
        <v>-431.09</v>
      </c>
      <c r="G635" s="5068" t="s">
        <v>11</v>
      </c>
      <c r="H635" s="5069">
        <v>6669.33</v>
      </c>
      <c r="I635" s="5070" t="s">
        <v>11</v>
      </c>
      <c r="J635" s="5071" t="s">
        <v>21</v>
      </c>
      <c r="K635" s="5942" t="s">
        <v>1170</v>
      </c>
      <c r="L635" s="6760" t="str">
        <f>VLOOKUP(K635,'COD.'!$A$1:$B$39,2,0)</f>
        <v xml:space="preserve">Vivienda y Préstamos </v>
      </c>
    </row>
    <row r="636" spans="1:12" x14ac:dyDescent="0.2">
      <c r="A636" s="6652" t="s">
        <v>994</v>
      </c>
      <c r="B636" s="5072" t="s">
        <v>994</v>
      </c>
      <c r="C636" s="6013">
        <f t="shared" si="9"/>
        <v>2</v>
      </c>
      <c r="D636" s="5073" t="s">
        <v>103</v>
      </c>
      <c r="E636" s="5074" t="s">
        <v>10</v>
      </c>
      <c r="F636" s="5075">
        <v>-23.76</v>
      </c>
      <c r="G636" s="5076" t="s">
        <v>11</v>
      </c>
      <c r="H636" s="5077">
        <v>7100.42</v>
      </c>
      <c r="I636" s="5078" t="s">
        <v>11</v>
      </c>
      <c r="J636" s="5079" t="s">
        <v>104</v>
      </c>
      <c r="K636" s="5940" t="s">
        <v>1148</v>
      </c>
      <c r="L636" s="6760" t="str">
        <f>VLOOKUP(K636,'COD.'!$A$1:$B$39,2,0)</f>
        <v xml:space="preserve">Supermercado </v>
      </c>
    </row>
    <row r="637" spans="1:12" x14ac:dyDescent="0.2">
      <c r="A637" s="6653" t="s">
        <v>994</v>
      </c>
      <c r="B637" s="5080" t="s">
        <v>994</v>
      </c>
      <c r="C637" s="6013">
        <f t="shared" si="9"/>
        <v>2</v>
      </c>
      <c r="D637" s="5081" t="s">
        <v>654</v>
      </c>
      <c r="E637" s="5082" t="s">
        <v>10</v>
      </c>
      <c r="F637" s="5083">
        <v>-17.149999999999999</v>
      </c>
      <c r="G637" s="5084" t="s">
        <v>11</v>
      </c>
      <c r="H637" s="5085">
        <v>7124.18</v>
      </c>
      <c r="I637" s="5086" t="s">
        <v>11</v>
      </c>
      <c r="J637" s="5087" t="s">
        <v>655</v>
      </c>
      <c r="K637" s="5940" t="s">
        <v>1148</v>
      </c>
      <c r="L637" s="6760" t="str">
        <f>VLOOKUP(K637,'COD.'!$A$1:$B$39,2,0)</f>
        <v xml:space="preserve">Supermercado </v>
      </c>
    </row>
    <row r="638" spans="1:12" x14ac:dyDescent="0.2">
      <c r="A638" s="6654" t="s">
        <v>994</v>
      </c>
      <c r="B638" s="5088" t="s">
        <v>994</v>
      </c>
      <c r="C638" s="6013">
        <f t="shared" si="9"/>
        <v>2</v>
      </c>
      <c r="D638" s="5089" t="s">
        <v>295</v>
      </c>
      <c r="E638" s="5090" t="s">
        <v>10</v>
      </c>
      <c r="F638" s="5091">
        <v>-7.5</v>
      </c>
      <c r="G638" s="5092" t="s">
        <v>11</v>
      </c>
      <c r="H638" s="5093">
        <v>7141.33</v>
      </c>
      <c r="I638" s="5094" t="s">
        <v>11</v>
      </c>
      <c r="J638" s="5095" t="s">
        <v>296</v>
      </c>
      <c r="K638" s="5940" t="s">
        <v>1147</v>
      </c>
      <c r="L638" s="6760" t="str">
        <f>VLOOKUP(K638,'COD.'!$A$1:$B$39,2,0)</f>
        <v xml:space="preserve">Otros Gastos Generales </v>
      </c>
    </row>
    <row r="639" spans="1:12" x14ac:dyDescent="0.2">
      <c r="A639" s="6655" t="s">
        <v>995</v>
      </c>
      <c r="B639" s="5096" t="s">
        <v>995</v>
      </c>
      <c r="C639" s="6013">
        <f t="shared" si="9"/>
        <v>2</v>
      </c>
      <c r="D639" s="5097" t="s">
        <v>996</v>
      </c>
      <c r="E639" s="5098" t="s">
        <v>10</v>
      </c>
      <c r="F639" s="5099">
        <v>-16</v>
      </c>
      <c r="G639" s="5100" t="s">
        <v>11</v>
      </c>
      <c r="H639" s="5101">
        <v>7148.83</v>
      </c>
      <c r="I639" s="5102" t="s">
        <v>11</v>
      </c>
      <c r="J639" s="5103" t="s">
        <v>997</v>
      </c>
      <c r="K639" s="5940" t="s">
        <v>1148</v>
      </c>
      <c r="L639" s="6760" t="str">
        <f>VLOOKUP(K639,'COD.'!$A$1:$B$39,2,0)</f>
        <v xml:space="preserve">Supermercado </v>
      </c>
    </row>
    <row r="640" spans="1:12" x14ac:dyDescent="0.2">
      <c r="A640" s="6656" t="s">
        <v>995</v>
      </c>
      <c r="B640" s="5104" t="s">
        <v>995</v>
      </c>
      <c r="C640" s="6013">
        <f t="shared" si="9"/>
        <v>2</v>
      </c>
      <c r="D640" s="5105" t="s">
        <v>899</v>
      </c>
      <c r="E640" s="5106" t="s">
        <v>10</v>
      </c>
      <c r="F640" s="5107">
        <v>-8.58</v>
      </c>
      <c r="G640" s="5108" t="s">
        <v>11</v>
      </c>
      <c r="H640" s="5109">
        <v>7164.83</v>
      </c>
      <c r="I640" s="5110" t="s">
        <v>11</v>
      </c>
      <c r="J640" s="5111" t="s">
        <v>900</v>
      </c>
      <c r="K640" s="5940" t="s">
        <v>1148</v>
      </c>
      <c r="L640" s="6760" t="str">
        <f>VLOOKUP(K640,'COD.'!$A$1:$B$39,2,0)</f>
        <v xml:space="preserve">Supermercado </v>
      </c>
    </row>
    <row r="641" spans="1:12" x14ac:dyDescent="0.2">
      <c r="A641" s="6657" t="s">
        <v>995</v>
      </c>
      <c r="B641" s="5112" t="s">
        <v>995</v>
      </c>
      <c r="C641" s="6013">
        <f t="shared" si="9"/>
        <v>2</v>
      </c>
      <c r="D641" s="5113" t="s">
        <v>29</v>
      </c>
      <c r="E641" s="5114" t="s">
        <v>30</v>
      </c>
      <c r="F641" s="5115">
        <v>1867.53</v>
      </c>
      <c r="G641" s="5116" t="s">
        <v>11</v>
      </c>
      <c r="H641" s="5117">
        <v>7173.41</v>
      </c>
      <c r="I641" s="5118" t="s">
        <v>11</v>
      </c>
      <c r="J641" s="5119" t="s">
        <v>30</v>
      </c>
      <c r="K641" s="6006" t="s">
        <v>1144</v>
      </c>
      <c r="L641" s="6760" t="str">
        <f>VLOOKUP(K641,'COD.'!$A$1:$B$39,2,0)</f>
        <v xml:space="preserve">Transferencias y Efectivo </v>
      </c>
    </row>
    <row r="642" spans="1:12" x14ac:dyDescent="0.2">
      <c r="A642" s="6658" t="s">
        <v>998</v>
      </c>
      <c r="B642" s="5120" t="s">
        <v>998</v>
      </c>
      <c r="C642" s="6013">
        <f t="shared" si="9"/>
        <v>2</v>
      </c>
      <c r="D642" s="5121" t="s">
        <v>235</v>
      </c>
      <c r="E642" s="5122" t="s">
        <v>10</v>
      </c>
      <c r="F642" s="5123">
        <v>-47.63</v>
      </c>
      <c r="G642" s="5124" t="s">
        <v>11</v>
      </c>
      <c r="H642" s="5125">
        <v>5305.88</v>
      </c>
      <c r="I642" s="5126" t="s">
        <v>11</v>
      </c>
      <c r="J642" s="5127" t="s">
        <v>236</v>
      </c>
      <c r="K642" s="5940" t="s">
        <v>1146</v>
      </c>
      <c r="L642" s="6760" t="str">
        <f>VLOOKUP(K642,'COD.'!$A$1:$B$39,2,0)</f>
        <v xml:space="preserve">Supermercado </v>
      </c>
    </row>
    <row r="643" spans="1:12" x14ac:dyDescent="0.2">
      <c r="A643" s="6659" t="s">
        <v>998</v>
      </c>
      <c r="B643" s="5128" t="s">
        <v>998</v>
      </c>
      <c r="C643" s="6013">
        <f t="shared" ref="C643:C706" si="10">MONTH(A643)</f>
        <v>2</v>
      </c>
      <c r="D643" s="5129" t="s">
        <v>90</v>
      </c>
      <c r="E643" s="5130" t="s">
        <v>10</v>
      </c>
      <c r="F643" s="5131">
        <v>-12.35</v>
      </c>
      <c r="G643" s="5132" t="s">
        <v>11</v>
      </c>
      <c r="H643" s="5133">
        <v>5353.51</v>
      </c>
      <c r="I643" s="5134" t="s">
        <v>11</v>
      </c>
      <c r="J643" s="5135" t="s">
        <v>91</v>
      </c>
      <c r="K643" s="5940" t="s">
        <v>1156</v>
      </c>
      <c r="L643" s="6760" t="str">
        <f>VLOOKUP(K643,'COD.'!$A$1:$B$39,2,0)</f>
        <v>Moto</v>
      </c>
    </row>
    <row r="644" spans="1:12" x14ac:dyDescent="0.2">
      <c r="A644" s="6660" t="s">
        <v>999</v>
      </c>
      <c r="B644" s="5136" t="s">
        <v>998</v>
      </c>
      <c r="C644" s="6013">
        <f t="shared" si="10"/>
        <v>2</v>
      </c>
      <c r="D644" s="5137" t="s">
        <v>1000</v>
      </c>
      <c r="E644" s="5138" t="s">
        <v>10</v>
      </c>
      <c r="F644" s="5139">
        <v>-10.99</v>
      </c>
      <c r="G644" s="5140" t="s">
        <v>11</v>
      </c>
      <c r="H644" s="5141">
        <v>5365.86</v>
      </c>
      <c r="I644" s="5142" t="s">
        <v>11</v>
      </c>
      <c r="J644" s="5143" t="s">
        <v>1001</v>
      </c>
      <c r="K644" s="5940" t="s">
        <v>1173</v>
      </c>
      <c r="L644" s="6760" t="str">
        <f>VLOOKUP(K644,'COD.'!$A$1:$B$39,2,0)</f>
        <v xml:space="preserve">Ocio y Entretenimiento </v>
      </c>
    </row>
    <row r="645" spans="1:12" x14ac:dyDescent="0.2">
      <c r="A645" s="6661" t="s">
        <v>1002</v>
      </c>
      <c r="B645" s="5144" t="s">
        <v>1002</v>
      </c>
      <c r="C645" s="6013">
        <f t="shared" si="10"/>
        <v>2</v>
      </c>
      <c r="D645" s="5145" t="s">
        <v>60</v>
      </c>
      <c r="E645" s="5146" t="s">
        <v>432</v>
      </c>
      <c r="F645" s="5147">
        <v>200</v>
      </c>
      <c r="G645" s="5148" t="s">
        <v>11</v>
      </c>
      <c r="H645" s="5149">
        <v>5376.85</v>
      </c>
      <c r="I645" s="5150" t="s">
        <v>11</v>
      </c>
      <c r="J645" s="5151" t="s">
        <v>433</v>
      </c>
      <c r="K645" s="5982" t="s">
        <v>60</v>
      </c>
      <c r="L645" s="6760" t="str">
        <f>VLOOKUP(K645,'COD.'!$A$1:$B$39,2,0)</f>
        <v xml:space="preserve">Transferencias y Efectivo </v>
      </c>
    </row>
    <row r="646" spans="1:12" x14ac:dyDescent="0.2">
      <c r="A646" s="6662" t="s">
        <v>1003</v>
      </c>
      <c r="B646" s="5152" t="s">
        <v>1002</v>
      </c>
      <c r="C646" s="6013">
        <f t="shared" si="10"/>
        <v>2</v>
      </c>
      <c r="D646" s="5153" t="s">
        <v>1004</v>
      </c>
      <c r="E646" s="5154" t="s">
        <v>10</v>
      </c>
      <c r="F646" s="5155">
        <v>-12.63</v>
      </c>
      <c r="G646" s="5156" t="s">
        <v>11</v>
      </c>
      <c r="H646" s="5157">
        <v>5176.8500000000004</v>
      </c>
      <c r="I646" s="5158" t="s">
        <v>11</v>
      </c>
      <c r="J646" s="5159" t="s">
        <v>1005</v>
      </c>
      <c r="K646" s="5940" t="s">
        <v>1148</v>
      </c>
      <c r="L646" s="6760" t="str">
        <f>VLOOKUP(K646,'COD.'!$A$1:$B$39,2,0)</f>
        <v xml:space="preserve">Supermercado </v>
      </c>
    </row>
    <row r="647" spans="1:12" x14ac:dyDescent="0.2">
      <c r="A647" s="6663" t="s">
        <v>1003</v>
      </c>
      <c r="B647" s="5160" t="s">
        <v>1002</v>
      </c>
      <c r="C647" s="6013">
        <f t="shared" si="10"/>
        <v>2</v>
      </c>
      <c r="D647" s="5161" t="s">
        <v>60</v>
      </c>
      <c r="E647" s="5162" t="s">
        <v>1006</v>
      </c>
      <c r="F647" s="5163">
        <v>-200</v>
      </c>
      <c r="G647" s="5164" t="s">
        <v>11</v>
      </c>
      <c r="H647" s="5165">
        <v>5189.4799999999996</v>
      </c>
      <c r="I647" s="5166" t="s">
        <v>11</v>
      </c>
      <c r="J647" s="5167" t="s">
        <v>1007</v>
      </c>
      <c r="K647" s="5982" t="s">
        <v>60</v>
      </c>
      <c r="L647" s="6760" t="str">
        <f>VLOOKUP(K647,'COD.'!$A$1:$B$39,2,0)</f>
        <v xml:space="preserve">Transferencias y Efectivo </v>
      </c>
    </row>
    <row r="648" spans="1:12" x14ac:dyDescent="0.2">
      <c r="A648" s="6664" t="s">
        <v>1008</v>
      </c>
      <c r="B648" s="5168" t="s">
        <v>1009</v>
      </c>
      <c r="C648" s="6013">
        <f t="shared" si="10"/>
        <v>2</v>
      </c>
      <c r="D648" s="5169" t="s">
        <v>145</v>
      </c>
      <c r="E648" s="5170" t="s">
        <v>10</v>
      </c>
      <c r="F648" s="5171">
        <v>-27.2</v>
      </c>
      <c r="G648" s="5172" t="s">
        <v>11</v>
      </c>
      <c r="H648" s="5173">
        <v>5389.48</v>
      </c>
      <c r="I648" s="5174" t="s">
        <v>11</v>
      </c>
      <c r="J648" s="5175" t="s">
        <v>146</v>
      </c>
      <c r="K648" s="5940" t="s">
        <v>1146</v>
      </c>
      <c r="L648" s="6760" t="str">
        <f>VLOOKUP(K648,'COD.'!$A$1:$B$39,2,0)</f>
        <v xml:space="preserve">Supermercado </v>
      </c>
    </row>
    <row r="649" spans="1:12" x14ac:dyDescent="0.2">
      <c r="A649" s="6665" t="s">
        <v>1010</v>
      </c>
      <c r="B649" s="5176" t="s">
        <v>1011</v>
      </c>
      <c r="C649" s="6013">
        <f t="shared" si="10"/>
        <v>2</v>
      </c>
      <c r="D649" s="5177" t="s">
        <v>1012</v>
      </c>
      <c r="E649" s="5178" t="s">
        <v>10</v>
      </c>
      <c r="F649" s="5179">
        <v>-17.989999999999998</v>
      </c>
      <c r="G649" s="5180" t="s">
        <v>11</v>
      </c>
      <c r="H649" s="5181">
        <v>5416.68</v>
      </c>
      <c r="I649" s="5182" t="s">
        <v>11</v>
      </c>
      <c r="J649" s="5183" t="s">
        <v>1013</v>
      </c>
      <c r="K649" s="5940" t="s">
        <v>1149</v>
      </c>
      <c r="L649" s="6760" t="str">
        <f>VLOOKUP(K649,'COD.'!$A$1:$B$39,2,0)</f>
        <v xml:space="preserve">Ocio y Entretenimiento </v>
      </c>
    </row>
    <row r="650" spans="1:12" x14ac:dyDescent="0.2">
      <c r="A650" s="6666" t="s">
        <v>1011</v>
      </c>
      <c r="B650" s="5184" t="s">
        <v>1011</v>
      </c>
      <c r="C650" s="6013">
        <f t="shared" si="10"/>
        <v>2</v>
      </c>
      <c r="D650" s="5185" t="s">
        <v>1014</v>
      </c>
      <c r="E650" s="5186" t="s">
        <v>10</v>
      </c>
      <c r="F650" s="5187">
        <v>-62.41</v>
      </c>
      <c r="G650" s="5188" t="s">
        <v>11</v>
      </c>
      <c r="H650" s="5189">
        <v>5434.67</v>
      </c>
      <c r="I650" s="5190" t="s">
        <v>11</v>
      </c>
      <c r="J650" s="5191" t="s">
        <v>54</v>
      </c>
      <c r="K650" s="5940" t="s">
        <v>1148</v>
      </c>
      <c r="L650" s="6760" t="str">
        <f>VLOOKUP(K650,'COD.'!$A$1:$B$39,2,0)</f>
        <v xml:space="preserve">Supermercado </v>
      </c>
    </row>
    <row r="651" spans="1:12" x14ac:dyDescent="0.2">
      <c r="A651" s="6667" t="s">
        <v>1011</v>
      </c>
      <c r="B651" s="5192" t="s">
        <v>1011</v>
      </c>
      <c r="C651" s="6013">
        <f t="shared" si="10"/>
        <v>2</v>
      </c>
      <c r="D651" s="5193" t="s">
        <v>1014</v>
      </c>
      <c r="E651" s="5194" t="s">
        <v>10</v>
      </c>
      <c r="F651" s="5195">
        <v>-0.41</v>
      </c>
      <c r="G651" s="5196" t="s">
        <v>11</v>
      </c>
      <c r="H651" s="5197">
        <v>5497.08</v>
      </c>
      <c r="I651" s="5198" t="s">
        <v>11</v>
      </c>
      <c r="J651" s="5199" t="s">
        <v>54</v>
      </c>
      <c r="K651" s="5940" t="s">
        <v>1148</v>
      </c>
      <c r="L651" s="6760" t="str">
        <f>VLOOKUP(K651,'COD.'!$A$1:$B$39,2,0)</f>
        <v xml:space="preserve">Supermercado </v>
      </c>
    </row>
    <row r="652" spans="1:12" x14ac:dyDescent="0.2">
      <c r="A652" s="6668" t="s">
        <v>1015</v>
      </c>
      <c r="B652" s="5200" t="s">
        <v>1015</v>
      </c>
      <c r="C652" s="6013">
        <f t="shared" si="10"/>
        <v>2</v>
      </c>
      <c r="D652" s="5201" t="s">
        <v>1016</v>
      </c>
      <c r="E652" s="5202" t="s">
        <v>10</v>
      </c>
      <c r="F652" s="5203">
        <v>-69</v>
      </c>
      <c r="G652" s="5204" t="s">
        <v>11</v>
      </c>
      <c r="H652" s="5205">
        <v>5497.49</v>
      </c>
      <c r="I652" s="5206" t="s">
        <v>11</v>
      </c>
      <c r="J652" s="5207" t="s">
        <v>1017</v>
      </c>
      <c r="K652" s="5940" t="s">
        <v>1146</v>
      </c>
      <c r="L652" s="6760" t="str">
        <f>VLOOKUP(K652,'COD.'!$A$1:$B$39,2,0)</f>
        <v xml:space="preserve">Supermercado </v>
      </c>
    </row>
    <row r="653" spans="1:12" x14ac:dyDescent="0.2">
      <c r="A653" s="6669" t="s">
        <v>1015</v>
      </c>
      <c r="B653" s="5208" t="s">
        <v>1015</v>
      </c>
      <c r="C653" s="6013">
        <f t="shared" si="10"/>
        <v>2</v>
      </c>
      <c r="D653" s="5209" t="s">
        <v>555</v>
      </c>
      <c r="E653" s="5210" t="s">
        <v>10</v>
      </c>
      <c r="F653" s="5211">
        <v>-51.28</v>
      </c>
      <c r="G653" s="5212" t="s">
        <v>11</v>
      </c>
      <c r="H653" s="5213">
        <v>5566.49</v>
      </c>
      <c r="I653" s="5214" t="s">
        <v>11</v>
      </c>
      <c r="J653" s="5215" t="s">
        <v>556</v>
      </c>
      <c r="K653" s="5940" t="s">
        <v>1149</v>
      </c>
      <c r="L653" s="6760" t="str">
        <f>VLOOKUP(K653,'COD.'!$A$1:$B$39,2,0)</f>
        <v xml:space="preserve">Ocio y Entretenimiento </v>
      </c>
    </row>
    <row r="654" spans="1:12" x14ac:dyDescent="0.2">
      <c r="A654" s="6670" t="s">
        <v>1008</v>
      </c>
      <c r="B654" s="5216" t="s">
        <v>1015</v>
      </c>
      <c r="C654" s="6013">
        <f t="shared" si="10"/>
        <v>2</v>
      </c>
      <c r="D654" s="5217" t="s">
        <v>1018</v>
      </c>
      <c r="E654" s="5218" t="s">
        <v>10</v>
      </c>
      <c r="F654" s="5219">
        <v>-8.8000000000000007</v>
      </c>
      <c r="G654" s="5220" t="s">
        <v>11</v>
      </c>
      <c r="H654" s="5221">
        <v>5617.77</v>
      </c>
      <c r="I654" s="5222" t="s">
        <v>11</v>
      </c>
      <c r="J654" s="5223" t="s">
        <v>1019</v>
      </c>
      <c r="K654" s="5940" t="s">
        <v>1149</v>
      </c>
      <c r="L654" s="6760" t="str">
        <f>VLOOKUP(K654,'COD.'!$A$1:$B$39,2,0)</f>
        <v xml:space="preserve">Ocio y Entretenimiento </v>
      </c>
    </row>
    <row r="655" spans="1:12" x14ac:dyDescent="0.2">
      <c r="A655" s="6671" t="s">
        <v>1020</v>
      </c>
      <c r="B655" s="5224" t="s">
        <v>1015</v>
      </c>
      <c r="C655" s="6013">
        <f t="shared" si="10"/>
        <v>2</v>
      </c>
      <c r="D655" s="5225" t="s">
        <v>769</v>
      </c>
      <c r="E655" s="5226" t="s">
        <v>10</v>
      </c>
      <c r="F655" s="5227">
        <v>-2.99</v>
      </c>
      <c r="G655" s="5228" t="s">
        <v>11</v>
      </c>
      <c r="H655" s="5229">
        <v>5626.57</v>
      </c>
      <c r="I655" s="5230" t="s">
        <v>11</v>
      </c>
      <c r="J655" s="5231" t="s">
        <v>770</v>
      </c>
      <c r="K655" s="5972" t="s">
        <v>1150</v>
      </c>
      <c r="L655" s="6760" t="str">
        <f>VLOOKUP(K655,'COD.'!$A$1:$B$39,2,0)</f>
        <v xml:space="preserve">Ocio y Entretenimiento </v>
      </c>
    </row>
    <row r="656" spans="1:12" x14ac:dyDescent="0.2">
      <c r="A656" s="6672" t="s">
        <v>1008</v>
      </c>
      <c r="B656" s="5232" t="s">
        <v>1015</v>
      </c>
      <c r="C656" s="6013">
        <f t="shared" si="10"/>
        <v>2</v>
      </c>
      <c r="D656" s="5233" t="s">
        <v>931</v>
      </c>
      <c r="E656" s="5234" t="s">
        <v>10</v>
      </c>
      <c r="F656" s="5235">
        <v>-20.99</v>
      </c>
      <c r="G656" s="5236" t="s">
        <v>11</v>
      </c>
      <c r="H656" s="5237">
        <v>5629.56</v>
      </c>
      <c r="I656" s="5238" t="s">
        <v>11</v>
      </c>
      <c r="J656" s="5239" t="s">
        <v>932</v>
      </c>
      <c r="K656" s="5940" t="s">
        <v>1149</v>
      </c>
      <c r="L656" s="6760" t="str">
        <f>VLOOKUP(K656,'COD.'!$A$1:$B$39,2,0)</f>
        <v xml:space="preserve">Ocio y Entretenimiento </v>
      </c>
    </row>
    <row r="657" spans="1:12" x14ac:dyDescent="0.2">
      <c r="A657" s="6673" t="s">
        <v>1020</v>
      </c>
      <c r="B657" s="5240" t="s">
        <v>1020</v>
      </c>
      <c r="C657" s="6013">
        <f t="shared" si="10"/>
        <v>2</v>
      </c>
      <c r="D657" s="5241" t="s">
        <v>121</v>
      </c>
      <c r="E657" s="5242" t="s">
        <v>10</v>
      </c>
      <c r="F657" s="5243">
        <v>-13</v>
      </c>
      <c r="G657" s="5244" t="s">
        <v>11</v>
      </c>
      <c r="H657" s="5245">
        <v>5650.55</v>
      </c>
      <c r="I657" s="5246" t="s">
        <v>11</v>
      </c>
      <c r="J657" s="5247" t="s">
        <v>122</v>
      </c>
      <c r="K657" s="5940" t="s">
        <v>1158</v>
      </c>
      <c r="L657" s="6760" t="str">
        <f>VLOOKUP(K657,'COD.'!$A$1:$B$39,2,0)</f>
        <v xml:space="preserve">Vivienda y Préstamos </v>
      </c>
    </row>
    <row r="658" spans="1:12" x14ac:dyDescent="0.2">
      <c r="A658" s="6674" t="s">
        <v>1020</v>
      </c>
      <c r="B658" s="5248" t="s">
        <v>1020</v>
      </c>
      <c r="C658" s="6013">
        <f t="shared" si="10"/>
        <v>2</v>
      </c>
      <c r="D658" s="5249" t="s">
        <v>1021</v>
      </c>
      <c r="E658" s="5250" t="s">
        <v>10</v>
      </c>
      <c r="F658" s="5251">
        <v>-0.8</v>
      </c>
      <c r="G658" s="5252" t="s">
        <v>11</v>
      </c>
      <c r="H658" s="5253">
        <v>5663.55</v>
      </c>
      <c r="I658" s="5254" t="s">
        <v>11</v>
      </c>
      <c r="J658" s="5255" t="s">
        <v>1022</v>
      </c>
      <c r="K658" s="5940" t="s">
        <v>1149</v>
      </c>
      <c r="L658" s="6760" t="str">
        <f>VLOOKUP(K658,'COD.'!$A$1:$B$39,2,0)</f>
        <v xml:space="preserve">Ocio y Entretenimiento </v>
      </c>
    </row>
    <row r="659" spans="1:12" x14ac:dyDescent="0.2">
      <c r="A659" s="6675" t="s">
        <v>1020</v>
      </c>
      <c r="B659" s="5256" t="s">
        <v>1020</v>
      </c>
      <c r="C659" s="6013">
        <f t="shared" si="10"/>
        <v>2</v>
      </c>
      <c r="D659" s="5257" t="s">
        <v>728</v>
      </c>
      <c r="E659" s="5258" t="s">
        <v>10</v>
      </c>
      <c r="F659" s="5259">
        <v>-30</v>
      </c>
      <c r="G659" s="5260" t="s">
        <v>11</v>
      </c>
      <c r="H659" s="5261">
        <v>5664.35</v>
      </c>
      <c r="I659" s="5262" t="s">
        <v>11</v>
      </c>
      <c r="J659" s="5263" t="s">
        <v>729</v>
      </c>
      <c r="K659" s="5940" t="s">
        <v>1172</v>
      </c>
      <c r="L659" s="6760" t="str">
        <f>VLOOKUP(K659,'COD.'!$A$1:$B$39,2,0)</f>
        <v xml:space="preserve">Ocio y Entretenimiento </v>
      </c>
    </row>
    <row r="660" spans="1:12" x14ac:dyDescent="0.2">
      <c r="A660" s="6676" t="s">
        <v>1020</v>
      </c>
      <c r="B660" s="5264" t="s">
        <v>1020</v>
      </c>
      <c r="C660" s="6013">
        <f t="shared" si="10"/>
        <v>2</v>
      </c>
      <c r="D660" s="5265" t="s">
        <v>166</v>
      </c>
      <c r="E660" s="5266" t="s">
        <v>164</v>
      </c>
      <c r="F660" s="5267">
        <v>-10</v>
      </c>
      <c r="G660" s="5268" t="s">
        <v>11</v>
      </c>
      <c r="H660" s="5269">
        <v>5694.35</v>
      </c>
      <c r="I660" s="5270" t="s">
        <v>11</v>
      </c>
      <c r="J660" s="5271" t="s">
        <v>167</v>
      </c>
      <c r="K660" s="5977" t="s">
        <v>1166</v>
      </c>
      <c r="L660" s="6760" t="str">
        <f>VLOOKUP(K660,'COD.'!$A$1:$B$39,2,0)</f>
        <v xml:space="preserve">Ocio y Entretenimiento </v>
      </c>
    </row>
    <row r="661" spans="1:12" x14ac:dyDescent="0.2">
      <c r="A661" s="6677" t="s">
        <v>1023</v>
      </c>
      <c r="B661" s="5272" t="s">
        <v>1023</v>
      </c>
      <c r="C661" s="6013">
        <f t="shared" si="10"/>
        <v>2</v>
      </c>
      <c r="D661" s="5273" t="s">
        <v>629</v>
      </c>
      <c r="E661" s="5274" t="s">
        <v>10</v>
      </c>
      <c r="F661" s="5275">
        <v>-7.9</v>
      </c>
      <c r="G661" s="5276" t="s">
        <v>11</v>
      </c>
      <c r="H661" s="5277">
        <v>5704.35</v>
      </c>
      <c r="I661" s="5278" t="s">
        <v>11</v>
      </c>
      <c r="J661" s="5279" t="s">
        <v>630</v>
      </c>
      <c r="K661" s="5940" t="s">
        <v>1147</v>
      </c>
      <c r="L661" s="6760" t="str">
        <f>VLOOKUP(K661,'COD.'!$A$1:$B$39,2,0)</f>
        <v xml:space="preserve">Otros Gastos Generales </v>
      </c>
    </row>
    <row r="662" spans="1:12" x14ac:dyDescent="0.2">
      <c r="A662" s="6678" t="s">
        <v>1024</v>
      </c>
      <c r="B662" s="5280" t="s">
        <v>1024</v>
      </c>
      <c r="C662" s="6013">
        <f t="shared" si="10"/>
        <v>2</v>
      </c>
      <c r="D662" s="5281" t="s">
        <v>1025</v>
      </c>
      <c r="E662" s="5282" t="s">
        <v>10</v>
      </c>
      <c r="F662" s="5283">
        <v>-1.6</v>
      </c>
      <c r="G662" s="5284" t="s">
        <v>11</v>
      </c>
      <c r="H662" s="5285">
        <v>5712.25</v>
      </c>
      <c r="I662" s="5286" t="s">
        <v>11</v>
      </c>
      <c r="J662" s="5287" t="s">
        <v>1026</v>
      </c>
      <c r="K662" s="5940" t="s">
        <v>1145</v>
      </c>
      <c r="L662" s="6760" t="str">
        <f>VLOOKUP(K662,'COD.'!$A$1:$B$39,2,0)</f>
        <v xml:space="preserve">Ocio y Entretenimiento </v>
      </c>
    </row>
    <row r="663" spans="1:12" x14ac:dyDescent="0.2">
      <c r="A663" s="6679" t="s">
        <v>1024</v>
      </c>
      <c r="B663" s="5288" t="s">
        <v>1024</v>
      </c>
      <c r="C663" s="6013">
        <f t="shared" si="10"/>
        <v>2</v>
      </c>
      <c r="D663" s="5289" t="s">
        <v>166</v>
      </c>
      <c r="E663" s="5290" t="s">
        <v>164</v>
      </c>
      <c r="F663" s="5291">
        <v>-10</v>
      </c>
      <c r="G663" s="5292" t="s">
        <v>11</v>
      </c>
      <c r="H663" s="5293">
        <v>5713.85</v>
      </c>
      <c r="I663" s="5294" t="s">
        <v>11</v>
      </c>
      <c r="J663" s="5295" t="s">
        <v>167</v>
      </c>
      <c r="K663" s="5977" t="s">
        <v>1166</v>
      </c>
      <c r="L663" s="6760" t="str">
        <f>VLOOKUP(K663,'COD.'!$A$1:$B$39,2,0)</f>
        <v xml:space="preserve">Ocio y Entretenimiento </v>
      </c>
    </row>
    <row r="664" spans="1:12" x14ac:dyDescent="0.2">
      <c r="A664" s="6680" t="s">
        <v>1027</v>
      </c>
      <c r="B664" s="5296" t="s">
        <v>1027</v>
      </c>
      <c r="C664" s="6013">
        <f t="shared" si="10"/>
        <v>2</v>
      </c>
      <c r="D664" s="5297" t="s">
        <v>507</v>
      </c>
      <c r="E664" s="5298" t="s">
        <v>10</v>
      </c>
      <c r="F664" s="5299">
        <v>-10</v>
      </c>
      <c r="G664" s="5300" t="s">
        <v>11</v>
      </c>
      <c r="H664" s="5301">
        <v>5723.85</v>
      </c>
      <c r="I664" s="5302" t="s">
        <v>11</v>
      </c>
      <c r="J664" s="5303" t="s">
        <v>508</v>
      </c>
      <c r="K664" s="5940" t="s">
        <v>1145</v>
      </c>
      <c r="L664" s="6760" t="str">
        <f>VLOOKUP(K664,'COD.'!$A$1:$B$39,2,0)</f>
        <v xml:space="preserve">Ocio y Entretenimiento </v>
      </c>
    </row>
    <row r="665" spans="1:12" x14ac:dyDescent="0.2">
      <c r="A665" s="6681" t="s">
        <v>1028</v>
      </c>
      <c r="B665" s="5304" t="s">
        <v>1028</v>
      </c>
      <c r="C665" s="6013">
        <f t="shared" si="10"/>
        <v>2</v>
      </c>
      <c r="D665" s="5305" t="s">
        <v>147</v>
      </c>
      <c r="E665" s="5306" t="s">
        <v>1029</v>
      </c>
      <c r="F665" s="5307">
        <v>-78.2</v>
      </c>
      <c r="G665" s="5308" t="s">
        <v>11</v>
      </c>
      <c r="H665" s="5309">
        <v>5733.85</v>
      </c>
      <c r="I665" s="5310" t="s">
        <v>11</v>
      </c>
      <c r="J665" s="5311" t="s">
        <v>1030</v>
      </c>
      <c r="K665" s="5940" t="s">
        <v>1152</v>
      </c>
      <c r="L665" s="6760" t="str">
        <f>VLOOKUP(K665,'COD.'!$A$1:$B$39,2,0)</f>
        <v xml:space="preserve">Suministros </v>
      </c>
    </row>
    <row r="666" spans="1:12" x14ac:dyDescent="0.2">
      <c r="A666" s="6682" t="s">
        <v>1031</v>
      </c>
      <c r="B666" s="5312" t="s">
        <v>1028</v>
      </c>
      <c r="C666" s="6013">
        <f t="shared" si="10"/>
        <v>2</v>
      </c>
      <c r="D666" s="5313" t="s">
        <v>439</v>
      </c>
      <c r="E666" s="5314" t="s">
        <v>10</v>
      </c>
      <c r="F666" s="5315">
        <v>-4.8</v>
      </c>
      <c r="G666" s="5316" t="s">
        <v>11</v>
      </c>
      <c r="H666" s="5317">
        <v>5812.05</v>
      </c>
      <c r="I666" s="5318" t="s">
        <v>11</v>
      </c>
      <c r="J666" s="5319" t="s">
        <v>440</v>
      </c>
      <c r="K666" s="5940" t="s">
        <v>1145</v>
      </c>
      <c r="L666" s="6760" t="str">
        <f>VLOOKUP(K666,'COD.'!$A$1:$B$39,2,0)</f>
        <v xml:space="preserve">Ocio y Entretenimiento </v>
      </c>
    </row>
    <row r="667" spans="1:12" x14ac:dyDescent="0.2">
      <c r="A667" s="6683" t="s">
        <v>1031</v>
      </c>
      <c r="B667" s="5320" t="s">
        <v>1028</v>
      </c>
      <c r="C667" s="6013">
        <f t="shared" si="10"/>
        <v>2</v>
      </c>
      <c r="D667" s="5321" t="s">
        <v>728</v>
      </c>
      <c r="E667" s="5322" t="s">
        <v>10</v>
      </c>
      <c r="F667" s="5323">
        <v>-45</v>
      </c>
      <c r="G667" s="5324" t="s">
        <v>11</v>
      </c>
      <c r="H667" s="5325">
        <v>5816.85</v>
      </c>
      <c r="I667" s="5326" t="s">
        <v>11</v>
      </c>
      <c r="J667" s="5327" t="s">
        <v>729</v>
      </c>
      <c r="K667" s="5940" t="s">
        <v>1172</v>
      </c>
      <c r="L667" s="6760" t="str">
        <f>VLOOKUP(K667,'COD.'!$A$1:$B$39,2,0)</f>
        <v xml:space="preserve">Ocio y Entretenimiento </v>
      </c>
    </row>
    <row r="668" spans="1:12" x14ac:dyDescent="0.2">
      <c r="A668" s="6684" t="s">
        <v>1032</v>
      </c>
      <c r="B668" s="5328" t="s">
        <v>1032</v>
      </c>
      <c r="C668" s="6013">
        <f t="shared" si="10"/>
        <v>2</v>
      </c>
      <c r="D668" s="5329" t="s">
        <v>16</v>
      </c>
      <c r="E668" s="5330" t="s">
        <v>1033</v>
      </c>
      <c r="F668" s="5331">
        <v>-126.11</v>
      </c>
      <c r="G668" s="5332" t="s">
        <v>11</v>
      </c>
      <c r="H668" s="5333">
        <v>5861.85</v>
      </c>
      <c r="I668" s="5334" t="s">
        <v>11</v>
      </c>
      <c r="J668" s="5335" t="s">
        <v>1034</v>
      </c>
      <c r="K668" s="5941" t="s">
        <v>1188</v>
      </c>
      <c r="L668" s="6760" t="str">
        <f>VLOOKUP(K668,'COD.'!$A$1:$B$39,2,0)</f>
        <v xml:space="preserve">Suministros </v>
      </c>
    </row>
    <row r="669" spans="1:12" x14ac:dyDescent="0.2">
      <c r="A669" s="6685" t="s">
        <v>1035</v>
      </c>
      <c r="B669" s="5336" t="s">
        <v>1035</v>
      </c>
      <c r="C669" s="6013">
        <f t="shared" si="10"/>
        <v>2</v>
      </c>
      <c r="D669" s="5337" t="s">
        <v>103</v>
      </c>
      <c r="E669" s="5338" t="s">
        <v>10</v>
      </c>
      <c r="F669" s="5339">
        <v>-43.69</v>
      </c>
      <c r="G669" s="5340" t="s">
        <v>11</v>
      </c>
      <c r="H669" s="5341">
        <v>5987.96</v>
      </c>
      <c r="I669" s="5342" t="s">
        <v>11</v>
      </c>
      <c r="J669" s="5343" t="s">
        <v>104</v>
      </c>
      <c r="K669" s="5940" t="s">
        <v>1148</v>
      </c>
      <c r="L669" s="6760" t="str">
        <f>VLOOKUP(K669,'COD.'!$A$1:$B$39,2,0)</f>
        <v xml:space="preserve">Supermercado </v>
      </c>
    </row>
    <row r="670" spans="1:12" x14ac:dyDescent="0.2">
      <c r="A670" s="6686" t="s">
        <v>1036</v>
      </c>
      <c r="B670" s="5344" t="s">
        <v>1036</v>
      </c>
      <c r="C670" s="6013">
        <f t="shared" si="10"/>
        <v>2</v>
      </c>
      <c r="D670" s="5345" t="s">
        <v>179</v>
      </c>
      <c r="E670" s="5346" t="s">
        <v>180</v>
      </c>
      <c r="F670" s="5347">
        <v>-83.93</v>
      </c>
      <c r="G670" s="5348" t="s">
        <v>11</v>
      </c>
      <c r="H670" s="5349">
        <v>6031.65</v>
      </c>
      <c r="I670" s="5350" t="s">
        <v>11</v>
      </c>
      <c r="J670" s="5351" t="s">
        <v>181</v>
      </c>
      <c r="K670" s="5980" t="s">
        <v>179</v>
      </c>
      <c r="L670" s="6760" t="str">
        <f>VLOOKUP(K670,'COD.'!$A$1:$B$39,2,0)</f>
        <v xml:space="preserve">Vivienda y Préstamos </v>
      </c>
    </row>
    <row r="671" spans="1:12" x14ac:dyDescent="0.2">
      <c r="A671" s="6687" t="s">
        <v>1037</v>
      </c>
      <c r="B671" s="5352" t="s">
        <v>1036</v>
      </c>
      <c r="C671" s="6013">
        <f t="shared" si="10"/>
        <v>2</v>
      </c>
      <c r="D671" s="5353" t="s">
        <v>163</v>
      </c>
      <c r="E671" s="5354" t="s">
        <v>164</v>
      </c>
      <c r="F671" s="5355">
        <v>-55.54</v>
      </c>
      <c r="G671" s="5356" t="s">
        <v>11</v>
      </c>
      <c r="H671" s="5357">
        <v>6115.58</v>
      </c>
      <c r="I671" s="5358" t="s">
        <v>11</v>
      </c>
      <c r="J671" s="5359" t="s">
        <v>165</v>
      </c>
      <c r="K671" s="5976" t="s">
        <v>1160</v>
      </c>
      <c r="L671" s="6760" t="str">
        <f>VLOOKUP(K671,'COD.'!$A$1:$B$39,2,0)</f>
        <v xml:space="preserve">Vivienda y Préstamos </v>
      </c>
    </row>
    <row r="672" spans="1:12" x14ac:dyDescent="0.2">
      <c r="A672" s="6688" t="s">
        <v>1037</v>
      </c>
      <c r="B672" s="5360" t="s">
        <v>1037</v>
      </c>
      <c r="C672" s="6013">
        <f t="shared" si="10"/>
        <v>2</v>
      </c>
      <c r="D672" s="5361" t="s">
        <v>235</v>
      </c>
      <c r="E672" s="5362" t="s">
        <v>10</v>
      </c>
      <c r="F672" s="5363">
        <v>-15.99</v>
      </c>
      <c r="G672" s="5364" t="s">
        <v>11</v>
      </c>
      <c r="H672" s="5365">
        <v>6171.12</v>
      </c>
      <c r="I672" s="5366" t="s">
        <v>11</v>
      </c>
      <c r="J672" s="5367" t="s">
        <v>236</v>
      </c>
      <c r="K672" s="5940" t="s">
        <v>1146</v>
      </c>
      <c r="L672" s="6760" t="str">
        <f>VLOOKUP(K672,'COD.'!$A$1:$B$39,2,0)</f>
        <v xml:space="preserve">Supermercado </v>
      </c>
    </row>
    <row r="673" spans="1:12" x14ac:dyDescent="0.2">
      <c r="A673" s="6689" t="s">
        <v>1037</v>
      </c>
      <c r="B673" s="5368" t="s">
        <v>1037</v>
      </c>
      <c r="C673" s="6013">
        <f t="shared" si="10"/>
        <v>2</v>
      </c>
      <c r="D673" s="5369" t="s">
        <v>235</v>
      </c>
      <c r="E673" s="5370" t="s">
        <v>10</v>
      </c>
      <c r="F673" s="5371">
        <v>-30.49</v>
      </c>
      <c r="G673" s="5372" t="s">
        <v>11</v>
      </c>
      <c r="H673" s="5373">
        <v>6187.11</v>
      </c>
      <c r="I673" s="5374" t="s">
        <v>11</v>
      </c>
      <c r="J673" s="5375" t="s">
        <v>236</v>
      </c>
      <c r="K673" s="5940" t="s">
        <v>1146</v>
      </c>
      <c r="L673" s="6760" t="str">
        <f>VLOOKUP(K673,'COD.'!$A$1:$B$39,2,0)</f>
        <v xml:space="preserve">Supermercado </v>
      </c>
    </row>
    <row r="674" spans="1:12" x14ac:dyDescent="0.2">
      <c r="A674" s="6690" t="s">
        <v>1037</v>
      </c>
      <c r="B674" s="5376" t="s">
        <v>1037</v>
      </c>
      <c r="C674" s="6013">
        <f t="shared" si="10"/>
        <v>2</v>
      </c>
      <c r="D674" s="5377" t="s">
        <v>60</v>
      </c>
      <c r="E674" s="5378" t="s">
        <v>1038</v>
      </c>
      <c r="F674" s="5379">
        <v>40</v>
      </c>
      <c r="G674" s="5380" t="s">
        <v>11</v>
      </c>
      <c r="H674" s="5381">
        <v>6217.6</v>
      </c>
      <c r="I674" s="5382" t="s">
        <v>11</v>
      </c>
      <c r="J674" s="5383" t="s">
        <v>1039</v>
      </c>
      <c r="K674" s="5984" t="s">
        <v>1152</v>
      </c>
      <c r="L674" s="6760" t="str">
        <f>VLOOKUP(K674,'COD.'!$A$1:$B$39,2,0)</f>
        <v xml:space="preserve">Suministros </v>
      </c>
    </row>
    <row r="675" spans="1:12" x14ac:dyDescent="0.2">
      <c r="A675" s="6691" t="s">
        <v>1040</v>
      </c>
      <c r="B675" s="5384" t="s">
        <v>1040</v>
      </c>
      <c r="C675" s="6013">
        <f t="shared" si="10"/>
        <v>2</v>
      </c>
      <c r="D675" s="5385" t="s">
        <v>1025</v>
      </c>
      <c r="E675" s="5386" t="s">
        <v>10</v>
      </c>
      <c r="F675" s="5387">
        <v>-1.6</v>
      </c>
      <c r="G675" s="5388" t="s">
        <v>11</v>
      </c>
      <c r="H675" s="5389">
        <v>6177.6</v>
      </c>
      <c r="I675" s="5390" t="s">
        <v>11</v>
      </c>
      <c r="J675" s="5391" t="s">
        <v>1026</v>
      </c>
      <c r="K675" s="5940" t="s">
        <v>1145</v>
      </c>
      <c r="L675" s="6760" t="str">
        <f>VLOOKUP(K675,'COD.'!$A$1:$B$39,2,0)</f>
        <v xml:space="preserve">Ocio y Entretenimiento </v>
      </c>
    </row>
    <row r="676" spans="1:12" x14ac:dyDescent="0.2">
      <c r="A676" s="6692" t="s">
        <v>1040</v>
      </c>
      <c r="B676" s="5392" t="s">
        <v>1040</v>
      </c>
      <c r="C676" s="6013">
        <f t="shared" si="10"/>
        <v>2</v>
      </c>
      <c r="D676" s="5393" t="s">
        <v>1041</v>
      </c>
      <c r="E676" s="5394" t="s">
        <v>10</v>
      </c>
      <c r="F676" s="5395">
        <v>-3.39</v>
      </c>
      <c r="G676" s="5396" t="s">
        <v>11</v>
      </c>
      <c r="H676" s="5397">
        <v>6179.2</v>
      </c>
      <c r="I676" s="5398" t="s">
        <v>11</v>
      </c>
      <c r="J676" s="5399" t="s">
        <v>1042</v>
      </c>
      <c r="K676" s="5940" t="s">
        <v>1146</v>
      </c>
      <c r="L676" s="6760" t="str">
        <f>VLOOKUP(K676,'COD.'!$A$1:$B$39,2,0)</f>
        <v xml:space="preserve">Supermercado </v>
      </c>
    </row>
    <row r="677" spans="1:12" x14ac:dyDescent="0.2">
      <c r="A677" s="6693" t="s">
        <v>1040</v>
      </c>
      <c r="B677" s="5400" t="s">
        <v>1040</v>
      </c>
      <c r="C677" s="6013">
        <f t="shared" si="10"/>
        <v>2</v>
      </c>
      <c r="D677" s="5401" t="s">
        <v>1043</v>
      </c>
      <c r="E677" s="5402" t="s">
        <v>10</v>
      </c>
      <c r="F677" s="5403">
        <v>-31</v>
      </c>
      <c r="G677" s="5404" t="s">
        <v>11</v>
      </c>
      <c r="H677" s="5405">
        <v>6182.59</v>
      </c>
      <c r="I677" s="5406" t="s">
        <v>11</v>
      </c>
      <c r="J677" s="5407" t="s">
        <v>1044</v>
      </c>
      <c r="K677" s="5940" t="s">
        <v>1149</v>
      </c>
      <c r="L677" s="6760" t="str">
        <f>VLOOKUP(K677,'COD.'!$A$1:$B$39,2,0)</f>
        <v xml:space="preserve">Ocio y Entretenimiento </v>
      </c>
    </row>
    <row r="678" spans="1:12" x14ac:dyDescent="0.2">
      <c r="A678" s="6694" t="s">
        <v>1040</v>
      </c>
      <c r="B678" s="5408" t="s">
        <v>1040</v>
      </c>
      <c r="C678" s="6013">
        <f t="shared" si="10"/>
        <v>2</v>
      </c>
      <c r="D678" s="5409" t="s">
        <v>191</v>
      </c>
      <c r="E678" s="5410" t="s">
        <v>192</v>
      </c>
      <c r="F678" s="5411">
        <v>-30</v>
      </c>
      <c r="G678" s="5412" t="s">
        <v>11</v>
      </c>
      <c r="H678" s="5413">
        <v>6213.59</v>
      </c>
      <c r="I678" s="5414" t="s">
        <v>11</v>
      </c>
      <c r="J678" s="5415" t="s">
        <v>193</v>
      </c>
      <c r="K678" s="5940" t="s">
        <v>1168</v>
      </c>
      <c r="L678" s="6760" t="str">
        <f>VLOOKUP(K678,'COD.'!$A$1:$B$39,2,0)</f>
        <v>Moto</v>
      </c>
    </row>
    <row r="679" spans="1:12" x14ac:dyDescent="0.2">
      <c r="A679" s="6695" t="s">
        <v>1040</v>
      </c>
      <c r="B679" s="5416" t="s">
        <v>1040</v>
      </c>
      <c r="C679" s="6013">
        <f t="shared" si="10"/>
        <v>2</v>
      </c>
      <c r="D679" s="5417" t="s">
        <v>194</v>
      </c>
      <c r="E679" s="5418" t="s">
        <v>1045</v>
      </c>
      <c r="F679" s="5419">
        <v>-50</v>
      </c>
      <c r="G679" s="5420" t="s">
        <v>11</v>
      </c>
      <c r="H679" s="5421">
        <v>6243.59</v>
      </c>
      <c r="I679" s="5422" t="s">
        <v>11</v>
      </c>
      <c r="J679" s="5423" t="s">
        <v>1046</v>
      </c>
      <c r="K679" s="5940" t="s">
        <v>1154</v>
      </c>
      <c r="L679" s="6760" t="str">
        <f>VLOOKUP(K679,'COD.'!$A$1:$B$39,2,0)</f>
        <v xml:space="preserve">Vivienda y Préstamos </v>
      </c>
    </row>
    <row r="680" spans="1:12" x14ac:dyDescent="0.2">
      <c r="A680" s="6696" t="s">
        <v>1040</v>
      </c>
      <c r="B680" s="5424" t="s">
        <v>1040</v>
      </c>
      <c r="C680" s="6013">
        <f t="shared" si="10"/>
        <v>2</v>
      </c>
      <c r="D680" s="5425" t="s">
        <v>197</v>
      </c>
      <c r="E680" s="5426" t="s">
        <v>1047</v>
      </c>
      <c r="F680" s="5427">
        <v>-65</v>
      </c>
      <c r="G680" s="5428" t="s">
        <v>11</v>
      </c>
      <c r="H680" s="5429">
        <v>6293.59</v>
      </c>
      <c r="I680" s="5430" t="s">
        <v>11</v>
      </c>
      <c r="J680" s="5431" t="s">
        <v>1048</v>
      </c>
      <c r="K680" s="5940" t="s">
        <v>1155</v>
      </c>
      <c r="L680" s="6760" t="str">
        <f>VLOOKUP(K680,'COD.'!$A$1:$B$39,2,0)</f>
        <v xml:space="preserve">Ocio y Entretenimiento </v>
      </c>
    </row>
    <row r="681" spans="1:12" x14ac:dyDescent="0.2">
      <c r="A681" s="6697" t="s">
        <v>1049</v>
      </c>
      <c r="B681" s="5432" t="s">
        <v>1040</v>
      </c>
      <c r="C681" s="6013">
        <f t="shared" si="10"/>
        <v>2</v>
      </c>
      <c r="D681" s="5433" t="s">
        <v>60</v>
      </c>
      <c r="E681" s="5434" t="s">
        <v>1050</v>
      </c>
      <c r="F681" s="5435">
        <v>-40</v>
      </c>
      <c r="G681" s="5436" t="s">
        <v>11</v>
      </c>
      <c r="H681" s="5437">
        <v>6358.59</v>
      </c>
      <c r="I681" s="5438" t="s">
        <v>11</v>
      </c>
      <c r="J681" s="5439" t="s">
        <v>1051</v>
      </c>
      <c r="K681" s="5982" t="s">
        <v>60</v>
      </c>
      <c r="L681" s="6760" t="str">
        <f>VLOOKUP(K681,'COD.'!$A$1:$B$39,2,0)</f>
        <v xml:space="preserve">Transferencias y Efectivo </v>
      </c>
    </row>
    <row r="682" spans="1:12" x14ac:dyDescent="0.2">
      <c r="A682" s="6698" t="s">
        <v>1049</v>
      </c>
      <c r="B682" s="5440" t="s">
        <v>1040</v>
      </c>
      <c r="C682" s="6013">
        <f t="shared" si="10"/>
        <v>2</v>
      </c>
      <c r="D682" s="5441" t="s">
        <v>60</v>
      </c>
      <c r="E682" s="5442" t="s">
        <v>1052</v>
      </c>
      <c r="F682" s="5443">
        <v>42</v>
      </c>
      <c r="G682" s="5444" t="s">
        <v>11</v>
      </c>
      <c r="H682" s="5445">
        <v>6398.59</v>
      </c>
      <c r="I682" s="5446" t="s">
        <v>11</v>
      </c>
      <c r="J682" s="5447" t="s">
        <v>1053</v>
      </c>
      <c r="K682" s="5982" t="s">
        <v>60</v>
      </c>
      <c r="L682" s="6760" t="str">
        <f>VLOOKUP(K682,'COD.'!$A$1:$B$39,2,0)</f>
        <v xml:space="preserve">Transferencias y Efectivo </v>
      </c>
    </row>
    <row r="683" spans="1:12" x14ac:dyDescent="0.2">
      <c r="A683" s="6699" t="s">
        <v>1054</v>
      </c>
      <c r="B683" s="5448" t="s">
        <v>1040</v>
      </c>
      <c r="C683" s="6013">
        <f t="shared" si="10"/>
        <v>2</v>
      </c>
      <c r="D683" s="5449" t="s">
        <v>183</v>
      </c>
      <c r="E683" s="5450" t="s">
        <v>10</v>
      </c>
      <c r="F683" s="5451">
        <v>-9</v>
      </c>
      <c r="G683" s="5452" t="s">
        <v>11</v>
      </c>
      <c r="H683" s="5453">
        <v>6356.59</v>
      </c>
      <c r="I683" s="5454" t="s">
        <v>11</v>
      </c>
      <c r="J683" s="5455" t="s">
        <v>184</v>
      </c>
      <c r="K683" s="5940" t="s">
        <v>1165</v>
      </c>
      <c r="L683" s="6760" t="str">
        <f>VLOOKUP(K683,'COD.'!$A$1:$B$39,2,0)</f>
        <v xml:space="preserve">Otros Gastos Generales </v>
      </c>
    </row>
    <row r="684" spans="1:12" x14ac:dyDescent="0.2">
      <c r="A684" s="6700" t="s">
        <v>1055</v>
      </c>
      <c r="B684" s="5456" t="s">
        <v>1055</v>
      </c>
      <c r="C684" s="6013">
        <f t="shared" si="10"/>
        <v>1</v>
      </c>
      <c r="D684" s="5457" t="s">
        <v>51</v>
      </c>
      <c r="E684" s="5458" t="s">
        <v>10</v>
      </c>
      <c r="F684" s="5459">
        <v>-7.5</v>
      </c>
      <c r="G684" s="5460" t="s">
        <v>11</v>
      </c>
      <c r="H684" s="5461">
        <v>6365.59</v>
      </c>
      <c r="I684" s="5462" t="s">
        <v>11</v>
      </c>
      <c r="J684" s="5463" t="s">
        <v>52</v>
      </c>
      <c r="K684" s="5940" t="s">
        <v>1147</v>
      </c>
      <c r="L684" s="6760" t="str">
        <f>VLOOKUP(K684,'COD.'!$A$1:$B$39,2,0)</f>
        <v xml:space="preserve">Otros Gastos Generales </v>
      </c>
    </row>
    <row r="685" spans="1:12" x14ac:dyDescent="0.2">
      <c r="A685" s="6701" t="s">
        <v>1055</v>
      </c>
      <c r="B685" s="5464" t="s">
        <v>1055</v>
      </c>
      <c r="C685" s="6013">
        <f t="shared" si="10"/>
        <v>1</v>
      </c>
      <c r="D685" s="5465" t="s">
        <v>67</v>
      </c>
      <c r="E685" s="5466" t="s">
        <v>10</v>
      </c>
      <c r="F685" s="5467">
        <v>-43.5</v>
      </c>
      <c r="G685" s="5468" t="s">
        <v>11</v>
      </c>
      <c r="H685" s="5469">
        <v>6373.09</v>
      </c>
      <c r="I685" s="5470" t="s">
        <v>11</v>
      </c>
      <c r="J685" s="5471" t="s">
        <v>68</v>
      </c>
      <c r="K685" s="5940" t="s">
        <v>1146</v>
      </c>
      <c r="L685" s="6760" t="str">
        <f>VLOOKUP(K685,'COD.'!$A$1:$B$39,2,0)</f>
        <v xml:space="preserve">Supermercado </v>
      </c>
    </row>
    <row r="686" spans="1:12" x14ac:dyDescent="0.2">
      <c r="A686" s="6702" t="s">
        <v>1055</v>
      </c>
      <c r="B686" s="5472" t="s">
        <v>1055</v>
      </c>
      <c r="C686" s="6013">
        <f t="shared" si="10"/>
        <v>1</v>
      </c>
      <c r="D686" s="5473" t="s">
        <v>443</v>
      </c>
      <c r="E686" s="5474" t="s">
        <v>10</v>
      </c>
      <c r="F686" s="5475">
        <v>-3.26</v>
      </c>
      <c r="G686" s="5476" t="s">
        <v>11</v>
      </c>
      <c r="H686" s="5477">
        <v>6416.59</v>
      </c>
      <c r="I686" s="5478" t="s">
        <v>11</v>
      </c>
      <c r="J686" s="5479" t="s">
        <v>444</v>
      </c>
      <c r="K686" s="5940" t="s">
        <v>443</v>
      </c>
      <c r="L686" s="6760" t="str">
        <f>VLOOKUP(K686,'COD.'!$A$1:$B$39,2,0)</f>
        <v xml:space="preserve">Salud y Cuidado </v>
      </c>
    </row>
    <row r="687" spans="1:12" x14ac:dyDescent="0.2">
      <c r="A687" s="6703" t="s">
        <v>1056</v>
      </c>
      <c r="B687" s="5480" t="s">
        <v>1055</v>
      </c>
      <c r="C687" s="6013">
        <f t="shared" si="10"/>
        <v>1</v>
      </c>
      <c r="D687" s="5481" t="s">
        <v>14</v>
      </c>
      <c r="E687" s="5482" t="s">
        <v>10</v>
      </c>
      <c r="F687" s="5483">
        <v>-9.99</v>
      </c>
      <c r="G687" s="5484" t="s">
        <v>11</v>
      </c>
      <c r="H687" s="5485">
        <v>6419.85</v>
      </c>
      <c r="I687" s="5486" t="s">
        <v>11</v>
      </c>
      <c r="J687" s="5487" t="s">
        <v>909</v>
      </c>
      <c r="K687" s="6010" t="s">
        <v>1178</v>
      </c>
      <c r="L687" s="6760" t="str">
        <f>VLOOKUP(K687,'COD.'!$A$1:$B$39,2,0)</f>
        <v xml:space="preserve">Ocio y Entretenimiento </v>
      </c>
    </row>
    <row r="688" spans="1:12" x14ac:dyDescent="0.2">
      <c r="A688" s="6704" t="s">
        <v>1057</v>
      </c>
      <c r="B688" s="5488" t="s">
        <v>1055</v>
      </c>
      <c r="C688" s="6013">
        <f t="shared" si="10"/>
        <v>1</v>
      </c>
      <c r="D688" s="5489" t="s">
        <v>1058</v>
      </c>
      <c r="E688" s="5490" t="s">
        <v>10</v>
      </c>
      <c r="F688" s="5491">
        <v>-48.39</v>
      </c>
      <c r="G688" s="5492" t="s">
        <v>11</v>
      </c>
      <c r="H688" s="5493">
        <v>6429.84</v>
      </c>
      <c r="I688" s="5494" t="s">
        <v>11</v>
      </c>
      <c r="J688" s="5495" t="s">
        <v>1059</v>
      </c>
      <c r="K688" s="5940" t="s">
        <v>1149</v>
      </c>
      <c r="L688" s="6760" t="str">
        <f>VLOOKUP(K688,'COD.'!$A$1:$B$39,2,0)</f>
        <v xml:space="preserve">Ocio y Entretenimiento </v>
      </c>
    </row>
    <row r="689" spans="1:12" x14ac:dyDescent="0.2">
      <c r="A689" s="6705" t="s">
        <v>1055</v>
      </c>
      <c r="B689" s="5496" t="s">
        <v>1055</v>
      </c>
      <c r="C689" s="6013">
        <f t="shared" si="10"/>
        <v>1</v>
      </c>
      <c r="D689" s="5497" t="s">
        <v>19</v>
      </c>
      <c r="E689" s="5498" t="s">
        <v>20</v>
      </c>
      <c r="F689" s="5499">
        <v>-431.01</v>
      </c>
      <c r="G689" s="5500" t="s">
        <v>11</v>
      </c>
      <c r="H689" s="5501">
        <v>6478.23</v>
      </c>
      <c r="I689" s="5502" t="s">
        <v>11</v>
      </c>
      <c r="J689" s="5503" t="s">
        <v>21</v>
      </c>
      <c r="K689" s="5942" t="s">
        <v>1170</v>
      </c>
      <c r="L689" s="6760" t="str">
        <f>VLOOKUP(K689,'COD.'!$A$1:$B$39,2,0)</f>
        <v xml:space="preserve">Vivienda y Préstamos </v>
      </c>
    </row>
    <row r="690" spans="1:12" x14ac:dyDescent="0.2">
      <c r="A690" s="6706" t="s">
        <v>1060</v>
      </c>
      <c r="B690" s="5504" t="s">
        <v>1061</v>
      </c>
      <c r="C690" s="6013">
        <f t="shared" si="10"/>
        <v>1</v>
      </c>
      <c r="D690" s="5505" t="s">
        <v>1062</v>
      </c>
      <c r="E690" s="5506" t="s">
        <v>10</v>
      </c>
      <c r="F690" s="5507">
        <v>29.99</v>
      </c>
      <c r="G690" s="5508" t="s">
        <v>11</v>
      </c>
      <c r="H690" s="5509">
        <v>6909.24</v>
      </c>
      <c r="I690" s="5510" t="s">
        <v>11</v>
      </c>
      <c r="J690" s="5511" t="s">
        <v>1063</v>
      </c>
      <c r="K690" s="5940" t="s">
        <v>1149</v>
      </c>
      <c r="L690" s="6760" t="str">
        <f>VLOOKUP(K690,'COD.'!$A$1:$B$39,2,0)</f>
        <v xml:space="preserve">Ocio y Entretenimiento </v>
      </c>
    </row>
    <row r="691" spans="1:12" x14ac:dyDescent="0.2">
      <c r="A691" s="6707" t="s">
        <v>1060</v>
      </c>
      <c r="B691" s="5512" t="s">
        <v>1061</v>
      </c>
      <c r="C691" s="6013">
        <f t="shared" si="10"/>
        <v>1</v>
      </c>
      <c r="D691" s="5513" t="s">
        <v>1064</v>
      </c>
      <c r="E691" s="5514" t="s">
        <v>10</v>
      </c>
      <c r="F691" s="5515">
        <v>19.989999999999998</v>
      </c>
      <c r="G691" s="5516" t="s">
        <v>11</v>
      </c>
      <c r="H691" s="5517">
        <v>6879.25</v>
      </c>
      <c r="I691" s="5518" t="s">
        <v>11</v>
      </c>
      <c r="J691" s="5519" t="s">
        <v>1065</v>
      </c>
      <c r="K691" s="5940" t="s">
        <v>1149</v>
      </c>
      <c r="L691" s="6760" t="str">
        <f>VLOOKUP(K691,'COD.'!$A$1:$B$39,2,0)</f>
        <v xml:space="preserve">Ocio y Entretenimiento </v>
      </c>
    </row>
    <row r="692" spans="1:12" x14ac:dyDescent="0.2">
      <c r="A692" s="6708" t="s">
        <v>1060</v>
      </c>
      <c r="B692" s="5520" t="s">
        <v>1060</v>
      </c>
      <c r="C692" s="6013">
        <f t="shared" si="10"/>
        <v>1</v>
      </c>
      <c r="D692" s="5521" t="s">
        <v>103</v>
      </c>
      <c r="E692" s="5522" t="s">
        <v>10</v>
      </c>
      <c r="F692" s="5523">
        <v>-41.88</v>
      </c>
      <c r="G692" s="5524" t="s">
        <v>11</v>
      </c>
      <c r="H692" s="5525">
        <v>6859.26</v>
      </c>
      <c r="I692" s="5526" t="s">
        <v>11</v>
      </c>
      <c r="J692" s="5527" t="s">
        <v>104</v>
      </c>
      <c r="K692" s="5940" t="s">
        <v>1148</v>
      </c>
      <c r="L692" s="6760" t="str">
        <f>VLOOKUP(K692,'COD.'!$A$1:$B$39,2,0)</f>
        <v xml:space="preserve">Supermercado </v>
      </c>
    </row>
    <row r="693" spans="1:12" x14ac:dyDescent="0.2">
      <c r="A693" s="6709" t="s">
        <v>1060</v>
      </c>
      <c r="B693" s="5528" t="s">
        <v>1060</v>
      </c>
      <c r="C693" s="6013">
        <f t="shared" si="10"/>
        <v>1</v>
      </c>
      <c r="D693" s="5529" t="s">
        <v>899</v>
      </c>
      <c r="E693" s="5530" t="s">
        <v>10</v>
      </c>
      <c r="F693" s="5531">
        <v>-9.99</v>
      </c>
      <c r="G693" s="5532" t="s">
        <v>11</v>
      </c>
      <c r="H693" s="5533">
        <v>6901.14</v>
      </c>
      <c r="I693" s="5534" t="s">
        <v>11</v>
      </c>
      <c r="J693" s="5535" t="s">
        <v>900</v>
      </c>
      <c r="K693" s="5940" t="s">
        <v>1148</v>
      </c>
      <c r="L693" s="6760" t="str">
        <f>VLOOKUP(K693,'COD.'!$A$1:$B$39,2,0)</f>
        <v xml:space="preserve">Supermercado </v>
      </c>
    </row>
    <row r="694" spans="1:12" x14ac:dyDescent="0.2">
      <c r="A694" s="6710" t="s">
        <v>1066</v>
      </c>
      <c r="B694" s="5536" t="s">
        <v>1067</v>
      </c>
      <c r="C694" s="6013">
        <f t="shared" si="10"/>
        <v>1</v>
      </c>
      <c r="D694" s="5537" t="s">
        <v>1064</v>
      </c>
      <c r="E694" s="5538" t="s">
        <v>10</v>
      </c>
      <c r="F694" s="5539">
        <v>-19.989999999999998</v>
      </c>
      <c r="G694" s="5540" t="s">
        <v>11</v>
      </c>
      <c r="H694" s="5541">
        <v>6911.13</v>
      </c>
      <c r="I694" s="5542" t="s">
        <v>11</v>
      </c>
      <c r="J694" s="5543" t="s">
        <v>1065</v>
      </c>
      <c r="K694" s="5940" t="s">
        <v>1149</v>
      </c>
      <c r="L694" s="6760" t="str">
        <f>VLOOKUP(K694,'COD.'!$A$1:$B$39,2,0)</f>
        <v xml:space="preserve">Ocio y Entretenimiento </v>
      </c>
    </row>
    <row r="695" spans="1:12" x14ac:dyDescent="0.2">
      <c r="A695" s="6711" t="s">
        <v>1068</v>
      </c>
      <c r="B695" s="5544" t="s">
        <v>1067</v>
      </c>
      <c r="C695" s="6013">
        <f t="shared" si="10"/>
        <v>1</v>
      </c>
      <c r="D695" s="5545" t="s">
        <v>1069</v>
      </c>
      <c r="E695" s="5546" t="s">
        <v>10</v>
      </c>
      <c r="F695" s="5547">
        <v>-10.99</v>
      </c>
      <c r="G695" s="5548" t="s">
        <v>11</v>
      </c>
      <c r="H695" s="5549">
        <v>6931.12</v>
      </c>
      <c r="I695" s="5550" t="s">
        <v>11</v>
      </c>
      <c r="J695" s="5551" t="s">
        <v>1070</v>
      </c>
      <c r="K695" s="5940" t="s">
        <v>1149</v>
      </c>
      <c r="L695" s="6760" t="str">
        <f>VLOOKUP(K695,'COD.'!$A$1:$B$39,2,0)</f>
        <v xml:space="preserve">Ocio y Entretenimiento </v>
      </c>
    </row>
    <row r="696" spans="1:12" x14ac:dyDescent="0.2">
      <c r="A696" s="6712" t="s">
        <v>1066</v>
      </c>
      <c r="B696" s="5552" t="s">
        <v>1067</v>
      </c>
      <c r="C696" s="6013">
        <f t="shared" si="10"/>
        <v>1</v>
      </c>
      <c r="D696" s="5553" t="s">
        <v>1062</v>
      </c>
      <c r="E696" s="5554" t="s">
        <v>10</v>
      </c>
      <c r="F696" s="5555">
        <v>-29.99</v>
      </c>
      <c r="G696" s="5556" t="s">
        <v>11</v>
      </c>
      <c r="H696" s="5557">
        <v>6942.11</v>
      </c>
      <c r="I696" s="5558" t="s">
        <v>11</v>
      </c>
      <c r="J696" s="5559" t="s">
        <v>1063</v>
      </c>
      <c r="K696" s="5940" t="s">
        <v>1149</v>
      </c>
      <c r="L696" s="6760" t="str">
        <f>VLOOKUP(K696,'COD.'!$A$1:$B$39,2,0)</f>
        <v xml:space="preserve">Ocio y Entretenimiento </v>
      </c>
    </row>
    <row r="697" spans="1:12" x14ac:dyDescent="0.2">
      <c r="A697" s="6713" t="s">
        <v>1067</v>
      </c>
      <c r="B697" s="5560" t="s">
        <v>1067</v>
      </c>
      <c r="C697" s="6013">
        <f t="shared" si="10"/>
        <v>1</v>
      </c>
      <c r="D697" s="5561" t="s">
        <v>29</v>
      </c>
      <c r="E697" s="5562" t="s">
        <v>30</v>
      </c>
      <c r="F697" s="5563">
        <v>1867.53</v>
      </c>
      <c r="G697" s="5564" t="s">
        <v>11</v>
      </c>
      <c r="H697" s="5565">
        <v>6972.1</v>
      </c>
      <c r="I697" s="5566" t="s">
        <v>11</v>
      </c>
      <c r="J697" s="5567" t="s">
        <v>30</v>
      </c>
      <c r="K697" s="6007" t="s">
        <v>1144</v>
      </c>
      <c r="L697" s="6760" t="str">
        <f>VLOOKUP(K697,'COD.'!$A$1:$B$39,2,0)</f>
        <v xml:space="preserve">Transferencias y Efectivo </v>
      </c>
    </row>
    <row r="698" spans="1:12" x14ac:dyDescent="0.2">
      <c r="A698" s="6714" t="s">
        <v>1071</v>
      </c>
      <c r="B698" s="5568" t="s">
        <v>1067</v>
      </c>
      <c r="C698" s="6013">
        <f t="shared" si="10"/>
        <v>1</v>
      </c>
      <c r="D698" s="5569" t="s">
        <v>1072</v>
      </c>
      <c r="E698" s="5570" t="s">
        <v>10</v>
      </c>
      <c r="F698" s="5571">
        <v>-154</v>
      </c>
      <c r="G698" s="5572" t="s">
        <v>11</v>
      </c>
      <c r="H698" s="5573">
        <v>5104.57</v>
      </c>
      <c r="I698" s="5574" t="s">
        <v>11</v>
      </c>
      <c r="J698" s="5575" t="s">
        <v>1073</v>
      </c>
      <c r="K698" s="5940" t="s">
        <v>1145</v>
      </c>
      <c r="L698" s="6760" t="str">
        <f>VLOOKUP(K698,'COD.'!$A$1:$B$39,2,0)</f>
        <v xml:space="preserve">Ocio y Entretenimiento </v>
      </c>
    </row>
    <row r="699" spans="1:12" x14ac:dyDescent="0.2">
      <c r="A699" s="6715" t="s">
        <v>1057</v>
      </c>
      <c r="B699" s="5576" t="s">
        <v>1057</v>
      </c>
      <c r="C699" s="6013">
        <f t="shared" si="10"/>
        <v>1</v>
      </c>
      <c r="D699" s="5577" t="s">
        <v>1074</v>
      </c>
      <c r="E699" s="5578" t="s">
        <v>10</v>
      </c>
      <c r="F699" s="5579">
        <v>-4.99</v>
      </c>
      <c r="G699" s="5580" t="s">
        <v>11</v>
      </c>
      <c r="H699" s="5581">
        <v>5258.57</v>
      </c>
      <c r="I699" s="5582" t="s">
        <v>11</v>
      </c>
      <c r="J699" s="5583" t="s">
        <v>1075</v>
      </c>
      <c r="K699" s="5940" t="s">
        <v>1148</v>
      </c>
      <c r="L699" s="6760" t="str">
        <f>VLOOKUP(K699,'COD.'!$A$1:$B$39,2,0)</f>
        <v xml:space="preserve">Supermercado </v>
      </c>
    </row>
    <row r="700" spans="1:12" x14ac:dyDescent="0.2">
      <c r="A700" s="6716" t="s">
        <v>1057</v>
      </c>
      <c r="B700" s="5584" t="s">
        <v>1057</v>
      </c>
      <c r="C700" s="6013">
        <f t="shared" si="10"/>
        <v>1</v>
      </c>
      <c r="D700" s="5585" t="s">
        <v>60</v>
      </c>
      <c r="E700" s="5586" t="s">
        <v>1076</v>
      </c>
      <c r="F700" s="5587">
        <v>50</v>
      </c>
      <c r="G700" s="5588" t="s">
        <v>11</v>
      </c>
      <c r="H700" s="5589">
        <v>5263.56</v>
      </c>
      <c r="I700" s="5590" t="s">
        <v>11</v>
      </c>
      <c r="J700" s="5591" t="s">
        <v>1077</v>
      </c>
      <c r="K700" s="5982" t="s">
        <v>60</v>
      </c>
      <c r="L700" s="6760" t="str">
        <f>VLOOKUP(K700,'COD.'!$A$1:$B$39,2,0)</f>
        <v xml:space="preserve">Transferencias y Efectivo </v>
      </c>
    </row>
    <row r="701" spans="1:12" x14ac:dyDescent="0.2">
      <c r="A701" s="6717" t="s">
        <v>1068</v>
      </c>
      <c r="B701" s="5592" t="s">
        <v>1057</v>
      </c>
      <c r="C701" s="6013">
        <f t="shared" si="10"/>
        <v>1</v>
      </c>
      <c r="D701" s="5593" t="s">
        <v>507</v>
      </c>
      <c r="E701" s="5594" t="s">
        <v>10</v>
      </c>
      <c r="F701" s="5595">
        <v>-95.3</v>
      </c>
      <c r="G701" s="5596" t="s">
        <v>11</v>
      </c>
      <c r="H701" s="5597">
        <v>5213.5600000000004</v>
      </c>
      <c r="I701" s="5598" t="s">
        <v>11</v>
      </c>
      <c r="J701" s="5599" t="s">
        <v>508</v>
      </c>
      <c r="K701" s="5940" t="s">
        <v>1145</v>
      </c>
      <c r="L701" s="6760" t="str">
        <f>VLOOKUP(K701,'COD.'!$A$1:$B$39,2,0)</f>
        <v xml:space="preserve">Ocio y Entretenimiento </v>
      </c>
    </row>
    <row r="702" spans="1:12" x14ac:dyDescent="0.2">
      <c r="A702" s="6718" t="s">
        <v>1078</v>
      </c>
      <c r="B702" s="5600" t="s">
        <v>1068</v>
      </c>
      <c r="C702" s="6013">
        <f t="shared" si="10"/>
        <v>1</v>
      </c>
      <c r="D702" s="5601" t="s">
        <v>1079</v>
      </c>
      <c r="E702" s="5602" t="s">
        <v>10</v>
      </c>
      <c r="F702" s="5603">
        <v>-1.21</v>
      </c>
      <c r="G702" s="5604" t="s">
        <v>11</v>
      </c>
      <c r="H702" s="5605">
        <v>5308.86</v>
      </c>
      <c r="I702" s="5606" t="s">
        <v>11</v>
      </c>
      <c r="J702" s="5607" t="s">
        <v>1080</v>
      </c>
      <c r="K702" s="5940" t="s">
        <v>1149</v>
      </c>
      <c r="L702" s="6760" t="str">
        <f>VLOOKUP(K702,'COD.'!$A$1:$B$39,2,0)</f>
        <v xml:space="preserve">Ocio y Entretenimiento </v>
      </c>
    </row>
    <row r="703" spans="1:12" x14ac:dyDescent="0.2">
      <c r="A703" s="6719" t="s">
        <v>1068</v>
      </c>
      <c r="B703" s="5608" t="s">
        <v>1068</v>
      </c>
      <c r="C703" s="6013">
        <f t="shared" si="10"/>
        <v>1</v>
      </c>
      <c r="D703" s="5609" t="s">
        <v>60</v>
      </c>
      <c r="E703" s="5610" t="s">
        <v>1081</v>
      </c>
      <c r="F703" s="5611">
        <v>30</v>
      </c>
      <c r="G703" s="5612" t="s">
        <v>11</v>
      </c>
      <c r="H703" s="5613">
        <v>5310.07</v>
      </c>
      <c r="I703" s="5614" t="s">
        <v>11</v>
      </c>
      <c r="J703" s="5615" t="s">
        <v>1082</v>
      </c>
      <c r="K703" s="5982" t="s">
        <v>60</v>
      </c>
      <c r="L703" s="6760" t="str">
        <f>VLOOKUP(K703,'COD.'!$A$1:$B$39,2,0)</f>
        <v xml:space="preserve">Transferencias y Efectivo </v>
      </c>
    </row>
    <row r="704" spans="1:12" x14ac:dyDescent="0.2">
      <c r="A704" s="6720" t="s">
        <v>1068</v>
      </c>
      <c r="B704" s="5616" t="s">
        <v>1068</v>
      </c>
      <c r="C704" s="6013">
        <f t="shared" si="10"/>
        <v>1</v>
      </c>
      <c r="D704" s="5617" t="s">
        <v>166</v>
      </c>
      <c r="E704" s="5618" t="s">
        <v>164</v>
      </c>
      <c r="F704" s="5619">
        <v>-10</v>
      </c>
      <c r="G704" s="5620" t="s">
        <v>11</v>
      </c>
      <c r="H704" s="5621">
        <v>5280.07</v>
      </c>
      <c r="I704" s="5622" t="s">
        <v>11</v>
      </c>
      <c r="J704" s="5623" t="s">
        <v>167</v>
      </c>
      <c r="K704" s="5977" t="s">
        <v>1166</v>
      </c>
      <c r="L704" s="6760" t="str">
        <f>VLOOKUP(K704,'COD.'!$A$1:$B$39,2,0)</f>
        <v xml:space="preserve">Ocio y Entretenimiento </v>
      </c>
    </row>
    <row r="705" spans="1:12" x14ac:dyDescent="0.2">
      <c r="A705" s="6721" t="s">
        <v>1078</v>
      </c>
      <c r="B705" s="5624" t="s">
        <v>1078</v>
      </c>
      <c r="C705" s="6013">
        <f t="shared" si="10"/>
        <v>1</v>
      </c>
      <c r="D705" s="5625" t="s">
        <v>103</v>
      </c>
      <c r="E705" s="5626" t="s">
        <v>10</v>
      </c>
      <c r="F705" s="5627">
        <v>-3.65</v>
      </c>
      <c r="G705" s="5628" t="s">
        <v>11</v>
      </c>
      <c r="H705" s="5629">
        <v>5290.07</v>
      </c>
      <c r="I705" s="5630" t="s">
        <v>11</v>
      </c>
      <c r="J705" s="5631" t="s">
        <v>104</v>
      </c>
      <c r="K705" s="5940" t="s">
        <v>1148</v>
      </c>
      <c r="L705" s="6760" t="str">
        <f>VLOOKUP(K705,'COD.'!$A$1:$B$39,2,0)</f>
        <v xml:space="preserve">Supermercado </v>
      </c>
    </row>
    <row r="706" spans="1:12" x14ac:dyDescent="0.2">
      <c r="A706" s="6722" t="s">
        <v>1078</v>
      </c>
      <c r="B706" s="5632" t="s">
        <v>1078</v>
      </c>
      <c r="C706" s="6013">
        <f t="shared" si="10"/>
        <v>1</v>
      </c>
      <c r="D706" s="5633" t="s">
        <v>103</v>
      </c>
      <c r="E706" s="5634" t="s">
        <v>10</v>
      </c>
      <c r="F706" s="5635">
        <v>-23.21</v>
      </c>
      <c r="G706" s="5636" t="s">
        <v>11</v>
      </c>
      <c r="H706" s="5637">
        <v>5293.72</v>
      </c>
      <c r="I706" s="5638" t="s">
        <v>11</v>
      </c>
      <c r="J706" s="5639" t="s">
        <v>104</v>
      </c>
      <c r="K706" s="5940" t="s">
        <v>1148</v>
      </c>
      <c r="L706" s="6760" t="str">
        <f>VLOOKUP(K706,'COD.'!$A$1:$B$39,2,0)</f>
        <v xml:space="preserve">Supermercado </v>
      </c>
    </row>
    <row r="707" spans="1:12" x14ac:dyDescent="0.2">
      <c r="A707" s="6723" t="s">
        <v>1078</v>
      </c>
      <c r="B707" s="5640" t="s">
        <v>1078</v>
      </c>
      <c r="C707" s="6013">
        <f t="shared" ref="C707:C744" si="11">MONTH(A707)</f>
        <v>1</v>
      </c>
      <c r="D707" s="5641" t="s">
        <v>1083</v>
      </c>
      <c r="E707" s="5642" t="s">
        <v>10</v>
      </c>
      <c r="F707" s="5643">
        <v>-9</v>
      </c>
      <c r="G707" s="5644" t="s">
        <v>11</v>
      </c>
      <c r="H707" s="5645">
        <v>5316.93</v>
      </c>
      <c r="I707" s="5646" t="s">
        <v>11</v>
      </c>
      <c r="J707" s="5647" t="s">
        <v>1084</v>
      </c>
      <c r="K707" s="5940" t="s">
        <v>1157</v>
      </c>
      <c r="L707" s="6760" t="str">
        <f>VLOOKUP(K707,'COD.'!$A$1:$B$39,2,0)</f>
        <v xml:space="preserve">Ocio y Entretenimiento </v>
      </c>
    </row>
    <row r="708" spans="1:12" x14ac:dyDescent="0.2">
      <c r="A708" s="6724" t="s">
        <v>1085</v>
      </c>
      <c r="B708" s="5648" t="s">
        <v>1086</v>
      </c>
      <c r="C708" s="6013">
        <f t="shared" si="11"/>
        <v>1</v>
      </c>
      <c r="D708" s="5649" t="s">
        <v>1087</v>
      </c>
      <c r="E708" s="5650" t="s">
        <v>10</v>
      </c>
      <c r="F708" s="5651">
        <v>-3.8</v>
      </c>
      <c r="G708" s="5652" t="s">
        <v>11</v>
      </c>
      <c r="H708" s="5653">
        <v>5325.93</v>
      </c>
      <c r="I708" s="5654" t="s">
        <v>11</v>
      </c>
      <c r="J708" s="5655" t="s">
        <v>1088</v>
      </c>
      <c r="K708" s="5940" t="s">
        <v>1145</v>
      </c>
      <c r="L708" s="6760" t="str">
        <f>VLOOKUP(K708,'COD.'!$A$1:$B$39,2,0)</f>
        <v xml:space="preserve">Ocio y Entretenimiento </v>
      </c>
    </row>
    <row r="709" spans="1:12" x14ac:dyDescent="0.2">
      <c r="A709" s="6725" t="s">
        <v>1089</v>
      </c>
      <c r="B709" s="5656" t="s">
        <v>1086</v>
      </c>
      <c r="C709" s="6013">
        <f t="shared" si="11"/>
        <v>1</v>
      </c>
      <c r="D709" s="5657" t="s">
        <v>103</v>
      </c>
      <c r="E709" s="5658" t="s">
        <v>10</v>
      </c>
      <c r="F709" s="5659">
        <v>-9.52</v>
      </c>
      <c r="G709" s="5660" t="s">
        <v>11</v>
      </c>
      <c r="H709" s="5661">
        <v>5329.73</v>
      </c>
      <c r="I709" s="5662" t="s">
        <v>11</v>
      </c>
      <c r="J709" s="5663" t="s">
        <v>104</v>
      </c>
      <c r="K709" s="5940" t="s">
        <v>1148</v>
      </c>
      <c r="L709" s="6760" t="str">
        <f>VLOOKUP(K709,'COD.'!$A$1:$B$39,2,0)</f>
        <v xml:space="preserve">Supermercado </v>
      </c>
    </row>
    <row r="710" spans="1:12" x14ac:dyDescent="0.2">
      <c r="A710" s="6726" t="s">
        <v>1089</v>
      </c>
      <c r="B710" s="5664" t="s">
        <v>1086</v>
      </c>
      <c r="C710" s="6013">
        <f t="shared" si="11"/>
        <v>1</v>
      </c>
      <c r="D710" s="5665" t="s">
        <v>1090</v>
      </c>
      <c r="E710" s="5666" t="s">
        <v>10</v>
      </c>
      <c r="F710" s="5667">
        <v>-1.05</v>
      </c>
      <c r="G710" s="5668" t="s">
        <v>11</v>
      </c>
      <c r="H710" s="5669">
        <v>5339.25</v>
      </c>
      <c r="I710" s="5670" t="s">
        <v>11</v>
      </c>
      <c r="J710" s="5671" t="s">
        <v>1091</v>
      </c>
      <c r="K710" s="5940" t="s">
        <v>1148</v>
      </c>
      <c r="L710" s="6760" t="str">
        <f>VLOOKUP(K710,'COD.'!$A$1:$B$39,2,0)</f>
        <v xml:space="preserve">Supermercado </v>
      </c>
    </row>
    <row r="711" spans="1:12" x14ac:dyDescent="0.2">
      <c r="A711" s="6727" t="s">
        <v>1089</v>
      </c>
      <c r="B711" s="5672" t="s">
        <v>1086</v>
      </c>
      <c r="C711" s="6013">
        <f t="shared" si="11"/>
        <v>1</v>
      </c>
      <c r="D711" s="5673" t="s">
        <v>1092</v>
      </c>
      <c r="E711" s="5674" t="s">
        <v>10</v>
      </c>
      <c r="F711" s="5675">
        <v>-19.57</v>
      </c>
      <c r="G711" s="5676" t="s">
        <v>11</v>
      </c>
      <c r="H711" s="5677">
        <v>5340.3</v>
      </c>
      <c r="I711" s="5678" t="s">
        <v>11</v>
      </c>
      <c r="J711" s="5679" t="s">
        <v>1093</v>
      </c>
      <c r="K711" s="5940" t="s">
        <v>1148</v>
      </c>
      <c r="L711" s="6760" t="str">
        <f>VLOOKUP(K711,'COD.'!$A$1:$B$39,2,0)</f>
        <v xml:space="preserve">Supermercado </v>
      </c>
    </row>
    <row r="712" spans="1:12" x14ac:dyDescent="0.2">
      <c r="A712" s="6728" t="s">
        <v>1094</v>
      </c>
      <c r="B712" s="5680" t="s">
        <v>1094</v>
      </c>
      <c r="C712" s="6013">
        <f t="shared" si="11"/>
        <v>1</v>
      </c>
      <c r="D712" s="5681" t="s">
        <v>39</v>
      </c>
      <c r="E712" s="5682" t="s">
        <v>10</v>
      </c>
      <c r="F712" s="5683">
        <v>-53.49</v>
      </c>
      <c r="G712" s="5684" t="s">
        <v>11</v>
      </c>
      <c r="H712" s="5685">
        <v>5359.87</v>
      </c>
      <c r="I712" s="5686" t="s">
        <v>11</v>
      </c>
      <c r="J712" s="5687" t="s">
        <v>111</v>
      </c>
      <c r="K712" s="5940" t="s">
        <v>443</v>
      </c>
      <c r="L712" s="6760" t="str">
        <f>VLOOKUP(K712,'COD.'!$A$1:$B$39,2,0)</f>
        <v xml:space="preserve">Salud y Cuidado </v>
      </c>
    </row>
    <row r="713" spans="1:12" x14ac:dyDescent="0.2">
      <c r="A713" s="6729" t="s">
        <v>1095</v>
      </c>
      <c r="B713" s="5688" t="s">
        <v>1096</v>
      </c>
      <c r="C713" s="6013">
        <f t="shared" si="11"/>
        <v>1</v>
      </c>
      <c r="D713" s="5689" t="s">
        <v>769</v>
      </c>
      <c r="E713" s="5690" t="s">
        <v>10</v>
      </c>
      <c r="F713" s="5691">
        <v>-2.99</v>
      </c>
      <c r="G713" s="5692" t="s">
        <v>11</v>
      </c>
      <c r="H713" s="5693">
        <v>5413.36</v>
      </c>
      <c r="I713" s="5694" t="s">
        <v>11</v>
      </c>
      <c r="J713" s="5695" t="s">
        <v>770</v>
      </c>
      <c r="K713" s="5972" t="s">
        <v>1150</v>
      </c>
      <c r="L713" s="6760" t="str">
        <f>VLOOKUP(K713,'COD.'!$A$1:$B$39,2,0)</f>
        <v xml:space="preserve">Ocio y Entretenimiento </v>
      </c>
    </row>
    <row r="714" spans="1:12" x14ac:dyDescent="0.2">
      <c r="A714" s="6730" t="s">
        <v>1097</v>
      </c>
      <c r="B714" s="5696" t="s">
        <v>1097</v>
      </c>
      <c r="C714" s="6013">
        <f t="shared" si="11"/>
        <v>1</v>
      </c>
      <c r="D714" s="5697" t="s">
        <v>227</v>
      </c>
      <c r="E714" s="5698" t="s">
        <v>10</v>
      </c>
      <c r="F714" s="5699">
        <v>-11.32</v>
      </c>
      <c r="G714" s="5700" t="s">
        <v>11</v>
      </c>
      <c r="H714" s="5701">
        <v>5416.35</v>
      </c>
      <c r="I714" s="5702" t="s">
        <v>11</v>
      </c>
      <c r="J714" s="5703" t="s">
        <v>228</v>
      </c>
      <c r="K714" s="5940" t="s">
        <v>1156</v>
      </c>
      <c r="L714" s="6760" t="str">
        <f>VLOOKUP(K714,'COD.'!$A$1:$B$39,2,0)</f>
        <v>Moto</v>
      </c>
    </row>
    <row r="715" spans="1:12" x14ac:dyDescent="0.2">
      <c r="A715" s="6731" t="s">
        <v>1098</v>
      </c>
      <c r="B715" s="5704" t="s">
        <v>1099</v>
      </c>
      <c r="C715" s="6013">
        <f t="shared" si="11"/>
        <v>1</v>
      </c>
      <c r="D715" s="5705" t="s">
        <v>1100</v>
      </c>
      <c r="E715" s="5706" t="s">
        <v>10</v>
      </c>
      <c r="F715" s="5707">
        <v>-64.28</v>
      </c>
      <c r="G715" s="5708" t="s">
        <v>11</v>
      </c>
      <c r="H715" s="5709">
        <v>5427.67</v>
      </c>
      <c r="I715" s="5710" t="s">
        <v>11</v>
      </c>
      <c r="J715" s="5711" t="s">
        <v>1101</v>
      </c>
      <c r="K715" s="5940" t="s">
        <v>443</v>
      </c>
      <c r="L715" s="6760" t="str">
        <f>VLOOKUP(K715,'COD.'!$A$1:$B$39,2,0)</f>
        <v xml:space="preserve">Salud y Cuidado </v>
      </c>
    </row>
    <row r="716" spans="1:12" x14ac:dyDescent="0.2">
      <c r="A716" s="6732" t="s">
        <v>1098</v>
      </c>
      <c r="B716" s="5712" t="s">
        <v>1099</v>
      </c>
      <c r="C716" s="6013">
        <f t="shared" si="11"/>
        <v>1</v>
      </c>
      <c r="D716" s="5713" t="s">
        <v>1102</v>
      </c>
      <c r="E716" s="5714" t="s">
        <v>10</v>
      </c>
      <c r="F716" s="5715">
        <v>-7.3</v>
      </c>
      <c r="G716" s="5716" t="s">
        <v>11</v>
      </c>
      <c r="H716" s="5717">
        <v>5491.95</v>
      </c>
      <c r="I716" s="5718" t="s">
        <v>11</v>
      </c>
      <c r="J716" s="5719" t="s">
        <v>1103</v>
      </c>
      <c r="K716" s="5940" t="s">
        <v>1148</v>
      </c>
      <c r="L716" s="6760" t="str">
        <f>VLOOKUP(K716,'COD.'!$A$1:$B$39,2,0)</f>
        <v xml:space="preserve">Supermercado </v>
      </c>
    </row>
    <row r="717" spans="1:12" x14ac:dyDescent="0.2">
      <c r="A717" s="6733" t="s">
        <v>1098</v>
      </c>
      <c r="B717" s="5720" t="s">
        <v>1099</v>
      </c>
      <c r="C717" s="6013">
        <f t="shared" si="11"/>
        <v>1</v>
      </c>
      <c r="D717" s="5721" t="s">
        <v>1104</v>
      </c>
      <c r="E717" s="5722" t="s">
        <v>10</v>
      </c>
      <c r="F717" s="5723">
        <v>-19.3</v>
      </c>
      <c r="G717" s="5724" t="s">
        <v>11</v>
      </c>
      <c r="H717" s="5725">
        <v>5499.25</v>
      </c>
      <c r="I717" s="5726" t="s">
        <v>11</v>
      </c>
      <c r="J717" s="5727" t="s">
        <v>1105</v>
      </c>
      <c r="K717" s="5940" t="s">
        <v>1145</v>
      </c>
      <c r="L717" s="6760" t="str">
        <f>VLOOKUP(K717,'COD.'!$A$1:$B$39,2,0)</f>
        <v xml:space="preserve">Ocio y Entretenimiento </v>
      </c>
    </row>
    <row r="718" spans="1:12" x14ac:dyDescent="0.2">
      <c r="A718" s="6734" t="s">
        <v>1106</v>
      </c>
      <c r="B718" s="5728" t="s">
        <v>1099</v>
      </c>
      <c r="C718" s="6013">
        <f t="shared" si="11"/>
        <v>1</v>
      </c>
      <c r="D718" s="5729" t="s">
        <v>129</v>
      </c>
      <c r="E718" s="5730" t="s">
        <v>10</v>
      </c>
      <c r="F718" s="5731">
        <v>-7.3</v>
      </c>
      <c r="G718" s="5732" t="s">
        <v>11</v>
      </c>
      <c r="H718" s="5733">
        <v>5518.55</v>
      </c>
      <c r="I718" s="5734" t="s">
        <v>11</v>
      </c>
      <c r="J718" s="5735" t="s">
        <v>130</v>
      </c>
      <c r="K718" s="5940" t="s">
        <v>1147</v>
      </c>
      <c r="L718" s="6760" t="str">
        <f>VLOOKUP(K718,'COD.'!$A$1:$B$39,2,0)</f>
        <v xml:space="preserve">Otros Gastos Generales </v>
      </c>
    </row>
    <row r="719" spans="1:12" x14ac:dyDescent="0.2">
      <c r="A719" s="6735" t="s">
        <v>1106</v>
      </c>
      <c r="B719" s="5736" t="s">
        <v>1099</v>
      </c>
      <c r="C719" s="6013">
        <f t="shared" si="11"/>
        <v>1</v>
      </c>
      <c r="D719" s="5737" t="s">
        <v>615</v>
      </c>
      <c r="E719" s="5738" t="s">
        <v>10</v>
      </c>
      <c r="F719" s="5739">
        <v>-2.1</v>
      </c>
      <c r="G719" s="5740" t="s">
        <v>11</v>
      </c>
      <c r="H719" s="5741">
        <v>5525.85</v>
      </c>
      <c r="I719" s="5742" t="s">
        <v>11</v>
      </c>
      <c r="J719" s="5743" t="s">
        <v>616</v>
      </c>
      <c r="K719" s="5940" t="s">
        <v>1145</v>
      </c>
      <c r="L719" s="6760" t="str">
        <f>VLOOKUP(K719,'COD.'!$A$1:$B$39,2,0)</f>
        <v xml:space="preserve">Ocio y Entretenimiento </v>
      </c>
    </row>
    <row r="720" spans="1:12" x14ac:dyDescent="0.2">
      <c r="A720" s="6736" t="s">
        <v>1106</v>
      </c>
      <c r="B720" s="5744" t="s">
        <v>1099</v>
      </c>
      <c r="C720" s="6013">
        <f t="shared" si="11"/>
        <v>1</v>
      </c>
      <c r="D720" s="5745" t="s">
        <v>1107</v>
      </c>
      <c r="E720" s="5746" t="s">
        <v>10</v>
      </c>
      <c r="F720" s="5747">
        <v>-4.5</v>
      </c>
      <c r="G720" s="5748" t="s">
        <v>11</v>
      </c>
      <c r="H720" s="5749">
        <v>5527.95</v>
      </c>
      <c r="I720" s="5750" t="s">
        <v>11</v>
      </c>
      <c r="J720" s="5751" t="s">
        <v>1108</v>
      </c>
      <c r="K720" s="5940" t="s">
        <v>1158</v>
      </c>
      <c r="L720" s="6760" t="str">
        <f>VLOOKUP(K720,'COD.'!$A$1:$B$39,2,0)</f>
        <v xml:space="preserve">Vivienda y Préstamos </v>
      </c>
    </row>
    <row r="721" spans="1:12" x14ac:dyDescent="0.2">
      <c r="A721" s="6737" t="s">
        <v>1109</v>
      </c>
      <c r="B721" s="5752" t="s">
        <v>1109</v>
      </c>
      <c r="C721" s="6013">
        <f t="shared" si="11"/>
        <v>1</v>
      </c>
      <c r="D721" s="5753" t="s">
        <v>1110</v>
      </c>
      <c r="E721" s="5754" t="s">
        <v>1111</v>
      </c>
      <c r="F721" s="5755">
        <v>-35</v>
      </c>
      <c r="G721" s="5756" t="s">
        <v>11</v>
      </c>
      <c r="H721" s="5757">
        <v>5532.45</v>
      </c>
      <c r="I721" s="5758" t="s">
        <v>11</v>
      </c>
      <c r="J721" s="5759" t="s">
        <v>1112</v>
      </c>
      <c r="K721" s="5940" t="s">
        <v>1171</v>
      </c>
      <c r="L721" s="6760" t="str">
        <f>VLOOKUP(K721,'COD.'!$A$1:$B$39,2,0)</f>
        <v>BBVA</v>
      </c>
    </row>
    <row r="722" spans="1:12" x14ac:dyDescent="0.2">
      <c r="A722" s="6738" t="s">
        <v>1109</v>
      </c>
      <c r="B722" s="5760" t="s">
        <v>1109</v>
      </c>
      <c r="C722" s="6013">
        <f t="shared" si="11"/>
        <v>1</v>
      </c>
      <c r="D722" s="5761" t="s">
        <v>147</v>
      </c>
      <c r="E722" s="5762" t="s">
        <v>1113</v>
      </c>
      <c r="F722" s="5763">
        <v>-78.2</v>
      </c>
      <c r="G722" s="5764" t="s">
        <v>11</v>
      </c>
      <c r="H722" s="5765">
        <v>5567.45</v>
      </c>
      <c r="I722" s="5766" t="s">
        <v>11</v>
      </c>
      <c r="J722" s="5767" t="s">
        <v>1114</v>
      </c>
      <c r="K722" s="5940" t="s">
        <v>1152</v>
      </c>
      <c r="L722" s="6760" t="str">
        <f>VLOOKUP(K722,'COD.'!$A$1:$B$39,2,0)</f>
        <v xml:space="preserve">Suministros </v>
      </c>
    </row>
    <row r="723" spans="1:12" x14ac:dyDescent="0.2">
      <c r="A723" s="6739" t="s">
        <v>1115</v>
      </c>
      <c r="B723" s="5768" t="s">
        <v>1115</v>
      </c>
      <c r="C723" s="6013">
        <f t="shared" si="11"/>
        <v>1</v>
      </c>
      <c r="D723" s="5769" t="s">
        <v>235</v>
      </c>
      <c r="E723" s="5770" t="s">
        <v>10</v>
      </c>
      <c r="F723" s="5771">
        <v>-8.5</v>
      </c>
      <c r="G723" s="5772" t="s">
        <v>11</v>
      </c>
      <c r="H723" s="5773">
        <v>5645.65</v>
      </c>
      <c r="I723" s="5774" t="s">
        <v>11</v>
      </c>
      <c r="J723" s="5775" t="s">
        <v>236</v>
      </c>
      <c r="K723" s="5940" t="s">
        <v>1146</v>
      </c>
      <c r="L723" s="6760" t="str">
        <f>VLOOKUP(K723,'COD.'!$A$1:$B$39,2,0)</f>
        <v xml:space="preserve">Supermercado </v>
      </c>
    </row>
    <row r="724" spans="1:12" x14ac:dyDescent="0.2">
      <c r="A724" s="6740" t="s">
        <v>1115</v>
      </c>
      <c r="B724" s="5776" t="s">
        <v>1115</v>
      </c>
      <c r="C724" s="6013">
        <f t="shared" si="11"/>
        <v>1</v>
      </c>
      <c r="D724" s="5777" t="s">
        <v>103</v>
      </c>
      <c r="E724" s="5778" t="s">
        <v>10</v>
      </c>
      <c r="F724" s="5779">
        <v>-35.299999999999997</v>
      </c>
      <c r="G724" s="5780" t="s">
        <v>11</v>
      </c>
      <c r="H724" s="5781">
        <v>5654.15</v>
      </c>
      <c r="I724" s="5782" t="s">
        <v>11</v>
      </c>
      <c r="J724" s="5783" t="s">
        <v>104</v>
      </c>
      <c r="K724" s="5940" t="s">
        <v>1148</v>
      </c>
      <c r="L724" s="6760" t="str">
        <f>VLOOKUP(K724,'COD.'!$A$1:$B$39,2,0)</f>
        <v xml:space="preserve">Supermercado </v>
      </c>
    </row>
    <row r="725" spans="1:12" x14ac:dyDescent="0.2">
      <c r="A725" s="6741" t="s">
        <v>1115</v>
      </c>
      <c r="B725" s="5784" t="s">
        <v>1115</v>
      </c>
      <c r="C725" s="6013">
        <f t="shared" si="11"/>
        <v>1</v>
      </c>
      <c r="D725" s="5785" t="s">
        <v>899</v>
      </c>
      <c r="E725" s="5786" t="s">
        <v>10</v>
      </c>
      <c r="F725" s="5787">
        <v>-5.82</v>
      </c>
      <c r="G725" s="5788" t="s">
        <v>11</v>
      </c>
      <c r="H725" s="5789">
        <v>5689.45</v>
      </c>
      <c r="I725" s="5790" t="s">
        <v>11</v>
      </c>
      <c r="J725" s="5791" t="s">
        <v>900</v>
      </c>
      <c r="K725" s="5940" t="s">
        <v>1148</v>
      </c>
      <c r="L725" s="6760" t="str">
        <f>VLOOKUP(K725,'COD.'!$A$1:$B$39,2,0)</f>
        <v xml:space="preserve">Supermercado </v>
      </c>
    </row>
    <row r="726" spans="1:12" x14ac:dyDescent="0.2">
      <c r="A726" s="6742" t="s">
        <v>1116</v>
      </c>
      <c r="B726" s="5792" t="s">
        <v>1116</v>
      </c>
      <c r="C726" s="6013">
        <f t="shared" si="11"/>
        <v>1</v>
      </c>
      <c r="D726" s="5793" t="s">
        <v>507</v>
      </c>
      <c r="E726" s="5794" t="s">
        <v>10</v>
      </c>
      <c r="F726" s="5795">
        <v>-13.75</v>
      </c>
      <c r="G726" s="5796" t="s">
        <v>11</v>
      </c>
      <c r="H726" s="5797">
        <v>5695.27</v>
      </c>
      <c r="I726" s="5798" t="s">
        <v>11</v>
      </c>
      <c r="J726" s="5799" t="s">
        <v>508</v>
      </c>
      <c r="K726" s="5940" t="s">
        <v>1145</v>
      </c>
      <c r="L726" s="6760" t="str">
        <f>VLOOKUP(K726,'COD.'!$A$1:$B$39,2,0)</f>
        <v xml:space="preserve">Ocio y Entretenimiento </v>
      </c>
    </row>
    <row r="727" spans="1:12" x14ac:dyDescent="0.2">
      <c r="A727" s="6743" t="s">
        <v>1117</v>
      </c>
      <c r="B727" s="5800" t="s">
        <v>1116</v>
      </c>
      <c r="C727" s="6013">
        <f t="shared" si="11"/>
        <v>1</v>
      </c>
      <c r="D727" s="5801" t="s">
        <v>1118</v>
      </c>
      <c r="E727" s="5802" t="s">
        <v>10</v>
      </c>
      <c r="F727" s="5803">
        <v>-14.99</v>
      </c>
      <c r="G727" s="5804" t="s">
        <v>11</v>
      </c>
      <c r="H727" s="5805">
        <v>5709.02</v>
      </c>
      <c r="I727" s="5806" t="s">
        <v>11</v>
      </c>
      <c r="J727" s="5807" t="s">
        <v>1119</v>
      </c>
      <c r="K727" s="5940" t="s">
        <v>1149</v>
      </c>
      <c r="L727" s="6760" t="str">
        <f>VLOOKUP(K727,'COD.'!$A$1:$B$39,2,0)</f>
        <v xml:space="preserve">Ocio y Entretenimiento </v>
      </c>
    </row>
    <row r="728" spans="1:12" x14ac:dyDescent="0.2">
      <c r="A728" s="6744" t="s">
        <v>1117</v>
      </c>
      <c r="B728" s="5808" t="s">
        <v>1116</v>
      </c>
      <c r="C728" s="6013">
        <f t="shared" si="11"/>
        <v>1</v>
      </c>
      <c r="D728" s="5809" t="s">
        <v>1120</v>
      </c>
      <c r="E728" s="5810" t="s">
        <v>10</v>
      </c>
      <c r="F728" s="5811">
        <v>-32.07</v>
      </c>
      <c r="G728" s="5812" t="s">
        <v>11</v>
      </c>
      <c r="H728" s="5813">
        <v>5724.01</v>
      </c>
      <c r="I728" s="5814" t="s">
        <v>11</v>
      </c>
      <c r="J728" s="5815" t="s">
        <v>1121</v>
      </c>
      <c r="K728" s="5940" t="s">
        <v>1149</v>
      </c>
      <c r="L728" s="6760" t="str">
        <f>VLOOKUP(K728,'COD.'!$A$1:$B$39,2,0)</f>
        <v xml:space="preserve">Ocio y Entretenimiento </v>
      </c>
    </row>
    <row r="729" spans="1:12" x14ac:dyDescent="0.2">
      <c r="A729" s="6745" t="s">
        <v>1122</v>
      </c>
      <c r="B729" s="5816" t="s">
        <v>1116</v>
      </c>
      <c r="C729" s="6013">
        <f t="shared" si="11"/>
        <v>1</v>
      </c>
      <c r="D729" s="5817" t="s">
        <v>1123</v>
      </c>
      <c r="E729" s="5818" t="s">
        <v>10</v>
      </c>
      <c r="F729" s="5819">
        <v>-60</v>
      </c>
      <c r="G729" s="5820" t="s">
        <v>11</v>
      </c>
      <c r="H729" s="5821">
        <v>5756.08</v>
      </c>
      <c r="I729" s="5822" t="s">
        <v>11</v>
      </c>
      <c r="J729" s="5823" t="s">
        <v>1124</v>
      </c>
      <c r="K729" s="5940" t="s">
        <v>1157</v>
      </c>
      <c r="L729" s="6760" t="str">
        <f>VLOOKUP(K729,'COD.'!$A$1:$B$39,2,0)</f>
        <v xml:space="preserve">Ocio y Entretenimiento </v>
      </c>
    </row>
    <row r="730" spans="1:12" x14ac:dyDescent="0.2">
      <c r="A730" s="6746" t="s">
        <v>1116</v>
      </c>
      <c r="B730" s="5824" t="s">
        <v>1116</v>
      </c>
      <c r="C730" s="6013">
        <f t="shared" si="11"/>
        <v>1</v>
      </c>
      <c r="D730" s="5825" t="s">
        <v>16</v>
      </c>
      <c r="E730" s="5826" t="s">
        <v>1125</v>
      </c>
      <c r="F730" s="5827">
        <v>-125.9</v>
      </c>
      <c r="G730" s="5828" t="s">
        <v>11</v>
      </c>
      <c r="H730" s="5829">
        <v>5816.08</v>
      </c>
      <c r="I730" s="5830" t="s">
        <v>11</v>
      </c>
      <c r="J730" s="5831" t="s">
        <v>1126</v>
      </c>
      <c r="K730" s="5941" t="s">
        <v>1188</v>
      </c>
      <c r="L730" s="6760" t="str">
        <f>VLOOKUP(K730,'COD.'!$A$1:$B$39,2,0)</f>
        <v xml:space="preserve">Suministros </v>
      </c>
    </row>
    <row r="731" spans="1:12" x14ac:dyDescent="0.2">
      <c r="A731" s="6747" t="s">
        <v>1122</v>
      </c>
      <c r="B731" s="5832" t="s">
        <v>1116</v>
      </c>
      <c r="C731" s="6013">
        <f t="shared" si="11"/>
        <v>1</v>
      </c>
      <c r="D731" s="5833" t="s">
        <v>163</v>
      </c>
      <c r="E731" s="5834" t="s">
        <v>164</v>
      </c>
      <c r="F731" s="5835">
        <v>-55.54</v>
      </c>
      <c r="G731" s="5836" t="s">
        <v>11</v>
      </c>
      <c r="H731" s="5837">
        <v>5941.98</v>
      </c>
      <c r="I731" s="5838" t="s">
        <v>11</v>
      </c>
      <c r="J731" s="5839" t="s">
        <v>165</v>
      </c>
      <c r="K731" s="5976" t="s">
        <v>1160</v>
      </c>
      <c r="L731" s="6760" t="str">
        <f>VLOOKUP(K731,'COD.'!$A$1:$B$39,2,0)</f>
        <v xml:space="preserve">Vivienda y Préstamos </v>
      </c>
    </row>
    <row r="732" spans="1:12" x14ac:dyDescent="0.2">
      <c r="A732" s="6748" t="s">
        <v>1122</v>
      </c>
      <c r="B732" s="5840" t="s">
        <v>1116</v>
      </c>
      <c r="C732" s="6013">
        <f t="shared" si="11"/>
        <v>1</v>
      </c>
      <c r="D732" s="5841" t="s">
        <v>1127</v>
      </c>
      <c r="E732" s="5842" t="s">
        <v>10</v>
      </c>
      <c r="F732" s="5843">
        <v>-2</v>
      </c>
      <c r="G732" s="5844" t="s">
        <v>11</v>
      </c>
      <c r="H732" s="5845">
        <v>5997.52</v>
      </c>
      <c r="I732" s="5846" t="s">
        <v>11</v>
      </c>
      <c r="J732" s="5847" t="s">
        <v>1128</v>
      </c>
      <c r="K732" s="5940" t="s">
        <v>1149</v>
      </c>
      <c r="L732" s="6760" t="str">
        <f>VLOOKUP(K732,'COD.'!$A$1:$B$39,2,0)</f>
        <v xml:space="preserve">Ocio y Entretenimiento </v>
      </c>
    </row>
    <row r="733" spans="1:12" x14ac:dyDescent="0.2">
      <c r="A733" s="6749" t="s">
        <v>1122</v>
      </c>
      <c r="B733" s="5848" t="s">
        <v>1116</v>
      </c>
      <c r="C733" s="6013">
        <f t="shared" si="11"/>
        <v>1</v>
      </c>
      <c r="D733" s="5849" t="s">
        <v>1129</v>
      </c>
      <c r="E733" s="5850" t="s">
        <v>10</v>
      </c>
      <c r="F733" s="5851">
        <v>-32.549999999999997</v>
      </c>
      <c r="G733" s="5852" t="s">
        <v>11</v>
      </c>
      <c r="H733" s="5853">
        <v>5999.52</v>
      </c>
      <c r="I733" s="5854" t="s">
        <v>11</v>
      </c>
      <c r="J733" s="5855" t="s">
        <v>1130</v>
      </c>
      <c r="K733" s="5940" t="s">
        <v>1145</v>
      </c>
      <c r="L733" s="6760" t="str">
        <f>VLOOKUP(K733,'COD.'!$A$1:$B$39,2,0)</f>
        <v xml:space="preserve">Ocio y Entretenimiento </v>
      </c>
    </row>
    <row r="734" spans="1:12" x14ac:dyDescent="0.2">
      <c r="A734" s="6750" t="s">
        <v>1131</v>
      </c>
      <c r="B734" s="5856" t="s">
        <v>1132</v>
      </c>
      <c r="C734" s="6013">
        <f t="shared" si="11"/>
        <v>1</v>
      </c>
      <c r="D734" s="5857" t="s">
        <v>1133</v>
      </c>
      <c r="E734" s="5858" t="s">
        <v>10</v>
      </c>
      <c r="F734" s="5859">
        <v>-400</v>
      </c>
      <c r="G734" s="5860" t="s">
        <v>11</v>
      </c>
      <c r="H734" s="5861">
        <v>6032.07</v>
      </c>
      <c r="I734" s="5862" t="s">
        <v>11</v>
      </c>
      <c r="J734" s="5863" t="s">
        <v>1134</v>
      </c>
      <c r="K734" s="6008" t="s">
        <v>1133</v>
      </c>
      <c r="L734" s="6760" t="str">
        <f>VLOOKUP(K734,'COD.'!$A$1:$B$39,2,0)</f>
        <v xml:space="preserve">Transferencias y Efectivo </v>
      </c>
    </row>
    <row r="735" spans="1:12" x14ac:dyDescent="0.2">
      <c r="A735" s="6751" t="s">
        <v>1135</v>
      </c>
      <c r="B735" s="5864" t="s">
        <v>1132</v>
      </c>
      <c r="C735" s="6013">
        <f t="shared" si="11"/>
        <v>1</v>
      </c>
      <c r="D735" s="5865" t="s">
        <v>179</v>
      </c>
      <c r="E735" s="5866" t="s">
        <v>180</v>
      </c>
      <c r="F735" s="5867">
        <v>-83.93</v>
      </c>
      <c r="G735" s="5868" t="s">
        <v>11</v>
      </c>
      <c r="H735" s="5869">
        <v>6432.07</v>
      </c>
      <c r="I735" s="5870" t="s">
        <v>11</v>
      </c>
      <c r="J735" s="5871" t="s">
        <v>181</v>
      </c>
      <c r="K735" s="5980" t="s">
        <v>179</v>
      </c>
      <c r="L735" s="6760" t="str">
        <f>VLOOKUP(K735,'COD.'!$A$1:$B$39,2,0)</f>
        <v xml:space="preserve">Vivienda y Préstamos </v>
      </c>
    </row>
    <row r="736" spans="1:12" x14ac:dyDescent="0.2">
      <c r="A736" s="6752" t="s">
        <v>1117</v>
      </c>
      <c r="B736" s="5872" t="s">
        <v>1117</v>
      </c>
      <c r="C736" s="6013">
        <f t="shared" si="11"/>
        <v>1</v>
      </c>
      <c r="D736" s="5873" t="s">
        <v>103</v>
      </c>
      <c r="E736" s="5874" t="s">
        <v>10</v>
      </c>
      <c r="F736" s="5875">
        <v>-34.9</v>
      </c>
      <c r="G736" s="5876" t="s">
        <v>11</v>
      </c>
      <c r="H736" s="5877">
        <v>6516</v>
      </c>
      <c r="I736" s="5878" t="s">
        <v>11</v>
      </c>
      <c r="J736" s="5879" t="s">
        <v>104</v>
      </c>
      <c r="K736" s="5940" t="s">
        <v>1148</v>
      </c>
      <c r="L736" s="6760" t="str">
        <f>VLOOKUP(K736,'COD.'!$A$1:$B$39,2,0)</f>
        <v xml:space="preserve">Supermercado </v>
      </c>
    </row>
    <row r="737" spans="1:12" x14ac:dyDescent="0.2">
      <c r="A737" s="6753" t="s">
        <v>1117</v>
      </c>
      <c r="B737" s="5880" t="s">
        <v>1117</v>
      </c>
      <c r="C737" s="6013">
        <f t="shared" si="11"/>
        <v>1</v>
      </c>
      <c r="D737" s="5881" t="s">
        <v>60</v>
      </c>
      <c r="E737" s="5882" t="s">
        <v>1136</v>
      </c>
      <c r="F737" s="5883">
        <v>40</v>
      </c>
      <c r="G737" s="5884" t="s">
        <v>11</v>
      </c>
      <c r="H737" s="5885">
        <v>6550.9</v>
      </c>
      <c r="I737" s="5886" t="s">
        <v>11</v>
      </c>
      <c r="J737" s="5887" t="s">
        <v>1137</v>
      </c>
      <c r="K737" s="5984" t="s">
        <v>1152</v>
      </c>
      <c r="L737" s="6760" t="str">
        <f>VLOOKUP(K737,'COD.'!$A$1:$B$39,2,0)</f>
        <v xml:space="preserve">Suministros </v>
      </c>
    </row>
    <row r="738" spans="1:12" x14ac:dyDescent="0.2">
      <c r="A738" s="6754" t="s">
        <v>1117</v>
      </c>
      <c r="B738" s="5888" t="s">
        <v>1117</v>
      </c>
      <c r="C738" s="6013">
        <f t="shared" si="11"/>
        <v>1</v>
      </c>
      <c r="D738" s="5889" t="s">
        <v>191</v>
      </c>
      <c r="E738" s="5890" t="s">
        <v>192</v>
      </c>
      <c r="F738" s="5891">
        <v>-30</v>
      </c>
      <c r="G738" s="5892" t="s">
        <v>11</v>
      </c>
      <c r="H738" s="5893">
        <v>6510.9</v>
      </c>
      <c r="I738" s="5894" t="s">
        <v>11</v>
      </c>
      <c r="J738" s="5895" t="s">
        <v>193</v>
      </c>
      <c r="K738" s="5940" t="s">
        <v>1168</v>
      </c>
      <c r="L738" s="6760" t="str">
        <f>VLOOKUP(K738,'COD.'!$A$1:$B$39,2,0)</f>
        <v>Moto</v>
      </c>
    </row>
    <row r="739" spans="1:12" x14ac:dyDescent="0.2">
      <c r="A739" s="6755" t="s">
        <v>1117</v>
      </c>
      <c r="B739" s="5896" t="s">
        <v>1117</v>
      </c>
      <c r="C739" s="6013">
        <f t="shared" si="11"/>
        <v>1</v>
      </c>
      <c r="D739" s="5897" t="s">
        <v>194</v>
      </c>
      <c r="E739" s="5898" t="s">
        <v>1138</v>
      </c>
      <c r="F739" s="5899">
        <v>-50</v>
      </c>
      <c r="G739" s="5900" t="s">
        <v>11</v>
      </c>
      <c r="H739" s="5901">
        <v>6540.9</v>
      </c>
      <c r="I739" s="5902" t="s">
        <v>11</v>
      </c>
      <c r="J739" s="5903" t="s">
        <v>1139</v>
      </c>
      <c r="K739" s="5940" t="s">
        <v>1154</v>
      </c>
      <c r="L739" s="6760" t="str">
        <f>VLOOKUP(K739,'COD.'!$A$1:$B$39,2,0)</f>
        <v xml:space="preserve">Vivienda y Préstamos </v>
      </c>
    </row>
    <row r="740" spans="1:12" x14ac:dyDescent="0.2">
      <c r="A740" s="6756" t="s">
        <v>1131</v>
      </c>
      <c r="B740" s="5904" t="s">
        <v>1117</v>
      </c>
      <c r="C740" s="6013">
        <f t="shared" si="11"/>
        <v>1</v>
      </c>
      <c r="D740" s="5905" t="s">
        <v>183</v>
      </c>
      <c r="E740" s="5906" t="s">
        <v>10</v>
      </c>
      <c r="F740" s="5907">
        <v>-9</v>
      </c>
      <c r="G740" s="5908" t="s">
        <v>11</v>
      </c>
      <c r="H740" s="5909">
        <v>6590.9</v>
      </c>
      <c r="I740" s="5910" t="s">
        <v>11</v>
      </c>
      <c r="J740" s="5911" t="s">
        <v>184</v>
      </c>
      <c r="K740" s="5940" t="s">
        <v>1165</v>
      </c>
      <c r="L740" s="6760" t="str">
        <f>VLOOKUP(K740,'COD.'!$A$1:$B$39,2,0)</f>
        <v xml:space="preserve">Otros Gastos Generales </v>
      </c>
    </row>
    <row r="741" spans="1:12" x14ac:dyDescent="0.2">
      <c r="A741" s="6757" t="s">
        <v>1131</v>
      </c>
      <c r="B741" s="5912" t="s">
        <v>1117</v>
      </c>
      <c r="C741" s="6013">
        <f t="shared" si="11"/>
        <v>1</v>
      </c>
      <c r="D741" s="5913" t="s">
        <v>60</v>
      </c>
      <c r="E741" s="5914" t="s">
        <v>432</v>
      </c>
      <c r="F741" s="5915">
        <v>400</v>
      </c>
      <c r="G741" s="5916" t="s">
        <v>11</v>
      </c>
      <c r="H741" s="5917">
        <v>6599.9</v>
      </c>
      <c r="I741" s="5918" t="s">
        <v>11</v>
      </c>
      <c r="J741" s="5919" t="s">
        <v>433</v>
      </c>
      <c r="K741" s="6008" t="s">
        <v>1133</v>
      </c>
      <c r="L741" s="6760" t="str">
        <f>VLOOKUP(K741,'COD.'!$A$1:$B$39,2,0)</f>
        <v xml:space="preserve">Transferencias y Efectivo </v>
      </c>
    </row>
    <row r="742" spans="1:12" x14ac:dyDescent="0.2">
      <c r="A742" s="6758" t="s">
        <v>1131</v>
      </c>
      <c r="B742" s="5920" t="s">
        <v>1117</v>
      </c>
      <c r="C742" s="6013">
        <f t="shared" si="11"/>
        <v>1</v>
      </c>
      <c r="D742" s="5921" t="s">
        <v>60</v>
      </c>
      <c r="E742" s="5922" t="s">
        <v>432</v>
      </c>
      <c r="F742" s="5923">
        <v>48</v>
      </c>
      <c r="G742" s="5924" t="s">
        <v>11</v>
      </c>
      <c r="H742" s="5925">
        <v>6199.9</v>
      </c>
      <c r="I742" s="5926" t="s">
        <v>11</v>
      </c>
      <c r="J742" s="5927" t="s">
        <v>433</v>
      </c>
      <c r="K742" s="5982" t="s">
        <v>60</v>
      </c>
      <c r="L742" s="6760" t="str">
        <f>VLOOKUP(K742,'COD.'!$A$1:$B$39,2,0)</f>
        <v xml:space="preserve">Transferencias y Efectivo </v>
      </c>
    </row>
    <row r="743" spans="1:12" x14ac:dyDescent="0.2">
      <c r="A743" s="6759" t="s">
        <v>1131</v>
      </c>
      <c r="B743" s="5928" t="s">
        <v>1117</v>
      </c>
      <c r="C743" s="6013">
        <f t="shared" si="11"/>
        <v>1</v>
      </c>
      <c r="D743" s="5929" t="s">
        <v>1140</v>
      </c>
      <c r="E743" s="5930" t="s">
        <v>10</v>
      </c>
      <c r="F743" s="5931">
        <v>-26.3</v>
      </c>
      <c r="G743" s="5932" t="s">
        <v>11</v>
      </c>
      <c r="H743" s="5933">
        <v>6151.9</v>
      </c>
      <c r="I743" s="5934" t="s">
        <v>11</v>
      </c>
      <c r="J743" s="5935" t="s">
        <v>1141</v>
      </c>
      <c r="K743" s="5940" t="s">
        <v>1163</v>
      </c>
      <c r="L743" s="6760" t="str">
        <f>VLOOKUP(K743,'COD.'!$A$1:$B$39,2,0)</f>
        <v xml:space="preserve">Otros Gastos Generales </v>
      </c>
    </row>
    <row r="744" spans="1:12" x14ac:dyDescent="0.2">
      <c r="A744" s="6773" t="s">
        <v>1131</v>
      </c>
      <c r="B744" s="6774" t="s">
        <v>1117</v>
      </c>
      <c r="C744" s="6013">
        <f t="shared" si="11"/>
        <v>1</v>
      </c>
      <c r="D744" s="6775" t="s">
        <v>60</v>
      </c>
      <c r="E744" s="6776" t="s">
        <v>1142</v>
      </c>
      <c r="F744" s="6777">
        <v>-6</v>
      </c>
      <c r="G744" s="6778" t="s">
        <v>11</v>
      </c>
      <c r="H744" s="6779">
        <v>6178.2</v>
      </c>
      <c r="I744" s="6780" t="s">
        <v>11</v>
      </c>
      <c r="J744" s="6781" t="s">
        <v>1143</v>
      </c>
      <c r="K744" s="6782" t="s">
        <v>60</v>
      </c>
      <c r="L744" s="6783" t="str">
        <f>VLOOKUP(K744,'COD.'!$A$1:$B$39,2,0)</f>
        <v xml:space="preserve">Transferencias y Efectivo </v>
      </c>
    </row>
  </sheetData>
  <phoneticPr fontId="1" type="noConversion"/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CEA1-1F0C-47B7-8256-1A5E3D6FA6F4}">
  <dimension ref="A3:M466"/>
  <sheetViews>
    <sheetView tabSelected="1" workbookViewId="0">
      <selection activeCell="N52" sqref="N52"/>
    </sheetView>
  </sheetViews>
  <sheetFormatPr baseColWidth="10" defaultRowHeight="12.75" x14ac:dyDescent="0.2"/>
  <cols>
    <col min="1" max="2" width="37" style="2" bestFit="1" customWidth="1"/>
    <col min="3" max="3" width="9.42578125" style="3" bestFit="1" customWidth="1"/>
    <col min="4" max="12" width="9.42578125" style="2" bestFit="1" customWidth="1"/>
    <col min="13" max="13" width="11.28515625" style="2" bestFit="1" customWidth="1"/>
    <col min="14" max="193" width="10.140625" style="2" bestFit="1" customWidth="1"/>
    <col min="194" max="194" width="11.140625" style="2" bestFit="1" customWidth="1"/>
    <col min="195" max="195" width="13.140625" style="2" bestFit="1" customWidth="1"/>
    <col min="196" max="16384" width="11.42578125" style="2"/>
  </cols>
  <sheetData>
    <row r="3" spans="1:13" x14ac:dyDescent="0.2">
      <c r="A3" s="6012" t="s">
        <v>1175</v>
      </c>
      <c r="C3" s="6012" t="s">
        <v>1190</v>
      </c>
    </row>
    <row r="4" spans="1:13" x14ac:dyDescent="0.2">
      <c r="A4" s="6012" t="s">
        <v>1180</v>
      </c>
      <c r="B4" s="6012" t="s">
        <v>1179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 t="s">
        <v>1174</v>
      </c>
    </row>
    <row r="5" spans="1:13" x14ac:dyDescent="0.2">
      <c r="A5" s="2" t="s">
        <v>1199</v>
      </c>
      <c r="B5" s="2" t="s">
        <v>1171</v>
      </c>
      <c r="C5" s="3">
        <v>-35</v>
      </c>
      <c r="D5" s="3"/>
      <c r="E5" s="3"/>
      <c r="F5" s="3"/>
      <c r="G5" s="3"/>
      <c r="H5" s="3"/>
      <c r="I5" s="3"/>
      <c r="J5" s="3"/>
      <c r="K5" s="3"/>
      <c r="L5" s="3"/>
      <c r="M5" s="3">
        <v>-35</v>
      </c>
    </row>
    <row r="6" spans="1:13" x14ac:dyDescent="0.2">
      <c r="A6" s="2" t="s">
        <v>1201</v>
      </c>
      <c r="C6" s="3">
        <v>-35</v>
      </c>
      <c r="D6" s="3"/>
      <c r="E6" s="3"/>
      <c r="F6" s="3"/>
      <c r="G6" s="3"/>
      <c r="H6" s="3"/>
      <c r="I6" s="3"/>
      <c r="J6" s="3"/>
      <c r="K6" s="3"/>
      <c r="L6" s="3"/>
      <c r="M6" s="3">
        <v>-35</v>
      </c>
    </row>
    <row r="7" spans="1:13" x14ac:dyDescent="0.2">
      <c r="A7" s="2" t="s">
        <v>1200</v>
      </c>
      <c r="B7" s="2" t="s">
        <v>1156</v>
      </c>
      <c r="C7" s="3">
        <v>-11.32</v>
      </c>
      <c r="D7" s="3">
        <v>-12.35</v>
      </c>
      <c r="E7" s="3"/>
      <c r="F7" s="3">
        <v>-12</v>
      </c>
      <c r="G7" s="3">
        <v>-11</v>
      </c>
      <c r="H7" s="3">
        <v>-11.86</v>
      </c>
      <c r="I7" s="3">
        <v>-21.9</v>
      </c>
      <c r="J7" s="3"/>
      <c r="K7" s="3">
        <v>-79.37</v>
      </c>
      <c r="L7" s="3">
        <v>-11</v>
      </c>
      <c r="M7" s="3">
        <v>-170.8</v>
      </c>
    </row>
    <row r="8" spans="1:13" x14ac:dyDescent="0.2">
      <c r="B8" s="2" t="s">
        <v>1164</v>
      </c>
      <c r="D8" s="3"/>
      <c r="E8" s="3">
        <v>-21.29</v>
      </c>
      <c r="F8" s="3"/>
      <c r="G8" s="3"/>
      <c r="H8" s="3"/>
      <c r="I8" s="3"/>
      <c r="J8" s="3"/>
      <c r="K8" s="3"/>
      <c r="L8" s="3"/>
      <c r="M8" s="3">
        <v>-21.29</v>
      </c>
    </row>
    <row r="9" spans="1:13" x14ac:dyDescent="0.2">
      <c r="B9" s="2" t="s">
        <v>1168</v>
      </c>
      <c r="C9" s="3">
        <v>-30</v>
      </c>
      <c r="D9" s="3">
        <v>-30</v>
      </c>
      <c r="E9" s="3">
        <v>-30</v>
      </c>
      <c r="F9" s="3">
        <v>-30</v>
      </c>
      <c r="G9" s="3">
        <v>-30</v>
      </c>
      <c r="H9" s="3">
        <v>-30</v>
      </c>
      <c r="I9" s="3">
        <v>-30</v>
      </c>
      <c r="J9" s="3">
        <v>-30</v>
      </c>
      <c r="K9" s="3">
        <v>-30</v>
      </c>
      <c r="L9" s="3">
        <v>-30</v>
      </c>
      <c r="M9" s="3">
        <v>-300</v>
      </c>
    </row>
    <row r="10" spans="1:13" x14ac:dyDescent="0.2">
      <c r="A10" s="2" t="s">
        <v>1202</v>
      </c>
      <c r="C10" s="3">
        <v>-41.32</v>
      </c>
      <c r="D10" s="3">
        <v>-42.35</v>
      </c>
      <c r="E10" s="3">
        <v>-51.29</v>
      </c>
      <c r="F10" s="3">
        <v>-42</v>
      </c>
      <c r="G10" s="3">
        <v>-41</v>
      </c>
      <c r="H10" s="3">
        <v>-41.86</v>
      </c>
      <c r="I10" s="3">
        <v>-51.9</v>
      </c>
      <c r="J10" s="3">
        <v>-30</v>
      </c>
      <c r="K10" s="3">
        <v>-109.37</v>
      </c>
      <c r="L10" s="3">
        <v>-41</v>
      </c>
      <c r="M10" s="3">
        <v>-492.09000000000003</v>
      </c>
    </row>
    <row r="11" spans="1:13" x14ac:dyDescent="0.2">
      <c r="A11" s="2" t="s">
        <v>1181</v>
      </c>
      <c r="B11" s="2" t="s">
        <v>1150</v>
      </c>
      <c r="C11" s="3">
        <v>-2.99</v>
      </c>
      <c r="D11" s="3">
        <v>-2.99</v>
      </c>
      <c r="E11" s="3">
        <v>-2.99</v>
      </c>
      <c r="F11" s="3">
        <v>-2.99</v>
      </c>
      <c r="G11" s="3">
        <v>-2.99</v>
      </c>
      <c r="H11" s="3">
        <v>-2.99</v>
      </c>
      <c r="I11" s="3">
        <v>-2.99</v>
      </c>
      <c r="J11" s="3">
        <v>-2.99</v>
      </c>
      <c r="K11" s="3">
        <v>-5.48</v>
      </c>
      <c r="L11" s="3">
        <v>-5.48</v>
      </c>
      <c r="M11" s="3">
        <v>-34.880000000000003</v>
      </c>
    </row>
    <row r="12" spans="1:13" x14ac:dyDescent="0.2">
      <c r="B12" s="2" t="s">
        <v>1145</v>
      </c>
      <c r="C12" s="3">
        <v>-320.80000000000007</v>
      </c>
      <c r="D12" s="3">
        <v>-18</v>
      </c>
      <c r="E12" s="3">
        <v>-150.44</v>
      </c>
      <c r="F12" s="3">
        <v>-286.98</v>
      </c>
      <c r="G12" s="3">
        <v>-191.4</v>
      </c>
      <c r="H12" s="3">
        <v>-228.15000000000003</v>
      </c>
      <c r="I12" s="3">
        <v>-162.78</v>
      </c>
      <c r="J12" s="3">
        <v>-439.01000000000005</v>
      </c>
      <c r="K12" s="3">
        <v>-313.93</v>
      </c>
      <c r="L12" s="3">
        <v>-174.60999999999996</v>
      </c>
      <c r="M12" s="3">
        <v>-2286.1</v>
      </c>
    </row>
    <row r="13" spans="1:13" x14ac:dyDescent="0.2">
      <c r="B13" s="2" t="s">
        <v>1149</v>
      </c>
      <c r="C13" s="3">
        <v>-109.65</v>
      </c>
      <c r="D13" s="3">
        <v>-130.85999999999999</v>
      </c>
      <c r="E13" s="3">
        <v>-144.97</v>
      </c>
      <c r="F13" s="3">
        <v>-157.68</v>
      </c>
      <c r="G13" s="3">
        <v>-284</v>
      </c>
      <c r="H13" s="3">
        <v>-172.32</v>
      </c>
      <c r="I13" s="3">
        <v>-359.15000000000003</v>
      </c>
      <c r="J13" s="3">
        <v>-468.60999999999996</v>
      </c>
      <c r="K13" s="3">
        <v>-166.82999999999998</v>
      </c>
      <c r="L13" s="3">
        <v>-167.64999999999998</v>
      </c>
      <c r="M13" s="3">
        <v>-2161.7199999999998</v>
      </c>
    </row>
    <row r="14" spans="1:13" x14ac:dyDescent="0.2">
      <c r="B14" s="2" t="s">
        <v>1155</v>
      </c>
      <c r="D14" s="3">
        <v>-65</v>
      </c>
      <c r="E14" s="3">
        <v>-65</v>
      </c>
      <c r="F14" s="3">
        <v>-65</v>
      </c>
      <c r="G14" s="3">
        <v>-65</v>
      </c>
      <c r="H14" s="3">
        <v>-65</v>
      </c>
      <c r="I14" s="3">
        <v>-65</v>
      </c>
      <c r="J14" s="3">
        <v>-32.5</v>
      </c>
      <c r="K14" s="3">
        <v>-65</v>
      </c>
      <c r="L14" s="3">
        <v>-65</v>
      </c>
      <c r="M14" s="3">
        <v>-552.5</v>
      </c>
    </row>
    <row r="15" spans="1:13" x14ac:dyDescent="0.2">
      <c r="B15" s="2" t="s">
        <v>1159</v>
      </c>
      <c r="D15" s="3"/>
      <c r="E15" s="3">
        <v>72</v>
      </c>
      <c r="F15" s="3">
        <v>-120</v>
      </c>
      <c r="G15" s="3">
        <v>42</v>
      </c>
      <c r="H15" s="3">
        <v>-8</v>
      </c>
      <c r="I15" s="3">
        <v>72</v>
      </c>
      <c r="J15" s="3">
        <v>72</v>
      </c>
      <c r="K15" s="3">
        <v>-90</v>
      </c>
      <c r="L15" s="3">
        <v>35.75</v>
      </c>
      <c r="M15" s="3">
        <v>75.75</v>
      </c>
    </row>
    <row r="16" spans="1:13" x14ac:dyDescent="0.2">
      <c r="B16" s="2" t="s">
        <v>1166</v>
      </c>
      <c r="C16" s="3">
        <v>-10</v>
      </c>
      <c r="D16" s="3">
        <v>-20</v>
      </c>
      <c r="E16" s="3">
        <v>-10</v>
      </c>
      <c r="F16" s="3">
        <v>-10</v>
      </c>
      <c r="G16" s="3">
        <v>-10</v>
      </c>
      <c r="H16" s="3">
        <v>-20</v>
      </c>
      <c r="I16" s="3"/>
      <c r="J16" s="3"/>
      <c r="K16" s="3"/>
      <c r="L16" s="3">
        <v>-10</v>
      </c>
      <c r="M16" s="3">
        <v>-90</v>
      </c>
    </row>
    <row r="17" spans="1:13" x14ac:dyDescent="0.2">
      <c r="B17" s="2" t="s">
        <v>1178</v>
      </c>
      <c r="C17" s="3">
        <v>-9.99</v>
      </c>
      <c r="D17" s="3">
        <v>-9.99</v>
      </c>
      <c r="E17" s="3">
        <v>-9.99</v>
      </c>
      <c r="F17" s="3">
        <v>-9.99</v>
      </c>
      <c r="G17" s="3">
        <v>-9.99</v>
      </c>
      <c r="H17" s="3">
        <v>-6.99</v>
      </c>
      <c r="I17" s="3">
        <v>-6.99</v>
      </c>
      <c r="J17" s="3">
        <v>-6.99</v>
      </c>
      <c r="K17" s="3">
        <v>-6.99</v>
      </c>
      <c r="L17" s="3">
        <v>-6.99</v>
      </c>
      <c r="M17" s="3">
        <v>-84.899999999999991</v>
      </c>
    </row>
    <row r="18" spans="1:13" x14ac:dyDescent="0.2">
      <c r="B18" s="2" t="s">
        <v>1157</v>
      </c>
      <c r="C18" s="3">
        <v>-69</v>
      </c>
      <c r="D18" s="3"/>
      <c r="E18" s="3"/>
      <c r="F18" s="3">
        <v>-56</v>
      </c>
      <c r="G18" s="3">
        <v>-40</v>
      </c>
      <c r="H18" s="3">
        <v>-103.3</v>
      </c>
      <c r="I18" s="3"/>
      <c r="J18" s="3">
        <v>-61.4</v>
      </c>
      <c r="K18" s="3"/>
      <c r="L18" s="3">
        <v>-3</v>
      </c>
      <c r="M18" s="3">
        <v>-332.7</v>
      </c>
    </row>
    <row r="19" spans="1:13" x14ac:dyDescent="0.2">
      <c r="B19" s="2" t="s">
        <v>1172</v>
      </c>
      <c r="D19" s="3">
        <v>-75</v>
      </c>
      <c r="E19" s="3"/>
      <c r="F19" s="3">
        <v>-90</v>
      </c>
      <c r="G19" s="3">
        <v>-80</v>
      </c>
      <c r="H19" s="3"/>
      <c r="I19" s="3"/>
      <c r="J19" s="3"/>
      <c r="K19" s="3"/>
      <c r="L19" s="3"/>
      <c r="M19" s="3">
        <v>-245</v>
      </c>
    </row>
    <row r="20" spans="1:13" x14ac:dyDescent="0.2">
      <c r="B20" s="2" t="s">
        <v>1177</v>
      </c>
      <c r="D20" s="3"/>
      <c r="E20" s="3"/>
      <c r="F20" s="3"/>
      <c r="G20" s="3"/>
      <c r="H20" s="3">
        <v>-0.99</v>
      </c>
      <c r="I20" s="3">
        <v>-0.99</v>
      </c>
      <c r="J20" s="3">
        <v>-0.99</v>
      </c>
      <c r="K20" s="3">
        <v>-4.99</v>
      </c>
      <c r="L20" s="3">
        <v>-4.99</v>
      </c>
      <c r="M20" s="3">
        <v>-12.95</v>
      </c>
    </row>
    <row r="21" spans="1:13" x14ac:dyDescent="0.2">
      <c r="B21" s="2" t="s">
        <v>1176</v>
      </c>
      <c r="D21" s="3"/>
      <c r="E21" s="3"/>
      <c r="F21" s="3"/>
      <c r="G21" s="3"/>
      <c r="H21" s="3"/>
      <c r="I21" s="3">
        <v>-49.9</v>
      </c>
      <c r="J21" s="3"/>
      <c r="K21" s="3"/>
      <c r="L21" s="3"/>
      <c r="M21" s="3">
        <v>-49.9</v>
      </c>
    </row>
    <row r="22" spans="1:13" x14ac:dyDescent="0.2">
      <c r="B22" s="2" t="s">
        <v>1173</v>
      </c>
      <c r="D22" s="3">
        <v>-10.99</v>
      </c>
      <c r="E22" s="3">
        <v>-10.99</v>
      </c>
      <c r="F22" s="3">
        <v>-10.99</v>
      </c>
      <c r="G22" s="3">
        <v>-10.99</v>
      </c>
      <c r="H22" s="3">
        <v>-10.99</v>
      </c>
      <c r="I22" s="3">
        <v>-10.99</v>
      </c>
      <c r="J22" s="3">
        <v>-10.99</v>
      </c>
      <c r="K22" s="3">
        <v>-11.99</v>
      </c>
      <c r="L22" s="3">
        <v>-11.99</v>
      </c>
      <c r="M22" s="3">
        <v>-100.90999999999998</v>
      </c>
    </row>
    <row r="23" spans="1:13" x14ac:dyDescent="0.2">
      <c r="B23" s="2" t="s">
        <v>1162</v>
      </c>
      <c r="D23" s="3"/>
      <c r="E23" s="3"/>
      <c r="F23" s="3">
        <v>-42</v>
      </c>
      <c r="G23" s="3">
        <v>-52</v>
      </c>
      <c r="H23" s="3">
        <v>-49</v>
      </c>
      <c r="I23" s="3">
        <v>-44</v>
      </c>
      <c r="J23" s="3"/>
      <c r="K23" s="3"/>
      <c r="L23" s="3"/>
      <c r="M23" s="3">
        <v>-187</v>
      </c>
    </row>
    <row r="24" spans="1:13" x14ac:dyDescent="0.2">
      <c r="B24" s="2" t="s">
        <v>1169</v>
      </c>
      <c r="D24" s="3"/>
      <c r="E24" s="3"/>
      <c r="F24" s="3">
        <v>-641.4</v>
      </c>
      <c r="G24" s="3">
        <v>-304</v>
      </c>
      <c r="H24" s="3"/>
      <c r="I24" s="3">
        <v>-208.63</v>
      </c>
      <c r="J24" s="3">
        <v>-966.43000000000006</v>
      </c>
      <c r="K24" s="3">
        <v>-165</v>
      </c>
      <c r="L24" s="3"/>
      <c r="M24" s="3">
        <v>-2285.46</v>
      </c>
    </row>
    <row r="25" spans="1:13" x14ac:dyDescent="0.2">
      <c r="A25" s="2" t="s">
        <v>1193</v>
      </c>
      <c r="C25" s="3">
        <v>-522.43000000000006</v>
      </c>
      <c r="D25" s="3">
        <v>-332.83000000000004</v>
      </c>
      <c r="E25" s="3">
        <v>-322.38</v>
      </c>
      <c r="F25" s="3">
        <v>-1493.0300000000002</v>
      </c>
      <c r="G25" s="3">
        <v>-1008.37</v>
      </c>
      <c r="H25" s="3">
        <v>-667.73</v>
      </c>
      <c r="I25" s="3">
        <v>-839.42000000000007</v>
      </c>
      <c r="J25" s="3">
        <v>-1917.91</v>
      </c>
      <c r="K25" s="3">
        <v>-830.21</v>
      </c>
      <c r="L25" s="3">
        <v>-413.95999999999992</v>
      </c>
      <c r="M25" s="3">
        <v>-8348.2699999999986</v>
      </c>
    </row>
    <row r="26" spans="1:13" x14ac:dyDescent="0.2">
      <c r="A26" s="2" t="s">
        <v>1186</v>
      </c>
      <c r="B26" s="2" t="s">
        <v>1165</v>
      </c>
      <c r="C26" s="3">
        <v>-9</v>
      </c>
      <c r="D26" s="3">
        <v>-9</v>
      </c>
      <c r="E26" s="3">
        <v>-9</v>
      </c>
      <c r="F26" s="3">
        <v>-9</v>
      </c>
      <c r="G26" s="3">
        <v>-9</v>
      </c>
      <c r="H26" s="3">
        <v>-9</v>
      </c>
      <c r="I26" s="3">
        <v>-9</v>
      </c>
      <c r="J26" s="3">
        <v>-9</v>
      </c>
      <c r="K26" s="3">
        <v>-9</v>
      </c>
      <c r="L26" s="3">
        <v>-9</v>
      </c>
      <c r="M26" s="3">
        <v>-90</v>
      </c>
    </row>
    <row r="27" spans="1:13" x14ac:dyDescent="0.2">
      <c r="B27" s="2" t="s">
        <v>1147</v>
      </c>
      <c r="C27" s="3">
        <v>-14.8</v>
      </c>
      <c r="D27" s="3">
        <v>-15.4</v>
      </c>
      <c r="E27" s="3">
        <v>-8.4</v>
      </c>
      <c r="F27" s="3">
        <v>-18.2</v>
      </c>
      <c r="G27" s="3">
        <v>-10.8</v>
      </c>
      <c r="H27" s="3">
        <v>-23.000000000000004</v>
      </c>
      <c r="I27" s="3">
        <v>-20.05</v>
      </c>
      <c r="J27" s="3">
        <v>-16.5</v>
      </c>
      <c r="K27" s="3">
        <v>-15.4</v>
      </c>
      <c r="L27" s="3">
        <v>-34.700000000000003</v>
      </c>
      <c r="M27" s="3">
        <v>-177.25</v>
      </c>
    </row>
    <row r="28" spans="1:13" x14ac:dyDescent="0.2">
      <c r="B28" s="2" t="s">
        <v>1163</v>
      </c>
      <c r="C28" s="3">
        <v>-26.3</v>
      </c>
      <c r="D28" s="3"/>
      <c r="E28" s="3">
        <v>-26.26</v>
      </c>
      <c r="F28" s="3">
        <v>-22.689999999999998</v>
      </c>
      <c r="G28" s="3">
        <v>-8.66</v>
      </c>
      <c r="H28" s="3">
        <v>-12.55</v>
      </c>
      <c r="I28" s="3"/>
      <c r="J28" s="3">
        <v>-17.97</v>
      </c>
      <c r="K28" s="3"/>
      <c r="L28" s="3">
        <v>-4.88</v>
      </c>
      <c r="M28" s="3">
        <v>-119.30999999999999</v>
      </c>
    </row>
    <row r="29" spans="1:13" x14ac:dyDescent="0.2">
      <c r="A29" s="2" t="s">
        <v>1192</v>
      </c>
      <c r="C29" s="3">
        <v>-50.1</v>
      </c>
      <c r="D29" s="3">
        <v>-24.4</v>
      </c>
      <c r="E29" s="3">
        <v>-43.66</v>
      </c>
      <c r="F29" s="3">
        <v>-49.89</v>
      </c>
      <c r="G29" s="3">
        <v>-28.46</v>
      </c>
      <c r="H29" s="3">
        <v>-44.55</v>
      </c>
      <c r="I29" s="3">
        <v>-29.05</v>
      </c>
      <c r="J29" s="3">
        <v>-43.47</v>
      </c>
      <c r="K29" s="3">
        <v>-24.4</v>
      </c>
      <c r="L29" s="3">
        <v>-48.580000000000005</v>
      </c>
      <c r="M29" s="3">
        <v>-386.56</v>
      </c>
    </row>
    <row r="30" spans="1:13" x14ac:dyDescent="0.2">
      <c r="A30" s="2" t="s">
        <v>1187</v>
      </c>
      <c r="B30" s="2" t="s">
        <v>443</v>
      </c>
      <c r="C30" s="3">
        <v>-121.03</v>
      </c>
      <c r="D30" s="3"/>
      <c r="E30" s="3">
        <v>-43.91</v>
      </c>
      <c r="F30" s="3">
        <v>-57.9</v>
      </c>
      <c r="G30" s="3">
        <v>-77.260000000000005</v>
      </c>
      <c r="H30" s="3">
        <v>-329.11</v>
      </c>
      <c r="I30" s="3">
        <v>-36.339999999999996</v>
      </c>
      <c r="J30" s="3">
        <v>-81.86</v>
      </c>
      <c r="K30" s="3">
        <v>-34.799999999999997</v>
      </c>
      <c r="L30" s="3">
        <v>-222.79000000000002</v>
      </c>
      <c r="M30" s="3">
        <v>-1005</v>
      </c>
    </row>
    <row r="31" spans="1:13" x14ac:dyDescent="0.2">
      <c r="A31" s="2" t="s">
        <v>1198</v>
      </c>
      <c r="C31" s="3">
        <v>-121.03</v>
      </c>
      <c r="D31" s="3"/>
      <c r="E31" s="3">
        <v>-43.91</v>
      </c>
      <c r="F31" s="3">
        <v>-57.9</v>
      </c>
      <c r="G31" s="3">
        <v>-77.260000000000005</v>
      </c>
      <c r="H31" s="3">
        <v>-329.11</v>
      </c>
      <c r="I31" s="3">
        <v>-36.339999999999996</v>
      </c>
      <c r="J31" s="3">
        <v>-81.86</v>
      </c>
      <c r="K31" s="3">
        <v>-34.799999999999997</v>
      </c>
      <c r="L31" s="3">
        <v>-222.79000000000002</v>
      </c>
      <c r="M31" s="3">
        <v>-1005</v>
      </c>
    </row>
    <row r="32" spans="1:13" x14ac:dyDescent="0.2">
      <c r="A32" s="2" t="s">
        <v>1183</v>
      </c>
      <c r="B32" s="2" t="s">
        <v>1189</v>
      </c>
      <c r="D32" s="3">
        <v>-44.2</v>
      </c>
      <c r="E32" s="3"/>
      <c r="F32" s="3">
        <v>-43.58</v>
      </c>
      <c r="G32" s="3"/>
      <c r="H32" s="3">
        <v>-44.47</v>
      </c>
      <c r="I32" s="3"/>
      <c r="J32" s="3">
        <v>-44.47</v>
      </c>
      <c r="K32" s="3"/>
      <c r="L32" s="3">
        <v>-44.47</v>
      </c>
      <c r="M32" s="3">
        <v>-221.19</v>
      </c>
    </row>
    <row r="33" spans="1:13" x14ac:dyDescent="0.2">
      <c r="B33" s="2" t="s">
        <v>1188</v>
      </c>
      <c r="C33" s="3">
        <v>-125.9</v>
      </c>
      <c r="D33" s="3">
        <v>-126.11</v>
      </c>
      <c r="E33" s="3">
        <v>-214.2</v>
      </c>
      <c r="F33" s="3">
        <v>-73.959999999999994</v>
      </c>
      <c r="G33" s="3"/>
      <c r="H33" s="3">
        <v>-103.37</v>
      </c>
      <c r="I33" s="3">
        <v>-89.77</v>
      </c>
      <c r="J33" s="3"/>
      <c r="K33" s="3">
        <v>-88.34</v>
      </c>
      <c r="L33" s="3">
        <v>-120.83000000000001</v>
      </c>
      <c r="M33" s="3">
        <v>-942.48</v>
      </c>
    </row>
    <row r="34" spans="1:13" x14ac:dyDescent="0.2">
      <c r="B34" s="2" t="s">
        <v>1152</v>
      </c>
      <c r="C34" s="3">
        <v>-38.200000000000003</v>
      </c>
      <c r="D34" s="3">
        <v>-38.200000000000003</v>
      </c>
      <c r="E34" s="3">
        <v>-38.200000000000003</v>
      </c>
      <c r="F34" s="3">
        <v>-38.200000000000003</v>
      </c>
      <c r="G34" s="3">
        <v>-38.200000000000003</v>
      </c>
      <c r="H34" s="3">
        <v>-38.200000000000003</v>
      </c>
      <c r="I34" s="3">
        <v>-38.200000000000003</v>
      </c>
      <c r="J34" s="3">
        <v>-38.200000000000003</v>
      </c>
      <c r="K34" s="3">
        <v>-48.19</v>
      </c>
      <c r="L34" s="3">
        <v>-42.2</v>
      </c>
      <c r="M34" s="3">
        <v>-395.98999999999995</v>
      </c>
    </row>
    <row r="35" spans="1:13" x14ac:dyDescent="0.2">
      <c r="A35" s="2" t="s">
        <v>1194</v>
      </c>
      <c r="C35" s="3">
        <v>-164.10000000000002</v>
      </c>
      <c r="D35" s="3">
        <v>-208.51</v>
      </c>
      <c r="E35" s="3">
        <v>-252.39999999999998</v>
      </c>
      <c r="F35" s="3">
        <v>-155.74</v>
      </c>
      <c r="G35" s="3">
        <v>-38.200000000000003</v>
      </c>
      <c r="H35" s="3">
        <v>-186.04000000000002</v>
      </c>
      <c r="I35" s="3">
        <v>-127.97</v>
      </c>
      <c r="J35" s="3">
        <v>-82.67</v>
      </c>
      <c r="K35" s="3">
        <v>-136.53</v>
      </c>
      <c r="L35" s="3">
        <v>-207.5</v>
      </c>
      <c r="M35" s="3">
        <v>-1559.66</v>
      </c>
    </row>
    <row r="36" spans="1:13" x14ac:dyDescent="0.2">
      <c r="A36" s="2" t="s">
        <v>1184</v>
      </c>
      <c r="B36" s="2" t="s">
        <v>1146</v>
      </c>
      <c r="C36" s="3">
        <v>-52</v>
      </c>
      <c r="D36" s="3">
        <v>-235.40000000000003</v>
      </c>
      <c r="E36" s="3">
        <v>-80.67</v>
      </c>
      <c r="F36" s="3">
        <v>-91.71</v>
      </c>
      <c r="G36" s="3">
        <v>-155.13999999999999</v>
      </c>
      <c r="H36" s="3">
        <v>-116.32</v>
      </c>
      <c r="I36" s="3">
        <v>-122.04999999999998</v>
      </c>
      <c r="J36" s="3">
        <v>-25.66</v>
      </c>
      <c r="K36" s="3">
        <v>-157.1</v>
      </c>
      <c r="L36" s="3">
        <v>-192</v>
      </c>
      <c r="M36" s="3">
        <v>-1228.05</v>
      </c>
    </row>
    <row r="37" spans="1:13" x14ac:dyDescent="0.2">
      <c r="B37" s="2" t="s">
        <v>1148</v>
      </c>
      <c r="C37" s="3">
        <v>-197.17999999999998</v>
      </c>
      <c r="D37" s="3">
        <v>-184.62999999999997</v>
      </c>
      <c r="E37" s="3">
        <v>-120.25999999999999</v>
      </c>
      <c r="F37" s="3">
        <v>-153.75000000000003</v>
      </c>
      <c r="G37" s="3">
        <v>-143.9</v>
      </c>
      <c r="H37" s="3">
        <v>-226.92</v>
      </c>
      <c r="I37" s="3">
        <v>-157.60000000000002</v>
      </c>
      <c r="J37" s="3">
        <v>-148.16</v>
      </c>
      <c r="K37" s="3">
        <v>-188.37</v>
      </c>
      <c r="L37" s="3">
        <v>-269.35000000000002</v>
      </c>
      <c r="M37" s="3">
        <v>-1790.12</v>
      </c>
    </row>
    <row r="38" spans="1:13" x14ac:dyDescent="0.2">
      <c r="A38" s="2" t="s">
        <v>1197</v>
      </c>
      <c r="C38" s="3">
        <v>-249.17999999999998</v>
      </c>
      <c r="D38" s="3">
        <v>-420.03</v>
      </c>
      <c r="E38" s="3">
        <v>-200.93</v>
      </c>
      <c r="F38" s="3">
        <v>-245.46000000000004</v>
      </c>
      <c r="G38" s="3">
        <v>-299.03999999999996</v>
      </c>
      <c r="H38" s="3">
        <v>-343.24</v>
      </c>
      <c r="I38" s="3">
        <v>-279.64999999999998</v>
      </c>
      <c r="J38" s="3">
        <v>-173.82</v>
      </c>
      <c r="K38" s="3">
        <v>-345.47</v>
      </c>
      <c r="L38" s="3">
        <v>-461.35</v>
      </c>
      <c r="M38" s="3">
        <v>-3018.17</v>
      </c>
    </row>
    <row r="39" spans="1:13" x14ac:dyDescent="0.2">
      <c r="A39" s="2" t="s">
        <v>1182</v>
      </c>
      <c r="B39" s="2" t="s">
        <v>1133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>
        <v>0</v>
      </c>
    </row>
    <row r="40" spans="1:13" x14ac:dyDescent="0.2">
      <c r="B40" s="2" t="s">
        <v>60</v>
      </c>
      <c r="C40" s="3">
        <v>122</v>
      </c>
      <c r="D40" s="3">
        <v>2</v>
      </c>
      <c r="E40" s="3">
        <v>-381.67</v>
      </c>
      <c r="F40" s="3">
        <v>183.94</v>
      </c>
      <c r="G40" s="3">
        <v>-58.75</v>
      </c>
      <c r="H40" s="3">
        <v>-136</v>
      </c>
      <c r="I40" s="3">
        <v>-75</v>
      </c>
      <c r="J40" s="3">
        <v>321</v>
      </c>
      <c r="K40" s="3">
        <v>100.09</v>
      </c>
      <c r="L40" s="3">
        <v>-21</v>
      </c>
      <c r="M40" s="3">
        <v>56.609999999999985</v>
      </c>
    </row>
    <row r="41" spans="1:13" x14ac:dyDescent="0.2">
      <c r="B41" s="2" t="s">
        <v>1151</v>
      </c>
      <c r="D41" s="3"/>
      <c r="E41" s="3"/>
      <c r="F41" s="3"/>
      <c r="G41" s="3"/>
      <c r="H41" s="3"/>
      <c r="I41" s="3"/>
      <c r="J41" s="3">
        <v>300</v>
      </c>
      <c r="K41" s="3"/>
      <c r="L41" s="3"/>
      <c r="M41" s="3">
        <v>300</v>
      </c>
    </row>
    <row r="42" spans="1:13" x14ac:dyDescent="0.2">
      <c r="B42" s="2" t="s">
        <v>1144</v>
      </c>
      <c r="C42" s="3">
        <v>1867.53</v>
      </c>
      <c r="D42" s="3">
        <v>1867.53</v>
      </c>
      <c r="E42" s="3">
        <v>1867.53</v>
      </c>
      <c r="F42" s="3">
        <v>1867.53</v>
      </c>
      <c r="G42" s="3">
        <v>1817.53</v>
      </c>
      <c r="H42" s="3">
        <v>1867.53</v>
      </c>
      <c r="I42" s="3">
        <v>1867.53</v>
      </c>
      <c r="J42" s="3">
        <v>1867.53</v>
      </c>
      <c r="K42" s="3">
        <v>1867.53</v>
      </c>
      <c r="L42" s="3">
        <v>1867.53</v>
      </c>
      <c r="M42" s="3">
        <v>18625.3</v>
      </c>
    </row>
    <row r="43" spans="1:13" x14ac:dyDescent="0.2">
      <c r="B43" s="2" t="s">
        <v>1167</v>
      </c>
      <c r="D43" s="3"/>
      <c r="E43" s="3"/>
      <c r="F43" s="3"/>
      <c r="G43" s="3">
        <v>973.39</v>
      </c>
      <c r="H43" s="3"/>
      <c r="I43" s="3"/>
      <c r="J43" s="3"/>
      <c r="K43" s="3"/>
      <c r="L43" s="3"/>
      <c r="M43" s="3">
        <v>973.39</v>
      </c>
    </row>
    <row r="44" spans="1:13" x14ac:dyDescent="0.2">
      <c r="A44" s="2" t="s">
        <v>1196</v>
      </c>
      <c r="C44" s="3">
        <v>1989.53</v>
      </c>
      <c r="D44" s="3">
        <v>1869.53</v>
      </c>
      <c r="E44" s="3">
        <v>1485.86</v>
      </c>
      <c r="F44" s="3">
        <v>2051.4699999999998</v>
      </c>
      <c r="G44" s="3">
        <v>2732.17</v>
      </c>
      <c r="H44" s="3">
        <v>1731.53</v>
      </c>
      <c r="I44" s="3">
        <v>1792.53</v>
      </c>
      <c r="J44" s="3">
        <v>2488.5299999999997</v>
      </c>
      <c r="K44" s="3">
        <v>1967.62</v>
      </c>
      <c r="L44" s="3">
        <v>1846.53</v>
      </c>
      <c r="M44" s="3">
        <v>19955.3</v>
      </c>
    </row>
    <row r="45" spans="1:13" x14ac:dyDescent="0.2">
      <c r="A45" s="2" t="s">
        <v>1185</v>
      </c>
      <c r="B45" s="2" t="s">
        <v>1160</v>
      </c>
      <c r="C45" s="3">
        <v>-55.54</v>
      </c>
      <c r="D45" s="3">
        <v>-55.54</v>
      </c>
      <c r="E45" s="3">
        <v>-55.51</v>
      </c>
      <c r="F45" s="3">
        <v>-56.83</v>
      </c>
      <c r="G45" s="3">
        <v>-56.83</v>
      </c>
      <c r="H45" s="3">
        <v>-56.8</v>
      </c>
      <c r="I45" s="3">
        <v>-56.56</v>
      </c>
      <c r="J45" s="3">
        <v>-59.45</v>
      </c>
      <c r="K45" s="3">
        <v>-59.45</v>
      </c>
      <c r="L45" s="3">
        <v>-59.45</v>
      </c>
      <c r="M45" s="3">
        <v>-571.96</v>
      </c>
    </row>
    <row r="46" spans="1:13" x14ac:dyDescent="0.2">
      <c r="B46" s="2" t="s">
        <v>1158</v>
      </c>
      <c r="C46" s="3">
        <v>-4.5</v>
      </c>
      <c r="D46" s="3">
        <v>-13</v>
      </c>
      <c r="E46" s="3"/>
      <c r="F46" s="3"/>
      <c r="G46" s="3"/>
      <c r="H46" s="3">
        <v>-8.74</v>
      </c>
      <c r="I46" s="3">
        <v>-3.48</v>
      </c>
      <c r="J46" s="3"/>
      <c r="K46" s="3">
        <v>-1</v>
      </c>
      <c r="L46" s="3">
        <v>-47</v>
      </c>
      <c r="M46" s="3">
        <v>-77.72</v>
      </c>
    </row>
    <row r="47" spans="1:13" x14ac:dyDescent="0.2">
      <c r="B47" s="2" t="s">
        <v>179</v>
      </c>
      <c r="C47" s="3">
        <v>-83.93</v>
      </c>
      <c r="D47" s="3">
        <v>-83.93</v>
      </c>
      <c r="E47" s="3">
        <v>-83.93</v>
      </c>
      <c r="F47" s="3">
        <v>-83.93</v>
      </c>
      <c r="G47" s="3">
        <v>-83.97</v>
      </c>
      <c r="H47" s="3">
        <v>272.55</v>
      </c>
      <c r="I47" s="3">
        <v>-92.48</v>
      </c>
      <c r="J47" s="3">
        <v>607.36</v>
      </c>
      <c r="K47" s="3">
        <v>-92.49</v>
      </c>
      <c r="L47" s="3">
        <v>-121.07</v>
      </c>
      <c r="M47" s="3">
        <v>154.17999999999995</v>
      </c>
    </row>
    <row r="48" spans="1:13" x14ac:dyDescent="0.2">
      <c r="B48" s="2" t="s">
        <v>1154</v>
      </c>
      <c r="C48" s="3">
        <v>-50</v>
      </c>
      <c r="D48" s="3">
        <v>-50</v>
      </c>
      <c r="E48" s="3">
        <v>-50</v>
      </c>
      <c r="F48" s="3">
        <v>-50</v>
      </c>
      <c r="G48" s="3">
        <v>-50</v>
      </c>
      <c r="H48" s="3">
        <v>-50</v>
      </c>
      <c r="I48" s="3">
        <v>-50</v>
      </c>
      <c r="J48" s="3">
        <v>-50</v>
      </c>
      <c r="K48" s="3">
        <v>-50</v>
      </c>
      <c r="L48" s="3">
        <v>-50</v>
      </c>
      <c r="M48" s="3">
        <v>-500</v>
      </c>
    </row>
    <row r="49" spans="1:13" x14ac:dyDescent="0.2">
      <c r="B49" s="2" t="s">
        <v>1170</v>
      </c>
      <c r="C49" s="3">
        <v>-431.01</v>
      </c>
      <c r="D49" s="3">
        <v>-431.09</v>
      </c>
      <c r="E49" s="3">
        <v>-431.17</v>
      </c>
      <c r="F49" s="3">
        <v>-431.25</v>
      </c>
      <c r="G49" s="3">
        <v>-431.33</v>
      </c>
      <c r="H49" s="3">
        <v>-431.42</v>
      </c>
      <c r="I49" s="3">
        <v>-461.91</v>
      </c>
      <c r="J49" s="3">
        <v>-461.91</v>
      </c>
      <c r="K49" s="3">
        <v>-461.91</v>
      </c>
      <c r="L49" s="3">
        <v>-461.91</v>
      </c>
      <c r="M49" s="3">
        <v>-4434.91</v>
      </c>
    </row>
    <row r="50" spans="1:13" x14ac:dyDescent="0.2">
      <c r="B50" s="2" t="s">
        <v>1153</v>
      </c>
      <c r="D50" s="3"/>
      <c r="E50" s="3">
        <v>-56.43</v>
      </c>
      <c r="F50" s="3"/>
      <c r="G50" s="3"/>
      <c r="H50" s="3">
        <v>-56.43</v>
      </c>
      <c r="I50" s="3">
        <v>-30.3</v>
      </c>
      <c r="J50" s="3"/>
      <c r="K50" s="3">
        <v>-56.43</v>
      </c>
      <c r="L50" s="3"/>
      <c r="M50" s="3">
        <v>-199.59</v>
      </c>
    </row>
    <row r="51" spans="1:13" x14ac:dyDescent="0.2">
      <c r="A51" s="2" t="s">
        <v>1195</v>
      </c>
      <c r="C51" s="3">
        <v>-624.98</v>
      </c>
      <c r="D51" s="3">
        <v>-633.55999999999995</v>
      </c>
      <c r="E51" s="3">
        <v>-677.04</v>
      </c>
      <c r="F51" s="3">
        <v>-622.01</v>
      </c>
      <c r="G51" s="3">
        <v>-622.13</v>
      </c>
      <c r="H51" s="3">
        <v>-330.84</v>
      </c>
      <c r="I51" s="3">
        <v>-694.73</v>
      </c>
      <c r="J51" s="3">
        <v>35.999999999999943</v>
      </c>
      <c r="K51" s="3">
        <v>-721.28</v>
      </c>
      <c r="L51" s="3">
        <v>-739.43000000000006</v>
      </c>
      <c r="M51" s="3">
        <v>-5630</v>
      </c>
    </row>
    <row r="52" spans="1:13" x14ac:dyDescent="0.2">
      <c r="A52" s="2" t="s">
        <v>1174</v>
      </c>
      <c r="C52" s="3">
        <v>181.38999999999987</v>
      </c>
      <c r="D52" s="3">
        <v>207.85000000000008</v>
      </c>
      <c r="E52" s="3">
        <v>-105.75000000000006</v>
      </c>
      <c r="F52" s="3">
        <v>-614.5600000000004</v>
      </c>
      <c r="G52" s="3">
        <v>617.71000000000026</v>
      </c>
      <c r="H52" s="3">
        <v>-211.84000000000026</v>
      </c>
      <c r="I52" s="3">
        <v>-266.53000000000003</v>
      </c>
      <c r="J52" s="3">
        <v>194.80000000000035</v>
      </c>
      <c r="K52" s="3">
        <v>-234.43999999999988</v>
      </c>
      <c r="L52" s="3">
        <v>-288.07999999999987</v>
      </c>
      <c r="M52" s="3">
        <v>-519.44999999999607</v>
      </c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F106-5387-492A-8D3F-2BF56DED1AE1}">
  <dimension ref="A1:B40"/>
  <sheetViews>
    <sheetView workbookViewId="0">
      <selection sqref="A1:XFD1048576"/>
    </sheetView>
  </sheetViews>
  <sheetFormatPr baseColWidth="10" defaultRowHeight="12.75" x14ac:dyDescent="0.2"/>
  <cols>
    <col min="1" max="1" width="37" style="1" bestFit="1" customWidth="1"/>
    <col min="2" max="2" width="21.28515625" style="1" bestFit="1" customWidth="1"/>
    <col min="3" max="16384" width="11.42578125" style="1"/>
  </cols>
  <sheetData>
    <row r="1" spans="1:2" x14ac:dyDescent="0.2">
      <c r="A1" s="6017" t="s">
        <v>1179</v>
      </c>
      <c r="B1" s="6017" t="s">
        <v>1180</v>
      </c>
    </row>
    <row r="2" spans="1:2" x14ac:dyDescent="0.2">
      <c r="A2" s="6015" t="s">
        <v>1189</v>
      </c>
      <c r="B2" s="6014" t="s">
        <v>1183</v>
      </c>
    </row>
    <row r="3" spans="1:2" x14ac:dyDescent="0.2">
      <c r="A3" s="6015" t="s">
        <v>1150</v>
      </c>
      <c r="B3" s="6014" t="s">
        <v>1181</v>
      </c>
    </row>
    <row r="4" spans="1:2" x14ac:dyDescent="0.2">
      <c r="A4" s="6015" t="s">
        <v>1145</v>
      </c>
      <c r="B4" s="6014" t="s">
        <v>1181</v>
      </c>
    </row>
    <row r="5" spans="1:2" x14ac:dyDescent="0.2">
      <c r="A5" s="6015" t="s">
        <v>1160</v>
      </c>
      <c r="B5" s="6014" t="s">
        <v>1185</v>
      </c>
    </row>
    <row r="6" spans="1:2" x14ac:dyDescent="0.2">
      <c r="A6" s="6016" t="s">
        <v>1133</v>
      </c>
      <c r="B6" s="6014" t="s">
        <v>1182</v>
      </c>
    </row>
    <row r="7" spans="1:2" x14ac:dyDescent="0.2">
      <c r="A7" s="6015" t="s">
        <v>60</v>
      </c>
      <c r="B7" s="6014" t="s">
        <v>1182</v>
      </c>
    </row>
    <row r="8" spans="1:2" x14ac:dyDescent="0.2">
      <c r="A8" s="6015" t="s">
        <v>1158</v>
      </c>
      <c r="B8" s="6014" t="s">
        <v>1185</v>
      </c>
    </row>
    <row r="9" spans="1:2" x14ac:dyDescent="0.2">
      <c r="A9" s="6015" t="s">
        <v>1171</v>
      </c>
      <c r="B9" s="6014" t="s">
        <v>1199</v>
      </c>
    </row>
    <row r="10" spans="1:2" x14ac:dyDescent="0.2">
      <c r="A10" s="6015" t="s">
        <v>1149</v>
      </c>
      <c r="B10" s="6014" t="s">
        <v>1181</v>
      </c>
    </row>
    <row r="11" spans="1:2" x14ac:dyDescent="0.2">
      <c r="A11" s="6016" t="s">
        <v>179</v>
      </c>
      <c r="B11" s="6014" t="s">
        <v>1185</v>
      </c>
    </row>
    <row r="12" spans="1:2" x14ac:dyDescent="0.2">
      <c r="A12" s="6015" t="s">
        <v>1165</v>
      </c>
      <c r="B12" s="6014" t="s">
        <v>1186</v>
      </c>
    </row>
    <row r="13" spans="1:2" x14ac:dyDescent="0.2">
      <c r="A13" s="6015" t="s">
        <v>1151</v>
      </c>
      <c r="B13" s="6014" t="s">
        <v>1182</v>
      </c>
    </row>
    <row r="14" spans="1:2" x14ac:dyDescent="0.2">
      <c r="A14" s="6015" t="s">
        <v>443</v>
      </c>
      <c r="B14" s="6014" t="s">
        <v>1187</v>
      </c>
    </row>
    <row r="15" spans="1:2" x14ac:dyDescent="0.2">
      <c r="A15" s="6015" t="s">
        <v>1154</v>
      </c>
      <c r="B15" s="6014" t="s">
        <v>1185</v>
      </c>
    </row>
    <row r="16" spans="1:2" x14ac:dyDescent="0.2">
      <c r="A16" s="6015" t="s">
        <v>1156</v>
      </c>
      <c r="B16" s="6014" t="s">
        <v>1200</v>
      </c>
    </row>
    <row r="17" spans="1:2" x14ac:dyDescent="0.2">
      <c r="A17" s="6015" t="s">
        <v>1155</v>
      </c>
      <c r="B17" s="6014" t="s">
        <v>1181</v>
      </c>
    </row>
    <row r="18" spans="1:2" x14ac:dyDescent="0.2">
      <c r="A18" s="6015" t="s">
        <v>1170</v>
      </c>
      <c r="B18" s="6014" t="s">
        <v>1185</v>
      </c>
    </row>
    <row r="19" spans="1:2" x14ac:dyDescent="0.2">
      <c r="A19" s="6015" t="s">
        <v>1164</v>
      </c>
      <c r="B19" s="6014" t="s">
        <v>1200</v>
      </c>
    </row>
    <row r="20" spans="1:2" x14ac:dyDescent="0.2">
      <c r="A20" s="6015" t="s">
        <v>1159</v>
      </c>
      <c r="B20" s="6014" t="s">
        <v>1181</v>
      </c>
    </row>
    <row r="21" spans="1:2" x14ac:dyDescent="0.2">
      <c r="A21" s="6015" t="s">
        <v>1166</v>
      </c>
      <c r="B21" s="6014" t="s">
        <v>1181</v>
      </c>
    </row>
    <row r="22" spans="1:2" x14ac:dyDescent="0.2">
      <c r="A22" s="6015" t="s">
        <v>1188</v>
      </c>
      <c r="B22" s="6014" t="s">
        <v>1183</v>
      </c>
    </row>
    <row r="23" spans="1:2" x14ac:dyDescent="0.2">
      <c r="A23" s="6015" t="s">
        <v>1146</v>
      </c>
      <c r="B23" s="6014" t="s">
        <v>1184</v>
      </c>
    </row>
    <row r="24" spans="1:2" x14ac:dyDescent="0.2">
      <c r="A24" s="6015" t="s">
        <v>1178</v>
      </c>
      <c r="B24" s="6014" t="s">
        <v>1181</v>
      </c>
    </row>
    <row r="25" spans="1:2" x14ac:dyDescent="0.2">
      <c r="A25" s="6016" t="s">
        <v>1144</v>
      </c>
      <c r="B25" s="6014" t="s">
        <v>1182</v>
      </c>
    </row>
    <row r="26" spans="1:2" x14ac:dyDescent="0.2">
      <c r="A26" s="6015" t="s">
        <v>1157</v>
      </c>
      <c r="B26" s="6014" t="s">
        <v>1181</v>
      </c>
    </row>
    <row r="27" spans="1:2" x14ac:dyDescent="0.2">
      <c r="A27" s="6015" t="s">
        <v>1168</v>
      </c>
      <c r="B27" s="6014" t="s">
        <v>1200</v>
      </c>
    </row>
    <row r="28" spans="1:2" x14ac:dyDescent="0.2">
      <c r="A28" s="6015" t="s">
        <v>1172</v>
      </c>
      <c r="B28" s="6014" t="s">
        <v>1181</v>
      </c>
    </row>
    <row r="29" spans="1:2" x14ac:dyDescent="0.2">
      <c r="A29" s="6015" t="s">
        <v>1177</v>
      </c>
      <c r="B29" s="6014" t="s">
        <v>1181</v>
      </c>
    </row>
    <row r="30" spans="1:2" x14ac:dyDescent="0.2">
      <c r="A30" s="6015" t="s">
        <v>1176</v>
      </c>
      <c r="B30" s="6014" t="s">
        <v>1181</v>
      </c>
    </row>
    <row r="31" spans="1:2" x14ac:dyDescent="0.2">
      <c r="A31" s="6015" t="s">
        <v>1167</v>
      </c>
      <c r="B31" s="6014" t="s">
        <v>1182</v>
      </c>
    </row>
    <row r="32" spans="1:2" x14ac:dyDescent="0.2">
      <c r="A32" s="6015" t="s">
        <v>1173</v>
      </c>
      <c r="B32" s="6014" t="s">
        <v>1181</v>
      </c>
    </row>
    <row r="33" spans="1:2" x14ac:dyDescent="0.2">
      <c r="A33" s="6015" t="s">
        <v>1148</v>
      </c>
      <c r="B33" s="6014" t="s">
        <v>1184</v>
      </c>
    </row>
    <row r="34" spans="1:2" x14ac:dyDescent="0.2">
      <c r="A34" s="6015" t="s">
        <v>1147</v>
      </c>
      <c r="B34" s="6014" t="s">
        <v>1186</v>
      </c>
    </row>
    <row r="35" spans="1:2" x14ac:dyDescent="0.2">
      <c r="A35" s="6015" t="s">
        <v>1163</v>
      </c>
      <c r="B35" s="6014" t="s">
        <v>1186</v>
      </c>
    </row>
    <row r="36" spans="1:2" x14ac:dyDescent="0.2">
      <c r="A36" s="6015" t="s">
        <v>1153</v>
      </c>
      <c r="B36" s="6014" t="s">
        <v>1185</v>
      </c>
    </row>
    <row r="37" spans="1:2" x14ac:dyDescent="0.2">
      <c r="A37" s="6015" t="s">
        <v>1162</v>
      </c>
      <c r="B37" s="6014" t="s">
        <v>1181</v>
      </c>
    </row>
    <row r="38" spans="1:2" x14ac:dyDescent="0.2">
      <c r="A38" s="6015" t="s">
        <v>1169</v>
      </c>
      <c r="B38" s="6014" t="s">
        <v>1181</v>
      </c>
    </row>
    <row r="39" spans="1:2" x14ac:dyDescent="0.2">
      <c r="A39" s="6015" t="s">
        <v>1152</v>
      </c>
      <c r="B39" s="6014" t="s">
        <v>1183</v>
      </c>
    </row>
    <row r="40" spans="1:2" x14ac:dyDescent="0.2">
      <c r="B40" s="6011"/>
    </row>
  </sheetData>
  <autoFilter ref="A1:B1" xr:uid="{0578F106-5387-492A-8D3F-2BF56DED1AE1}"/>
  <sortState xmlns:xlrd2="http://schemas.microsoft.com/office/spreadsheetml/2017/richdata2" ref="A2:B735">
    <sortCondition ref="A2:A7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BBVA</vt:lpstr>
      <vt:lpstr>TD</vt:lpstr>
      <vt:lpstr>COD.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lastModifiedBy>Patricia Triano Redón</cp:lastModifiedBy>
  <cp:revision/>
  <dcterms:created xsi:type="dcterms:W3CDTF">2019-01-24T13:56:44Z</dcterms:created>
  <dcterms:modified xsi:type="dcterms:W3CDTF">2025-11-09T21:11:38Z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1d1fcd-b65f-4a2a-ac00-3ee38af0da43_Enabled">
    <vt:lpwstr>true</vt:lpwstr>
  </property>
  <property fmtid="{D5CDD505-2E9C-101B-9397-08002B2CF9AE}" pid="3" name="MSIP_Label_531d1fcd-b65f-4a2a-ac00-3ee38af0da43_SetDate">
    <vt:lpwstr>2025-11-09T19:15:50Z</vt:lpwstr>
  </property>
  <property fmtid="{D5CDD505-2E9C-101B-9397-08002B2CF9AE}" pid="4" name="MSIP_Label_531d1fcd-b65f-4a2a-ac00-3ee38af0da43_Method">
    <vt:lpwstr>Standard</vt:lpwstr>
  </property>
  <property fmtid="{D5CDD505-2E9C-101B-9397-08002B2CF9AE}" pid="5" name="MSIP_Label_531d1fcd-b65f-4a2a-ac00-3ee38af0da43_Name">
    <vt:lpwstr>Interna</vt:lpwstr>
  </property>
  <property fmtid="{D5CDD505-2E9C-101B-9397-08002B2CF9AE}" pid="6" name="MSIP_Label_531d1fcd-b65f-4a2a-ac00-3ee38af0da43_SiteId">
    <vt:lpwstr>a361e3c8-ac54-41b2-9043-d8743a575398</vt:lpwstr>
  </property>
  <property fmtid="{D5CDD505-2E9C-101B-9397-08002B2CF9AE}" pid="7" name="MSIP_Label_531d1fcd-b65f-4a2a-ac00-3ee38af0da43_ActionId">
    <vt:lpwstr>9009b5f5-c7d2-41cc-826f-22d5d81c8402</vt:lpwstr>
  </property>
  <property fmtid="{D5CDD505-2E9C-101B-9397-08002B2CF9AE}" pid="8" name="MSIP_Label_531d1fcd-b65f-4a2a-ac00-3ee38af0da43_ContentBits">
    <vt:lpwstr>0</vt:lpwstr>
  </property>
  <property fmtid="{D5CDD505-2E9C-101B-9397-08002B2CF9AE}" pid="9" name="MSIP_Label_531d1fcd-b65f-4a2a-ac00-3ee38af0da43_Tag">
    <vt:lpwstr>10, 3, 0, 1</vt:lpwstr>
  </property>
</Properties>
</file>