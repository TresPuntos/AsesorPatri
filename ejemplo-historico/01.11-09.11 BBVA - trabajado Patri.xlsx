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Patri\"/>
    </mc:Choice>
  </mc:AlternateContent>
  <xr:revisionPtr revIDLastSave="0" documentId="13_ncr:1_{A347B536-8819-4417-9A89-EF2D895129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forme BBVA" sheetId="1" r:id="rId1"/>
    <sheet name="TD" sheetId="3" r:id="rId2"/>
    <sheet name="COD." sheetId="2" r:id="rId3"/>
  </sheets>
  <definedNames>
    <definedName name="_xlnm._FilterDatabase" localSheetId="2" hidden="1">'COD.'!$A$1:$B$39</definedName>
    <definedName name="_xlnm._FilterDatabase" localSheetId="0" hidden="1">'Informe BBVA'!$A$1:$L$30</definedName>
  </definedNames>
  <calcPr calcId="191029"/>
  <pivotCaches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C20" i="1"/>
  <c r="C21" i="1"/>
  <c r="C22" i="1"/>
  <c r="C23" i="1"/>
  <c r="C24" i="1"/>
  <c r="C25" i="1"/>
  <c r="C26" i="1"/>
  <c r="C27" i="1"/>
  <c r="C28" i="1"/>
  <c r="C29" i="1"/>
  <c r="C30" i="1"/>
  <c r="L20" i="1"/>
  <c r="L21" i="1"/>
  <c r="L22" i="1"/>
  <c r="L23" i="1"/>
  <c r="L24" i="1"/>
  <c r="L25" i="1"/>
  <c r="L26" i="1"/>
  <c r="L27" i="1"/>
  <c r="L28" i="1"/>
  <c r="L29" i="1"/>
  <c r="L30" i="1"/>
</calcChain>
</file>

<file path=xl/sharedStrings.xml><?xml version="1.0" encoding="utf-8"?>
<sst xmlns="http://schemas.openxmlformats.org/spreadsheetml/2006/main" count="395" uniqueCount="138">
  <si>
    <t>F.Valor</t>
  </si>
  <si>
    <t>Fecha</t>
  </si>
  <si>
    <t>Concepto</t>
  </si>
  <si>
    <t>Movimiento</t>
  </si>
  <si>
    <t>Importe</t>
  </si>
  <si>
    <t>Divisa</t>
  </si>
  <si>
    <t>Disponible</t>
  </si>
  <si>
    <t>Observaciones</t>
  </si>
  <si>
    <t>Pago con tarjeta</t>
  </si>
  <si>
    <t>EUR</t>
  </si>
  <si>
    <t>4940197133530195 L ESTANC DE LA MERCE     BARCELONA    ES</t>
  </si>
  <si>
    <t>Bizum</t>
  </si>
  <si>
    <t>4940197133530195 BODEGA MANELIC           SANTA COLOMA ES</t>
  </si>
  <si>
    <t>Paypal *itunesappst apple</t>
  </si>
  <si>
    <t>4940197133530195 PAYPAL *ITUNESAPPST APPLE</t>
  </si>
  <si>
    <t>4940197133530195 CONSUM B.GR.S.ANDREU     BARCELONA    ES</t>
  </si>
  <si>
    <t>4940197133530195 LA TERRASSA DEL MERCADAL BARCELONA    ES</t>
  </si>
  <si>
    <t>Paypal *zooplus se</t>
  </si>
  <si>
    <t>4940197133530195 PAYPAL *ZOOPLUS SE</t>
  </si>
  <si>
    <t>Podimo aps</t>
  </si>
  <si>
    <t>4940197133530195 Podimo ApS</t>
  </si>
  <si>
    <t>Bbva plan estarseguro</t>
  </si>
  <si>
    <t>Otros</t>
  </si>
  <si>
    <t>BBVA PLAN ESTARSEGURO</t>
  </si>
  <si>
    <t>Cuota mensual de fraccionamiento de gastos</t>
  </si>
  <si>
    <t>Cuota préstamo</t>
  </si>
  <si>
    <t>8123450000175812</t>
  </si>
  <si>
    <t>4940197133530195 FUNDACION TEAMING        SANT CUGAT DEES</t>
  </si>
  <si>
    <t>Transferencia realizada</t>
  </si>
  <si>
    <t>Patricia triano moto</t>
  </si>
  <si>
    <t>PATRICIA TRIANO MOTO</t>
  </si>
  <si>
    <t>4940197133530195 FARM.ORT REIXACH DE PABLOBARCELONA    ES</t>
  </si>
  <si>
    <t>Farmacia</t>
  </si>
  <si>
    <t>4940197133530195 JUANA DOG SANT ANDREU PC1BARCELONA    ES</t>
  </si>
  <si>
    <t>4940197133530195 PERFUMERIES SAN REMO SL (BARCELONA    ES</t>
  </si>
  <si>
    <t>Cooltra</t>
  </si>
  <si>
    <t>4940197133530195 COOLTRA</t>
  </si>
  <si>
    <t>4940197133530195 BAR PUNT DE TROBADA BRACABARCELONA    ES</t>
  </si>
  <si>
    <t>Bit2me</t>
  </si>
  <si>
    <t>Nomina</t>
  </si>
  <si>
    <t>Bar/Restaurante</t>
  </si>
  <si>
    <t>Mascotas</t>
  </si>
  <si>
    <t>Tabaco</t>
  </si>
  <si>
    <t>Supermercado</t>
  </si>
  <si>
    <t>Compras</t>
  </si>
  <si>
    <t>Apple cloud</t>
  </si>
  <si>
    <t>Efectivo</t>
  </si>
  <si>
    <t>Vodafone</t>
  </si>
  <si>
    <t>Tributos</t>
  </si>
  <si>
    <t>Fincas</t>
  </si>
  <si>
    <t>Gimnasio</t>
  </si>
  <si>
    <t>Gasolina</t>
  </si>
  <si>
    <t>Ocio</t>
  </si>
  <si>
    <t>Casa</t>
  </si>
  <si>
    <t>Limpieza casa</t>
  </si>
  <si>
    <t>BBVA Seguro</t>
  </si>
  <si>
    <t>Uñas</t>
  </si>
  <si>
    <t>Transporte</t>
  </si>
  <si>
    <t>ITV</t>
  </si>
  <si>
    <t>Donacion</t>
  </si>
  <si>
    <t>Loteria</t>
  </si>
  <si>
    <t>Renta 2024</t>
  </si>
  <si>
    <t>Parking</t>
  </si>
  <si>
    <t>Viajes</t>
  </si>
  <si>
    <t>Hipoteca</t>
  </si>
  <si>
    <t>Comision</t>
  </si>
  <si>
    <t>Peluqueria</t>
  </si>
  <si>
    <t>Spotify</t>
  </si>
  <si>
    <t>Total general</t>
  </si>
  <si>
    <t>Suma de Importe</t>
  </si>
  <si>
    <t>Prime</t>
  </si>
  <si>
    <t>Podimo</t>
  </si>
  <si>
    <t>Netfix</t>
  </si>
  <si>
    <t>Subcatergoria</t>
  </si>
  <si>
    <t>Categoria</t>
  </si>
  <si>
    <t xml:space="preserve">Ocio y Entretenimiento </t>
  </si>
  <si>
    <t xml:space="preserve">Transferencias y Efectivo </t>
  </si>
  <si>
    <t xml:space="preserve">Suministros </t>
  </si>
  <si>
    <t xml:space="preserve">Supermercado </t>
  </si>
  <si>
    <t xml:space="preserve">Vivienda y Préstamos </t>
  </si>
  <si>
    <t xml:space="preserve">Otros Gastos Generales </t>
  </si>
  <si>
    <t xml:space="preserve">Salud y Cuidado </t>
  </si>
  <si>
    <t>Luz</t>
  </si>
  <si>
    <t>Agua</t>
  </si>
  <si>
    <t>Periodo</t>
  </si>
  <si>
    <t>Divisa2</t>
  </si>
  <si>
    <t xml:space="preserve">Total Otros Gastos Generales </t>
  </si>
  <si>
    <t xml:space="preserve">Total Ocio y Entretenimiento </t>
  </si>
  <si>
    <t xml:space="preserve">Total Vivienda y Préstamos </t>
  </si>
  <si>
    <t xml:space="preserve">Total Supermercado </t>
  </si>
  <si>
    <t xml:space="preserve">Total Salud y Cuidado </t>
  </si>
  <si>
    <t>BBVA</t>
  </si>
  <si>
    <t>Moto</t>
  </si>
  <si>
    <t>Total Moto</t>
  </si>
  <si>
    <t>07/11/2025</t>
  </si>
  <si>
    <t>La terrassa del mercadal barcelona    es</t>
  </si>
  <si>
    <t>Farmacia calduch barneda barcelona    es</t>
  </si>
  <si>
    <t>4940197133530195 FARMACIA CALDUCH BARNEDA BARCELONA    ES</t>
  </si>
  <si>
    <t>06/11/2025</t>
  </si>
  <si>
    <t>Recibido: colonia</t>
  </si>
  <si>
    <t>RECIBIDO: Colonia</t>
  </si>
  <si>
    <t>Consum b.gr.s.andreu     barcelona    es</t>
  </si>
  <si>
    <t>Juana dog sant andreu pc1barcelona    es</t>
  </si>
  <si>
    <t>L estanc de la merce     barcelona    es</t>
  </si>
  <si>
    <t>Perfumeries san remo sl (barcelona    es</t>
  </si>
  <si>
    <t>Blau perfumeries - barcelbarcelona    es</t>
  </si>
  <si>
    <t>4940197133530195 BLAU PERFUMERIES - BARCELBARCELONA    ES</t>
  </si>
  <si>
    <t>Farm.ort reixach de pablobarcelona    es</t>
  </si>
  <si>
    <t>05/11/2025</t>
  </si>
  <si>
    <t>Frankfurts original la mabarcelona    es</t>
  </si>
  <si>
    <t>4940197133530195 FRANKFURTS ORIGINAL LA MABARCELONA    ES</t>
  </si>
  <si>
    <t>Maquinista               barcelona    es</t>
  </si>
  <si>
    <t>4940197133530195 MAQUINISTA               BARCELONA    ES</t>
  </si>
  <si>
    <t>03/11/2025</t>
  </si>
  <si>
    <t>04/11/2025</t>
  </si>
  <si>
    <t>02/11/2025</t>
  </si>
  <si>
    <t>Paypal *huttopia sa b2934</t>
  </si>
  <si>
    <t>4940197133530195 PAYPAL *HUTTOPIA SA B2934</t>
  </si>
  <si>
    <t>Enviado: glovo</t>
  </si>
  <si>
    <t>ENVIADO: Glovo</t>
  </si>
  <si>
    <t>01/11/2025</t>
  </si>
  <si>
    <t>Uniqlo la maquinista</t>
  </si>
  <si>
    <t>4940197133530195 UNIQLO La Maquinista</t>
  </si>
  <si>
    <t>Adeudo de asesoria, gestoria o consultor</t>
  </si>
  <si>
    <t>N 2025307000165875 assessoria i finques fuster s.l.</t>
  </si>
  <si>
    <t>N 2025307000165875 ASSESSORIA I FINQUES FUSTER S.L.</t>
  </si>
  <si>
    <t>Adeudo a su cargo</t>
  </si>
  <si>
    <t>N 2025307001087980 m   a estudio s.c.p.</t>
  </si>
  <si>
    <t>N 2025307001087980 M   A ESTUDIO S.C.P.</t>
  </si>
  <si>
    <t>Recibido: bizum de jordi</t>
  </si>
  <si>
    <t>RECIBIDO: Bizum de Jordi</t>
  </si>
  <si>
    <t>Bodega manelic           santa coloma es</t>
  </si>
  <si>
    <t>Fundacion teaming        sant cugat dees</t>
  </si>
  <si>
    <t>Basar tot rambla         santa coloma es</t>
  </si>
  <si>
    <t>4940197133530195 Basar tot rambla         SANTA COLOMA ES</t>
  </si>
  <si>
    <t>Farggi 57 kiosco la maquibarcelona    es</t>
  </si>
  <si>
    <t>4940197133530195 FARGGI 57 KIOSCO LA MAQUIBARCELONA    ES</t>
  </si>
  <si>
    <t>Bar punt de trobada bracabarcelona   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</si>
</sst>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8"/>
      <color rgb="FF000000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11" borderId="5" xfId="0" applyFont="1" applyFill="1" applyBorder="1" applyAlignment="1">
      <alignment vertical="center"/>
    </xf>
    <xf numFmtId="4" fontId="2" fillId="11" borderId="5" xfId="0" applyNumberFormat="1" applyFont="1" applyFill="1" applyBorder="1" applyAlignment="1">
      <alignment vertical="center"/>
    </xf>
    <xf numFmtId="0" fontId="1" fillId="0" borderId="0" xfId="0" applyFont="1"/>
    <xf numFmtId="0" fontId="3" fillId="12" borderId="6" xfId="0" applyFont="1" applyFill="1" applyBorder="1"/>
    <xf numFmtId="0" fontId="1" fillId="0" borderId="6" xfId="0" applyFont="1" applyBorder="1" applyAlignment="1">
      <alignment vertical="center"/>
    </xf>
    <xf numFmtId="0" fontId="1" fillId="0" borderId="6" xfId="0" applyFont="1" applyBorder="1"/>
    <xf numFmtId="0" fontId="2" fillId="0" borderId="6" xfId="0" applyFont="1" applyBorder="1" applyAlignment="1">
      <alignment vertical="center"/>
    </xf>
    <xf numFmtId="0" fontId="1" fillId="0" borderId="0" xfId="0" pivotButton="1" applyFont="1"/>
    <xf numFmtId="4" fontId="1" fillId="0" borderId="0" xfId="0" applyNumberFormat="1" applyFont="1"/>
    <xf numFmtId="0" fontId="2" fillId="2" borderId="8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4" fontId="2" fillId="6" borderId="9" xfId="0" applyNumberFormat="1" applyFont="1" applyFill="1" applyBorder="1" applyAlignment="1">
      <alignment vertical="center"/>
    </xf>
    <xf numFmtId="4" fontId="2" fillId="7" borderId="9" xfId="0" applyNumberFormat="1" applyFont="1" applyFill="1" applyBorder="1" applyAlignment="1">
      <alignment vertical="center"/>
    </xf>
    <xf numFmtId="4" fontId="2" fillId="8" borderId="9" xfId="0" applyNumberFormat="1" applyFont="1" applyFill="1" applyBorder="1" applyAlignment="1">
      <alignment vertical="center"/>
    </xf>
    <xf numFmtId="0" fontId="2" fillId="9" borderId="9" xfId="0" applyFont="1" applyFill="1" applyBorder="1" applyAlignment="1">
      <alignment vertical="center"/>
    </xf>
    <xf numFmtId="0" fontId="2" fillId="10" borderId="9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15" borderId="5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13" borderId="5" xfId="0" applyFont="1" applyFill="1" applyBorder="1" applyAlignment="1">
      <alignment vertical="center"/>
    </xf>
    <xf numFmtId="0" fontId="4" fillId="14" borderId="5" xfId="0" applyFont="1" applyFill="1" applyBorder="1" applyAlignment="1">
      <alignment vertical="center"/>
    </xf>
    <xf numFmtId="0" fontId="2" fillId="13" borderId="5" xfId="0" applyFont="1" applyFill="1" applyBorder="1" applyAlignment="1">
      <alignment vertical="center"/>
    </xf>
    <xf numFmtId="0" fontId="2" fillId="14" borderId="5" xfId="0" applyFont="1" applyFill="1" applyBorder="1" applyAlignment="1">
      <alignment vertical="center"/>
    </xf>
  </cellXfs>
  <cellStyles count="1">
    <cellStyle name="Normal" xfId="0" builtinId="0"/>
  </cellStyles>
  <dxfs count="65"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4" formatCode="#,##0.00"/>
    </dxf>
    <dxf>
      <numFmt numFmtId="4" formatCode="#,##0.00"/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Triano Redón" refreshedDate="45971.647797337966" createdVersion="8" refreshedVersion="8" minRefreshableVersion="3" recordCount="29" xr:uid="{5E01069B-B004-439C-B771-EF3BE58606AD}">
  <cacheSource type="worksheet">
    <worksheetSource ref="A1:L30" sheet="Informe BBVA"/>
  </cacheSource>
  <cacheFields count="12">
    <cacheField name="F.Valor" numFmtId="0">
      <sharedItems/>
    </cacheField>
    <cacheField name="Fecha" numFmtId="0">
      <sharedItems/>
    </cacheField>
    <cacheField name="Periodo" numFmtId="0">
      <sharedItems containsSemiMixedTypes="0" containsString="0" containsNumber="1" containsInteger="1" minValue="1" maxValue="11" count="11">
        <n v="11"/>
        <n v="10" u="1"/>
        <n v="9" u="1"/>
        <n v="8" u="1"/>
        <n v="7" u="1"/>
        <n v="6" u="1"/>
        <n v="5" u="1"/>
        <n v="4" u="1"/>
        <n v="3" u="1"/>
        <n v="2" u="1"/>
        <n v="1" u="1"/>
      </sharedItems>
    </cacheField>
    <cacheField name="Concepto" numFmtId="0">
      <sharedItems/>
    </cacheField>
    <cacheField name="Movimiento" numFmtId="0">
      <sharedItems/>
    </cacheField>
    <cacheField name="Importe" numFmtId="4">
      <sharedItems containsSemiMixedTypes="0" containsString="0" containsNumber="1" minValue="-376.96" maxValue="200"/>
    </cacheField>
    <cacheField name="Divisa" numFmtId="0">
      <sharedItems/>
    </cacheField>
    <cacheField name="Disponible" numFmtId="4">
      <sharedItems containsSemiMixedTypes="0" containsString="0" containsNumber="1" minValue="4909.3100000000004" maxValue="5840"/>
    </cacheField>
    <cacheField name="Divisa2" numFmtId="0">
      <sharedItems/>
    </cacheField>
    <cacheField name="Observaciones" numFmtId="0">
      <sharedItems/>
    </cacheField>
    <cacheField name="Subcatergoria" numFmtId="0">
      <sharedItems count="38">
        <s v="Bar/Restaurante"/>
        <s v="Farmacia"/>
        <s v="Compras"/>
        <s v="Supermercado"/>
        <s v="Mascotas"/>
        <s v="Tabaco"/>
        <s v="Cuota mensual de fraccionamiento de gastos"/>
        <s v="BBVA Seguro"/>
        <s v="Viajes"/>
        <s v="Apple cloud"/>
        <s v="Podimo"/>
        <s v="Transporte"/>
        <s v="Parking"/>
        <s v="Fincas"/>
        <s v="Gimnasio"/>
        <s v="Donacion"/>
        <s v="Casa"/>
        <s v="Netfix" u="1"/>
        <s v="Luz" u="1"/>
        <s v="Hipoteca" u="1"/>
        <s v="Agua" u="1"/>
        <s v="Nomina" u="1"/>
        <s v="Spotify" u="1"/>
        <s v="Bizum" u="1"/>
        <s v="Gasolina" u="1"/>
        <s v="Ocio" u="1"/>
        <s v="Vodafone" u="1"/>
        <s v="Limpieza casa" u="1"/>
        <s v="Loteria" u="1"/>
        <s v="Tributos" u="1"/>
        <s v="Efectivo" u="1"/>
        <s v="Prime" u="1"/>
        <s v="Uñas" u="1"/>
        <s v="Peluqueria" u="1"/>
        <s v="Renta 2024" u="1"/>
        <s v="ITV" u="1"/>
        <s v="Comision" u="1"/>
        <s v="Bit2me" u="1"/>
      </sharedItems>
    </cacheField>
    <cacheField name="Categoria" numFmtId="0">
      <sharedItems containsBlank="1" count="10">
        <s v="Ocio y Entretenimiento "/>
        <s v="Salud y Cuidado "/>
        <s v="Supermercado "/>
        <s v="Otros Gastos Generales "/>
        <s v="Vivienda y Préstamos "/>
        <s v="Moto"/>
        <s v="Suministros " u="1"/>
        <s v="Transferencias y Efectivo " u="1"/>
        <s v="BBVA" u="1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07/11/2025"/>
    <s v="07/11/2025"/>
    <x v="0"/>
    <s v="La terrassa del mercadal barcelona    es"/>
    <s v="Pago con tarjeta"/>
    <n v="-15.1"/>
    <s v="EUR"/>
    <n v="4972.46"/>
    <s v="EUR"/>
    <s v="4940197133530195 LA TERRASSA DEL MERCADAL BARCELONA    ES"/>
    <x v="0"/>
    <x v="0"/>
  </r>
  <r>
    <s v="07/11/2025"/>
    <s v="07/11/2025"/>
    <x v="0"/>
    <s v="Farmacia calduch barneda barcelona    es"/>
    <s v="Pago con tarjeta"/>
    <n v="-6.75"/>
    <s v="EUR"/>
    <n v="4987.5600000000004"/>
    <s v="EUR"/>
    <s v="4940197133530195 FARMACIA CALDUCH BARNEDA BARCELONA    ES"/>
    <x v="1"/>
    <x v="1"/>
  </r>
  <r>
    <s v="06/11/2025"/>
    <s v="06/11/2025"/>
    <x v="0"/>
    <s v="Bizum"/>
    <s v="Recibido: colonia"/>
    <n v="85"/>
    <s v="EUR"/>
    <n v="4994.3100000000004"/>
    <s v="EUR"/>
    <s v="RECIBIDO: Colonia"/>
    <x v="2"/>
    <x v="0"/>
  </r>
  <r>
    <s v="06/11/2025"/>
    <s v="06/11/2025"/>
    <x v="0"/>
    <s v="Consum b.gr.s.andreu     barcelona    es"/>
    <s v="Pago con tarjeta"/>
    <n v="-40.15"/>
    <s v="EUR"/>
    <n v="4909.3100000000004"/>
    <s v="EUR"/>
    <s v="4940197133530195 CONSUM B.GR.S.ANDREU     BARCELONA    ES"/>
    <x v="3"/>
    <x v="2"/>
  </r>
  <r>
    <s v="06/11/2025"/>
    <s v="06/11/2025"/>
    <x v="0"/>
    <s v="Juana dog sant andreu pc1barcelona    es"/>
    <s v="Pago con tarjeta"/>
    <n v="-21.9"/>
    <s v="EUR"/>
    <n v="4949.46"/>
    <s v="EUR"/>
    <s v="4940197133530195 JUANA DOG SANT ANDREU PC1BARCELONA    ES"/>
    <x v="4"/>
    <x v="2"/>
  </r>
  <r>
    <s v="06/11/2025"/>
    <s v="06/11/2025"/>
    <x v="0"/>
    <s v="L estanc de la merce     barcelona    es"/>
    <s v="Pago con tarjeta"/>
    <n v="-8"/>
    <s v="EUR"/>
    <n v="4971.3599999999997"/>
    <s v="EUR"/>
    <s v="4940197133530195 L ESTANC DE LA MERCE     BARCELONA    ES"/>
    <x v="5"/>
    <x v="3"/>
  </r>
  <r>
    <s v="06/11/2025"/>
    <s v="06/11/2025"/>
    <x v="0"/>
    <s v="Perfumeries san remo sl (barcelona    es"/>
    <s v="Pago con tarjeta"/>
    <n v="-8.9"/>
    <s v="EUR"/>
    <n v="4979.3599999999997"/>
    <s v="EUR"/>
    <s v="4940197133530195 PERFUMERIES SAN REMO SL (BARCELONA    ES"/>
    <x v="3"/>
    <x v="2"/>
  </r>
  <r>
    <s v="06/11/2025"/>
    <s v="06/11/2025"/>
    <x v="0"/>
    <s v="Blau perfumeries - barcelbarcelona    es"/>
    <s v="Pago con tarjeta"/>
    <n v="-84.6"/>
    <s v="EUR"/>
    <n v="4988.26"/>
    <s v="EUR"/>
    <s v="4940197133530195 BLAU PERFUMERIES - BARCELBARCELONA    ES"/>
    <x v="2"/>
    <x v="0"/>
  </r>
  <r>
    <s v="06/11/2025"/>
    <s v="06/11/2025"/>
    <x v="0"/>
    <s v="Farm.ort reixach de pablobarcelona    es"/>
    <s v="Pago con tarjeta"/>
    <n v="-17.559999999999999"/>
    <s v="EUR"/>
    <n v="5072.8599999999997"/>
    <s v="EUR"/>
    <s v="4940197133530195 FARM.ORT REIXACH DE PABLOBARCELONA    ES"/>
    <x v="1"/>
    <x v="1"/>
  </r>
  <r>
    <s v="05/11/2025"/>
    <s v="05/11/2025"/>
    <x v="0"/>
    <s v="Frankfurts original la mabarcelona    es"/>
    <s v="Pago con tarjeta"/>
    <n v="-13.2"/>
    <s v="EUR"/>
    <n v="5090.42"/>
    <s v="EUR"/>
    <s v="4940197133530195 FRANKFURTS ORIGINAL LA MABARCELONA    ES"/>
    <x v="0"/>
    <x v="0"/>
  </r>
  <r>
    <s v="05/11/2025"/>
    <s v="05/11/2025"/>
    <x v="0"/>
    <s v="Maquinista               barcelona    es"/>
    <s v="Pago con tarjeta"/>
    <n v="-19.899999999999999"/>
    <s v="EUR"/>
    <n v="5103.62"/>
    <s v="EUR"/>
    <s v="4940197133530195 MAQUINISTA               BARCELONA    ES"/>
    <x v="2"/>
    <x v="0"/>
  </r>
  <r>
    <s v="03/11/2025"/>
    <s v="05/11/2025"/>
    <x v="0"/>
    <s v="Paypal *zooplus se"/>
    <s v="Pago con tarjeta"/>
    <n v="23.49"/>
    <s v="EUR"/>
    <n v="5123.5200000000004"/>
    <s v="EUR"/>
    <s v="4940197133530195 PAYPAL *ZOOPLUS SE"/>
    <x v="4"/>
    <x v="2"/>
  </r>
  <r>
    <s v="05/11/2025"/>
    <s v="05/11/2025"/>
    <x v="0"/>
    <s v="Cuota mensual de fraccionamiento de gastos"/>
    <s v="Cuota préstamo"/>
    <n v="-121.07"/>
    <s v="EUR"/>
    <n v="5100.03"/>
    <s v="EUR"/>
    <s v="8123450000175812"/>
    <x v="6"/>
    <x v="4"/>
  </r>
  <r>
    <s v="04/11/2025"/>
    <s v="05/11/2025"/>
    <x v="0"/>
    <s v="Bbva plan estarseguro"/>
    <s v="Otros"/>
    <n v="-59.45"/>
    <s v="EUR"/>
    <n v="5221.1000000000004"/>
    <s v="EUR"/>
    <s v="BBVA PLAN ESTARSEGURO"/>
    <x v="7"/>
    <x v="4"/>
  </r>
  <r>
    <s v="02/11/2025"/>
    <s v="04/11/2025"/>
    <x v="0"/>
    <s v="Paypal *huttopia sa b2934"/>
    <s v="Pago con tarjeta"/>
    <n v="-376.96"/>
    <s v="EUR"/>
    <n v="5280.55"/>
    <s v="EUR"/>
    <s v="4940197133530195 PAYPAL *HUTTOPIA SA B2934"/>
    <x v="8"/>
    <x v="0"/>
  </r>
  <r>
    <s v="02/11/2025"/>
    <s v="04/11/2025"/>
    <x v="0"/>
    <s v="Paypal *itunesappst apple"/>
    <s v="Pago con tarjeta"/>
    <n v="-2.4900000000000002"/>
    <s v="EUR"/>
    <n v="5657.51"/>
    <s v="EUR"/>
    <s v="4940197133530195 PAYPAL *ITUNESAPPST APPLE"/>
    <x v="9"/>
    <x v="0"/>
  </r>
  <r>
    <s v="02/11/2025"/>
    <s v="04/11/2025"/>
    <x v="0"/>
    <s v="Podimo aps"/>
    <s v="Pago con tarjeta"/>
    <n v="-4.99"/>
    <s v="EUR"/>
    <n v="5660"/>
    <s v="EUR"/>
    <s v="4940197133530195 Podimo ApS"/>
    <x v="10"/>
    <x v="0"/>
  </r>
  <r>
    <s v="03/11/2025"/>
    <s v="03/11/2025"/>
    <x v="0"/>
    <s v="Bizum"/>
    <s v="Enviado: glovo"/>
    <n v="-12.55"/>
    <s v="EUR"/>
    <n v="5664.99"/>
    <s v="EUR"/>
    <s v="ENVIADO: Glovo"/>
    <x v="3"/>
    <x v="2"/>
  </r>
  <r>
    <s v="01/11/2025"/>
    <s v="03/11/2025"/>
    <x v="0"/>
    <s v="Cooltra"/>
    <s v="Pago con tarjeta"/>
    <n v="-4.5599999999999996"/>
    <s v="EUR"/>
    <n v="5677.54"/>
    <s v="EUR"/>
    <s v="4940197133530195 COOLTRA"/>
    <x v="11"/>
    <x v="3"/>
  </r>
  <r>
    <s v="01/11/2025"/>
    <s v="03/11/2025"/>
    <x v="0"/>
    <s v="Uniqlo la maquinista"/>
    <s v="Pago con tarjeta"/>
    <n v="-12.9"/>
    <s v="EUR"/>
    <n v="5682.1"/>
    <s v="EUR"/>
    <s v="4940197133530195 UNIQLO La Maquinista"/>
    <x v="2"/>
    <x v="0"/>
  </r>
  <r>
    <s v="03/11/2025"/>
    <s v="03/11/2025"/>
    <x v="0"/>
    <s v="Transferencia realizada"/>
    <s v="Patricia triano moto"/>
    <n v="-30"/>
    <s v="EUR"/>
    <n v="5695"/>
    <s v="EUR"/>
    <s v="PATRICIA TRIANO MOTO"/>
    <x v="12"/>
    <x v="5"/>
  </r>
  <r>
    <s v="03/11/2025"/>
    <s v="03/11/2025"/>
    <x v="0"/>
    <s v="Adeudo de asesoria, gestoria o consultor"/>
    <s v="N 2025307000165875 assessoria i finques fuster s.l."/>
    <n v="-50"/>
    <s v="EUR"/>
    <n v="5725"/>
    <s v="EUR"/>
    <s v="N 2025307000165875 ASSESSORIA I FINQUES FUSTER S.L."/>
    <x v="13"/>
    <x v="4"/>
  </r>
  <r>
    <s v="03/11/2025"/>
    <s v="03/11/2025"/>
    <x v="0"/>
    <s v="Adeudo a su cargo"/>
    <s v="N 2025307001087980 m   a estudio s.c.p."/>
    <n v="-65"/>
    <s v="EUR"/>
    <n v="5775"/>
    <s v="EUR"/>
    <s v="N 2025307001087980 M   A ESTUDIO S.C.P."/>
    <x v="14"/>
    <x v="0"/>
  </r>
  <r>
    <s v="02/11/2025"/>
    <s v="03/11/2025"/>
    <x v="0"/>
    <s v="Bizum"/>
    <s v="Recibido: bizum de jordi"/>
    <n v="200"/>
    <s v="EUR"/>
    <n v="5840"/>
    <s v="EUR"/>
    <s v="RECIBIDO: Bizum de Jordi"/>
    <x v="8"/>
    <x v="0"/>
  </r>
  <r>
    <s v="02/11/2025"/>
    <s v="03/11/2025"/>
    <x v="0"/>
    <s v="Bodega manelic           santa coloma es"/>
    <s v="Pago con tarjeta"/>
    <n v="-3.2"/>
    <s v="EUR"/>
    <n v="5640"/>
    <s v="EUR"/>
    <s v="4940197133530195 BODEGA MANELIC           SANTA COLOMA ES"/>
    <x v="0"/>
    <x v="0"/>
  </r>
  <r>
    <s v="01/11/2025"/>
    <s v="03/11/2025"/>
    <x v="0"/>
    <s v="Fundacion teaming        sant cugat dees"/>
    <s v="Pago con tarjeta"/>
    <n v="-9"/>
    <s v="EUR"/>
    <n v="5643.2"/>
    <s v="EUR"/>
    <s v="4940197133530195 FUNDACION TEAMING        SANT CUGAT DEES"/>
    <x v="15"/>
    <x v="3"/>
  </r>
  <r>
    <s v="01/11/2025"/>
    <s v="03/11/2025"/>
    <x v="0"/>
    <s v="Basar tot rambla         santa coloma es"/>
    <s v="Pago con tarjeta"/>
    <n v="-1.8"/>
    <s v="EUR"/>
    <n v="5652.2"/>
    <s v="EUR"/>
    <s v="4940197133530195 Basar tot rambla         SANTA COLOMA ES"/>
    <x v="16"/>
    <x v="4"/>
  </r>
  <r>
    <s v="01/11/2025"/>
    <s v="03/11/2025"/>
    <x v="0"/>
    <s v="Farggi 57 kiosco la maquibarcelona    es"/>
    <s v="Pago con tarjeta"/>
    <n v="-2.9"/>
    <s v="EUR"/>
    <n v="5654"/>
    <s v="EUR"/>
    <s v="4940197133530195 FARGGI 57 KIOSCO LA MAQUIBARCELONA    ES"/>
    <x v="0"/>
    <x v="0"/>
  </r>
  <r>
    <s v="01/11/2025"/>
    <s v="03/11/2025"/>
    <x v="0"/>
    <s v="Bar punt de trobada bracabarcelona    es"/>
    <s v="Pago con tarjeta"/>
    <n v="-3.2"/>
    <s v="EUR"/>
    <n v="5656.9"/>
    <s v="EUR"/>
    <s v="4940197133530195 BAR PUNT DE TROBADA BRACABARCELONA    ES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4492F-DA33-4A1A-ADC6-4D1200F9246D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28" firstHeaderRow="1" firstDataRow="2" firstDataCol="2"/>
  <pivotFields count="12">
    <pivotField compact="0" outline="0" showAll="0"/>
    <pivotField compact="0" outline="0" showAll="0"/>
    <pivotField axis="axisCol" compact="0" outline="0" showAll="0">
      <items count="12">
        <item m="1" x="10"/>
        <item m="1" x="9"/>
        <item m="1" x="8"/>
        <item m="1" x="7"/>
        <item m="1" x="6"/>
        <item m="1" x="5"/>
        <item m="1" x="4"/>
        <item m="1" x="3"/>
        <item m="1" x="2"/>
        <item m="1"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9">
        <item m="1" x="20"/>
        <item x="9"/>
        <item x="0"/>
        <item x="7"/>
        <item m="1" x="37"/>
        <item m="1" x="23"/>
        <item x="16"/>
        <item m="1" x="36"/>
        <item x="2"/>
        <item x="6"/>
        <item x="15"/>
        <item m="1" x="30"/>
        <item x="1"/>
        <item x="13"/>
        <item m="1" x="24"/>
        <item x="14"/>
        <item m="1" x="19"/>
        <item m="1" x="35"/>
        <item m="1" x="27"/>
        <item m="1" x="28"/>
        <item m="1" x="18"/>
        <item x="4"/>
        <item m="1" x="17"/>
        <item m="1" x="21"/>
        <item m="1" x="25"/>
        <item x="12"/>
        <item m="1" x="33"/>
        <item x="10"/>
        <item m="1" x="31"/>
        <item m="1" x="34"/>
        <item m="1" x="22"/>
        <item x="3"/>
        <item x="5"/>
        <item x="11"/>
        <item m="1" x="29"/>
        <item m="1" x="32"/>
        <item x="8"/>
        <item m="1" x="26"/>
        <item t="default"/>
      </items>
    </pivotField>
    <pivotField axis="axisRow" compact="0" outline="0" showAll="0" sortType="ascending">
      <items count="11">
        <item m="1" x="8"/>
        <item x="5"/>
        <item x="0"/>
        <item x="3"/>
        <item x="1"/>
        <item m="1" x="6"/>
        <item x="2"/>
        <item m="1" x="7"/>
        <item x="4"/>
        <item m="1" x="9"/>
        <item t="default"/>
      </items>
    </pivotField>
  </pivotFields>
  <rowFields count="2">
    <field x="11"/>
    <field x="10"/>
  </rowFields>
  <rowItems count="24">
    <i>
      <x v="1"/>
      <x v="25"/>
    </i>
    <i t="default">
      <x v="1"/>
    </i>
    <i>
      <x v="2"/>
      <x v="1"/>
    </i>
    <i r="1">
      <x v="2"/>
    </i>
    <i r="1">
      <x v="8"/>
    </i>
    <i r="1">
      <x v="15"/>
    </i>
    <i r="1">
      <x v="27"/>
    </i>
    <i r="1">
      <x v="36"/>
    </i>
    <i t="default">
      <x v="2"/>
    </i>
    <i>
      <x v="3"/>
      <x v="10"/>
    </i>
    <i r="1">
      <x v="32"/>
    </i>
    <i r="1">
      <x v="33"/>
    </i>
    <i t="default">
      <x v="3"/>
    </i>
    <i>
      <x v="4"/>
      <x v="12"/>
    </i>
    <i t="default">
      <x v="4"/>
    </i>
    <i>
      <x v="6"/>
      <x v="21"/>
    </i>
    <i r="1">
      <x v="31"/>
    </i>
    <i t="default">
      <x v="6"/>
    </i>
    <i>
      <x v="8"/>
      <x v="3"/>
    </i>
    <i r="1">
      <x v="6"/>
    </i>
    <i r="1">
      <x v="9"/>
    </i>
    <i r="1">
      <x v="13"/>
    </i>
    <i t="default">
      <x v="8"/>
    </i>
    <i t="grand">
      <x/>
    </i>
  </rowItems>
  <colFields count="1">
    <field x="2"/>
  </colFields>
  <colItems count="2">
    <i>
      <x v="10"/>
    </i>
    <i t="grand">
      <x/>
    </i>
  </colItems>
  <dataFields count="1">
    <dataField name="Suma de Importe" fld="5" baseField="0" baseItem="0" numFmtId="4"/>
  </dataFields>
  <formats count="48">
    <format dxfId="64">
      <pivotArea type="all" dataOnly="0" outline="0" fieldPosition="0"/>
    </format>
    <format dxfId="63">
      <pivotArea outline="0" collapsedLevelsAreSubtotals="1" fieldPosition="0"/>
    </format>
    <format dxfId="62">
      <pivotArea dataOnly="0" labelOnly="1" fieldPosition="0">
        <references count="1">
          <reference field="10" count="0"/>
        </references>
      </pivotArea>
    </format>
    <format dxfId="61">
      <pivotArea dataOnly="0" labelOnly="1" outline="0" axis="axisValues" fieldPosition="0"/>
    </format>
    <format dxfId="60">
      <pivotArea outline="0" collapsedLevelsAreSubtotals="1" fieldPosition="0"/>
    </format>
    <format dxfId="59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2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11" type="button" dataOnly="0" labelOnly="1" outline="0" axis="axisRow" fieldPosition="0"/>
    </format>
    <format dxfId="49">
      <pivotArea field="10" type="button" dataOnly="0" labelOnly="1" outline="0" axis="axisRow" fieldPosition="1"/>
    </format>
    <format dxfId="48">
      <pivotArea dataOnly="0" labelOnly="1" outline="0" fieldPosition="0">
        <references count="1">
          <reference field="11" count="0"/>
        </references>
      </pivotArea>
    </format>
    <format dxfId="47">
      <pivotArea dataOnly="0" labelOnly="1" outline="0" fieldPosition="0">
        <references count="1">
          <reference field="11" count="0" defaultSubtotal="1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2">
          <reference field="10" count="1">
            <x v="7"/>
          </reference>
          <reference field="11" count="1" selected="0">
            <x v="0"/>
          </reference>
        </references>
      </pivotArea>
    </format>
    <format dxfId="44">
      <pivotArea dataOnly="0" labelOnly="1" outline="0" fieldPosition="0">
        <references count="2">
          <reference field="10" count="3">
            <x v="14"/>
            <x v="17"/>
            <x v="25"/>
          </reference>
          <reference field="11" count="1" selected="0">
            <x v="1"/>
          </reference>
        </references>
      </pivotArea>
    </format>
    <format dxfId="43">
      <pivotArea dataOnly="0" labelOnly="1" outline="0" fieldPosition="0">
        <references count="2">
          <reference field="10" count="14">
            <x v="1"/>
            <x v="2"/>
            <x v="8"/>
            <x v="15"/>
            <x v="18"/>
            <x v="19"/>
            <x v="22"/>
            <x v="24"/>
            <x v="26"/>
            <x v="27"/>
            <x v="28"/>
            <x v="30"/>
            <x v="35"/>
            <x v="36"/>
          </reference>
          <reference field="11" count="1" selected="0">
            <x v="2"/>
          </reference>
        </references>
      </pivotArea>
    </format>
    <format dxfId="42">
      <pivotArea dataOnly="0" labelOnly="1" outline="0" fieldPosition="0">
        <references count="2">
          <reference field="10" count="3">
            <x v="10"/>
            <x v="32"/>
            <x v="33"/>
          </reference>
          <reference field="11" count="1" selected="0">
            <x v="3"/>
          </reference>
        </references>
      </pivotArea>
    </format>
    <format dxfId="41">
      <pivotArea dataOnly="0" labelOnly="1" outline="0" fieldPosition="0">
        <references count="2">
          <reference field="10" count="1">
            <x v="12"/>
          </reference>
          <reference field="11" count="1" selected="0">
            <x v="4"/>
          </reference>
        </references>
      </pivotArea>
    </format>
    <format dxfId="40">
      <pivotArea dataOnly="0" labelOnly="1" outline="0" fieldPosition="0">
        <references count="2">
          <reference field="10" count="3">
            <x v="0"/>
            <x v="20"/>
            <x v="37"/>
          </reference>
          <reference field="11" count="1" selected="0">
            <x v="5"/>
          </reference>
        </references>
      </pivotArea>
    </format>
    <format dxfId="39">
      <pivotArea dataOnly="0" labelOnly="1" outline="0" fieldPosition="0">
        <references count="2">
          <reference field="10" count="2">
            <x v="21"/>
            <x v="31"/>
          </reference>
          <reference field="11" count="1" selected="0">
            <x v="6"/>
          </reference>
        </references>
      </pivotArea>
    </format>
    <format dxfId="38">
      <pivotArea dataOnly="0" labelOnly="1" outline="0" fieldPosition="0">
        <references count="2">
          <reference field="10" count="5">
            <x v="4"/>
            <x v="5"/>
            <x v="11"/>
            <x v="23"/>
            <x v="29"/>
          </reference>
          <reference field="11" count="1" selected="0">
            <x v="7"/>
          </reference>
        </references>
      </pivotArea>
    </format>
    <format dxfId="37">
      <pivotArea dataOnly="0" labelOnly="1" outline="0" fieldPosition="0">
        <references count="2">
          <reference field="10" count="6">
            <x v="3"/>
            <x v="6"/>
            <x v="9"/>
            <x v="13"/>
            <x v="16"/>
            <x v="34"/>
          </reference>
          <reference field="11" count="1" selected="0">
            <x v="8"/>
          </reference>
        </references>
      </pivotArea>
    </format>
    <format dxfId="36">
      <pivotArea dataOnly="0" labelOnly="1" outline="0" fieldPosition="0">
        <references count="1">
          <reference field="2" count="0"/>
        </references>
      </pivotArea>
    </format>
    <format dxfId="35">
      <pivotArea dataOnly="0" labelOnly="1" grandCol="1" outline="0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2" type="button" dataOnly="0" labelOnly="1" outline="0" axis="axisCol" fieldPosition="0"/>
    </format>
    <format dxfId="30">
      <pivotArea type="topRight" dataOnly="0" labelOnly="1" outline="0" fieldPosition="0"/>
    </format>
    <format dxfId="29">
      <pivotArea field="11" type="button" dataOnly="0" labelOnly="1" outline="0" axis="axisRow" fieldPosition="0"/>
    </format>
    <format dxfId="28">
      <pivotArea field="10" type="button" dataOnly="0" labelOnly="1" outline="0" axis="axisRow" fieldPosition="1"/>
    </format>
    <format dxfId="27">
      <pivotArea dataOnly="0" labelOnly="1" outline="0" fieldPosition="0">
        <references count="1">
          <reference field="11" count="0"/>
        </references>
      </pivotArea>
    </format>
    <format dxfId="26">
      <pivotArea dataOnly="0" labelOnly="1" outline="0" fieldPosition="0">
        <references count="1">
          <reference field="11" count="0" defaultSubtotal="1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2">
          <reference field="10" count="1">
            <x v="7"/>
          </reference>
          <reference field="11" count="1" selected="0">
            <x v="0"/>
          </reference>
        </references>
      </pivotArea>
    </format>
    <format dxfId="23">
      <pivotArea dataOnly="0" labelOnly="1" outline="0" fieldPosition="0">
        <references count="2">
          <reference field="10" count="3">
            <x v="14"/>
            <x v="17"/>
            <x v="25"/>
          </reference>
          <reference field="11" count="1" selected="0">
            <x v="1"/>
          </reference>
        </references>
      </pivotArea>
    </format>
    <format dxfId="22">
      <pivotArea dataOnly="0" labelOnly="1" outline="0" fieldPosition="0">
        <references count="2">
          <reference field="10" count="14">
            <x v="1"/>
            <x v="2"/>
            <x v="8"/>
            <x v="15"/>
            <x v="18"/>
            <x v="19"/>
            <x v="22"/>
            <x v="24"/>
            <x v="26"/>
            <x v="27"/>
            <x v="28"/>
            <x v="30"/>
            <x v="35"/>
            <x v="36"/>
          </reference>
          <reference field="11" count="1" selected="0">
            <x v="2"/>
          </reference>
        </references>
      </pivotArea>
    </format>
    <format dxfId="21">
      <pivotArea dataOnly="0" labelOnly="1" outline="0" fieldPosition="0">
        <references count="2">
          <reference field="10" count="3">
            <x v="10"/>
            <x v="32"/>
            <x v="33"/>
          </reference>
          <reference field="11" count="1" selected="0">
            <x v="3"/>
          </reference>
        </references>
      </pivotArea>
    </format>
    <format dxfId="20">
      <pivotArea dataOnly="0" labelOnly="1" outline="0" fieldPosition="0">
        <references count="2">
          <reference field="10" count="1">
            <x v="12"/>
          </reference>
          <reference field="11" count="1" selected="0">
            <x v="4"/>
          </reference>
        </references>
      </pivotArea>
    </format>
    <format dxfId="19">
      <pivotArea dataOnly="0" labelOnly="1" outline="0" fieldPosition="0">
        <references count="2">
          <reference field="10" count="3">
            <x v="0"/>
            <x v="20"/>
            <x v="37"/>
          </reference>
          <reference field="11" count="1" selected="0">
            <x v="5"/>
          </reference>
        </references>
      </pivotArea>
    </format>
    <format dxfId="18">
      <pivotArea dataOnly="0" labelOnly="1" outline="0" fieldPosition="0">
        <references count="2">
          <reference field="10" count="2">
            <x v="21"/>
            <x v="31"/>
          </reference>
          <reference field="11" count="1" selected="0">
            <x v="6"/>
          </reference>
        </references>
      </pivotArea>
    </format>
    <format dxfId="17">
      <pivotArea dataOnly="0" labelOnly="1" outline="0" fieldPosition="0">
        <references count="2">
          <reference field="10" count="5">
            <x v="4"/>
            <x v="5"/>
            <x v="11"/>
            <x v="23"/>
            <x v="29"/>
          </reference>
          <reference field="11" count="1" selected="0">
            <x v="7"/>
          </reference>
        </references>
      </pivotArea>
    </format>
    <format dxfId="16">
      <pivotArea dataOnly="0" labelOnly="1" outline="0" fieldPosition="0">
        <references count="2">
          <reference field="10" count="6">
            <x v="3"/>
            <x v="6"/>
            <x v="9"/>
            <x v="13"/>
            <x v="16"/>
            <x v="34"/>
          </reference>
          <reference field="11" count="1" selected="0">
            <x v="8"/>
          </reference>
        </references>
      </pivotArea>
    </format>
    <format dxfId="15">
      <pivotArea dataOnly="0" labelOnly="1" outline="0" fieldPosition="0">
        <references count="1">
          <reference field="2" count="0"/>
        </references>
      </pivotArea>
    </format>
    <format dxfId="14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146186-3D2B-4729-BD8A-4987B0BC1A3C}" name="Tabla1" displayName="Tabla1" ref="A1:L30" totalsRowShown="0" headerRowDxfId="1" dataDxfId="0" headerRowBorderDxfId="57" tableBorderDxfId="58" totalsRowBorderDxfId="56">
  <autoFilter ref="A1:L30" xr:uid="{00000000-0001-0000-0000-000000000000}"/>
  <tableColumns count="12">
    <tableColumn id="1" xr3:uid="{B10D791B-8B8F-46EE-84D0-D8CBEB589A82}" name="F.Valor" dataDxfId="13"/>
    <tableColumn id="2" xr3:uid="{1F660F20-1B30-4A2E-A2F6-26AF1315CD1A}" name="Fecha" dataDxfId="12"/>
    <tableColumn id="3" xr3:uid="{69CC5858-91DB-48B8-92A3-4BEC9B13D10A}" name="Periodo" dataDxfId="11">
      <calculatedColumnFormula>MONTH(A2)</calculatedColumnFormula>
    </tableColumn>
    <tableColumn id="4" xr3:uid="{196BF77F-0BA6-4148-B0D9-E0C4F12A4CB0}" name="Concepto" dataDxfId="10"/>
    <tableColumn id="5" xr3:uid="{1B5B7177-4736-4B9E-B095-5DA31A810C6E}" name="Movimiento" dataDxfId="9"/>
    <tableColumn id="6" xr3:uid="{CF95EA6B-1166-413D-90B6-FE9B5C577537}" name="Importe" dataDxfId="8"/>
    <tableColumn id="7" xr3:uid="{148ED136-3201-442B-BC3B-44E0963F3BEC}" name="Divisa" dataDxfId="7"/>
    <tableColumn id="8" xr3:uid="{E6460993-554E-4C68-9727-9B7BE3BA247C}" name="Disponible" dataDxfId="6"/>
    <tableColumn id="9" xr3:uid="{80338567-CE27-4D71-8B2B-8FB47DE472C2}" name="Divisa2" dataDxfId="5"/>
    <tableColumn id="10" xr3:uid="{07B772EF-3736-4939-810C-91891C6B2986}" name="Observaciones" dataDxfId="4"/>
    <tableColumn id="11" xr3:uid="{7F4A47C6-21B9-44F2-9F83-35A3405931E3}" name="Subcatergoria" dataDxfId="3"/>
    <tableColumn id="12" xr3:uid="{ABAC5B35-2097-4C67-9E59-FCB95B96C059}" name="Categoria" dataDxfId="2">
      <calculatedColumnFormula>VLOOKUP(K2,'COD.'!$A$1:$B$39,2,0)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showGridLines="0" tabSelected="1" workbookViewId="0">
      <selection activeCell="E37" sqref="E37"/>
    </sheetView>
  </sheetViews>
  <sheetFormatPr baseColWidth="10" defaultColWidth="11.42578125" defaultRowHeight="11.25" x14ac:dyDescent="0.2"/>
  <cols>
    <col min="1" max="2" width="10.42578125" style="3" bestFit="1" customWidth="1"/>
    <col min="3" max="3" width="9.42578125" style="3" bestFit="1" customWidth="1"/>
    <col min="4" max="4" width="40.28515625" style="3" bestFit="1" customWidth="1"/>
    <col min="5" max="5" width="53.7109375" style="3" customWidth="1"/>
    <col min="6" max="6" width="9.7109375" style="9" bestFit="1" customWidth="1"/>
    <col min="7" max="7" width="7.7109375" style="9" bestFit="1" customWidth="1"/>
    <col min="8" max="8" width="11.42578125" style="9" bestFit="1" customWidth="1"/>
    <col min="9" max="9" width="8.7109375" style="3" bestFit="1" customWidth="1"/>
    <col min="10" max="10" width="57.28515625" style="3" bestFit="1" customWidth="1"/>
    <col min="11" max="11" width="37" style="3" bestFit="1" customWidth="1"/>
    <col min="12" max="12" width="21.28515625" style="3" bestFit="1" customWidth="1"/>
    <col min="13" max="16384" width="11.42578125" style="3"/>
  </cols>
  <sheetData>
    <row r="1" spans="1:12" x14ac:dyDescent="0.2">
      <c r="A1" s="10" t="s">
        <v>0</v>
      </c>
      <c r="B1" s="11" t="s">
        <v>1</v>
      </c>
      <c r="C1" s="12" t="s">
        <v>84</v>
      </c>
      <c r="D1" s="13" t="s">
        <v>2</v>
      </c>
      <c r="E1" s="14" t="s">
        <v>3</v>
      </c>
      <c r="F1" s="15" t="s">
        <v>4</v>
      </c>
      <c r="G1" s="16" t="s">
        <v>5</v>
      </c>
      <c r="H1" s="17" t="s">
        <v>6</v>
      </c>
      <c r="I1" s="18" t="s">
        <v>85</v>
      </c>
      <c r="J1" s="19" t="s">
        <v>7</v>
      </c>
      <c r="K1" s="20" t="s">
        <v>73</v>
      </c>
      <c r="L1" s="21" t="s">
        <v>74</v>
      </c>
    </row>
    <row r="2" spans="1:12" x14ac:dyDescent="0.2">
      <c r="A2" s="1" t="s">
        <v>94</v>
      </c>
      <c r="B2" s="1" t="s">
        <v>94</v>
      </c>
      <c r="C2" s="22">
        <f t="shared" ref="C2:C19" si="0">MONTH(A2)</f>
        <v>11</v>
      </c>
      <c r="D2" s="1" t="s">
        <v>95</v>
      </c>
      <c r="E2" s="1" t="s">
        <v>8</v>
      </c>
      <c r="F2" s="2">
        <v>-15.1</v>
      </c>
      <c r="G2" s="1" t="s">
        <v>9</v>
      </c>
      <c r="H2" s="2">
        <v>4972.46</v>
      </c>
      <c r="I2" s="1" t="s">
        <v>9</v>
      </c>
      <c r="J2" s="1" t="s">
        <v>16</v>
      </c>
      <c r="K2" s="23" t="s">
        <v>40</v>
      </c>
      <c r="L2" s="24" t="str">
        <f>VLOOKUP(K2,'COD.'!$A$1:$B$39,2,0)</f>
        <v xml:space="preserve">Ocio y Entretenimiento </v>
      </c>
    </row>
    <row r="3" spans="1:12" x14ac:dyDescent="0.2">
      <c r="A3" s="1" t="s">
        <v>94</v>
      </c>
      <c r="B3" s="1" t="s">
        <v>94</v>
      </c>
      <c r="C3" s="22">
        <f t="shared" si="0"/>
        <v>11</v>
      </c>
      <c r="D3" s="1" t="s">
        <v>96</v>
      </c>
      <c r="E3" s="1" t="s">
        <v>8</v>
      </c>
      <c r="F3" s="2">
        <v>-6.75</v>
      </c>
      <c r="G3" s="1" t="s">
        <v>9</v>
      </c>
      <c r="H3" s="2">
        <v>4987.5600000000004</v>
      </c>
      <c r="I3" s="1" t="s">
        <v>9</v>
      </c>
      <c r="J3" s="1" t="s">
        <v>97</v>
      </c>
      <c r="K3" s="25" t="s">
        <v>32</v>
      </c>
      <c r="L3" s="24" t="str">
        <f>VLOOKUP(K3,'COD.'!$A$1:$B$39,2,0)</f>
        <v xml:space="preserve">Salud y Cuidado </v>
      </c>
    </row>
    <row r="4" spans="1:12" x14ac:dyDescent="0.2">
      <c r="A4" s="1" t="s">
        <v>98</v>
      </c>
      <c r="B4" s="1" t="s">
        <v>98</v>
      </c>
      <c r="C4" s="22">
        <f t="shared" si="0"/>
        <v>11</v>
      </c>
      <c r="D4" s="1" t="s">
        <v>11</v>
      </c>
      <c r="E4" s="1" t="s">
        <v>99</v>
      </c>
      <c r="F4" s="2">
        <v>85</v>
      </c>
      <c r="G4" s="1" t="s">
        <v>9</v>
      </c>
      <c r="H4" s="2">
        <v>4994.3100000000004</v>
      </c>
      <c r="I4" s="1" t="s">
        <v>9</v>
      </c>
      <c r="J4" s="1" t="s">
        <v>100</v>
      </c>
      <c r="K4" s="25" t="s">
        <v>44</v>
      </c>
      <c r="L4" s="24" t="str">
        <f>VLOOKUP(K4,'COD.'!$A$1:$B$39,2,0)</f>
        <v xml:space="preserve">Ocio y Entretenimiento </v>
      </c>
    </row>
    <row r="5" spans="1:12" x14ac:dyDescent="0.2">
      <c r="A5" s="1" t="s">
        <v>98</v>
      </c>
      <c r="B5" s="1" t="s">
        <v>98</v>
      </c>
      <c r="C5" s="22">
        <f t="shared" si="0"/>
        <v>11</v>
      </c>
      <c r="D5" s="1" t="s">
        <v>101</v>
      </c>
      <c r="E5" s="1" t="s">
        <v>8</v>
      </c>
      <c r="F5" s="2">
        <v>-40.15</v>
      </c>
      <c r="G5" s="1" t="s">
        <v>9</v>
      </c>
      <c r="H5" s="2">
        <v>4909.3100000000004</v>
      </c>
      <c r="I5" s="1" t="s">
        <v>9</v>
      </c>
      <c r="J5" s="1" t="s">
        <v>15</v>
      </c>
      <c r="K5" s="25" t="s">
        <v>43</v>
      </c>
      <c r="L5" s="24" t="str">
        <f>VLOOKUP(K5,'COD.'!$A$1:$B$39,2,0)</f>
        <v xml:space="preserve">Supermercado </v>
      </c>
    </row>
    <row r="6" spans="1:12" x14ac:dyDescent="0.2">
      <c r="A6" s="1" t="s">
        <v>98</v>
      </c>
      <c r="B6" s="1" t="s">
        <v>98</v>
      </c>
      <c r="C6" s="22">
        <f t="shared" si="0"/>
        <v>11</v>
      </c>
      <c r="D6" s="1" t="s">
        <v>102</v>
      </c>
      <c r="E6" s="1" t="s">
        <v>8</v>
      </c>
      <c r="F6" s="2">
        <v>-21.9</v>
      </c>
      <c r="G6" s="1" t="s">
        <v>9</v>
      </c>
      <c r="H6" s="2">
        <v>4949.46</v>
      </c>
      <c r="I6" s="1" t="s">
        <v>9</v>
      </c>
      <c r="J6" s="1" t="s">
        <v>33</v>
      </c>
      <c r="K6" s="25" t="s">
        <v>41</v>
      </c>
      <c r="L6" s="24" t="str">
        <f>VLOOKUP(K6,'COD.'!$A$1:$B$39,2,0)</f>
        <v xml:space="preserve">Supermercado </v>
      </c>
    </row>
    <row r="7" spans="1:12" x14ac:dyDescent="0.2">
      <c r="A7" s="1" t="s">
        <v>98</v>
      </c>
      <c r="B7" s="1" t="s">
        <v>98</v>
      </c>
      <c r="C7" s="22">
        <f t="shared" si="0"/>
        <v>11</v>
      </c>
      <c r="D7" s="1" t="s">
        <v>103</v>
      </c>
      <c r="E7" s="1" t="s">
        <v>8</v>
      </c>
      <c r="F7" s="2">
        <v>-8</v>
      </c>
      <c r="G7" s="1" t="s">
        <v>9</v>
      </c>
      <c r="H7" s="2">
        <v>4971.3599999999997</v>
      </c>
      <c r="I7" s="1" t="s">
        <v>9</v>
      </c>
      <c r="J7" s="1" t="s">
        <v>10</v>
      </c>
      <c r="K7" s="25" t="s">
        <v>42</v>
      </c>
      <c r="L7" s="24" t="str">
        <f>VLOOKUP(K7,'COD.'!$A$1:$B$39,2,0)</f>
        <v xml:space="preserve">Otros Gastos Generales </v>
      </c>
    </row>
    <row r="8" spans="1:12" x14ac:dyDescent="0.2">
      <c r="A8" s="1" t="s">
        <v>98</v>
      </c>
      <c r="B8" s="1" t="s">
        <v>98</v>
      </c>
      <c r="C8" s="22">
        <f t="shared" si="0"/>
        <v>11</v>
      </c>
      <c r="D8" s="1" t="s">
        <v>104</v>
      </c>
      <c r="E8" s="1" t="s">
        <v>8</v>
      </c>
      <c r="F8" s="2">
        <v>-8.9</v>
      </c>
      <c r="G8" s="1" t="s">
        <v>9</v>
      </c>
      <c r="H8" s="2">
        <v>4979.3599999999997</v>
      </c>
      <c r="I8" s="1" t="s">
        <v>9</v>
      </c>
      <c r="J8" s="1" t="s">
        <v>34</v>
      </c>
      <c r="K8" s="25" t="s">
        <v>43</v>
      </c>
      <c r="L8" s="24" t="str">
        <f>VLOOKUP(K8,'COD.'!$A$1:$B$39,2,0)</f>
        <v xml:space="preserve">Supermercado </v>
      </c>
    </row>
    <row r="9" spans="1:12" x14ac:dyDescent="0.2">
      <c r="A9" s="1" t="s">
        <v>98</v>
      </c>
      <c r="B9" s="1" t="s">
        <v>98</v>
      </c>
      <c r="C9" s="22">
        <f t="shared" si="0"/>
        <v>11</v>
      </c>
      <c r="D9" s="1" t="s">
        <v>105</v>
      </c>
      <c r="E9" s="1" t="s">
        <v>8</v>
      </c>
      <c r="F9" s="2">
        <v>-84.6</v>
      </c>
      <c r="G9" s="1" t="s">
        <v>9</v>
      </c>
      <c r="H9" s="2">
        <v>4988.26</v>
      </c>
      <c r="I9" s="1" t="s">
        <v>9</v>
      </c>
      <c r="J9" s="1" t="s">
        <v>106</v>
      </c>
      <c r="K9" s="25" t="s">
        <v>44</v>
      </c>
      <c r="L9" s="24" t="str">
        <f>VLOOKUP(K9,'COD.'!$A$1:$B$39,2,0)</f>
        <v xml:space="preserve">Ocio y Entretenimiento </v>
      </c>
    </row>
    <row r="10" spans="1:12" x14ac:dyDescent="0.2">
      <c r="A10" s="1" t="s">
        <v>98</v>
      </c>
      <c r="B10" s="1" t="s">
        <v>98</v>
      </c>
      <c r="C10" s="22">
        <f t="shared" si="0"/>
        <v>11</v>
      </c>
      <c r="D10" s="1" t="s">
        <v>107</v>
      </c>
      <c r="E10" s="1" t="s">
        <v>8</v>
      </c>
      <c r="F10" s="2">
        <v>-17.559999999999999</v>
      </c>
      <c r="G10" s="1" t="s">
        <v>9</v>
      </c>
      <c r="H10" s="2">
        <v>5072.8599999999997</v>
      </c>
      <c r="I10" s="1" t="s">
        <v>9</v>
      </c>
      <c r="J10" s="1" t="s">
        <v>31</v>
      </c>
      <c r="K10" s="25" t="s">
        <v>32</v>
      </c>
      <c r="L10" s="24" t="str">
        <f>VLOOKUP(K10,'COD.'!$A$1:$B$39,2,0)</f>
        <v xml:space="preserve">Salud y Cuidado </v>
      </c>
    </row>
    <row r="11" spans="1:12" x14ac:dyDescent="0.2">
      <c r="A11" s="1" t="s">
        <v>108</v>
      </c>
      <c r="B11" s="1" t="s">
        <v>108</v>
      </c>
      <c r="C11" s="22">
        <f t="shared" si="0"/>
        <v>11</v>
      </c>
      <c r="D11" s="1" t="s">
        <v>109</v>
      </c>
      <c r="E11" s="1" t="s">
        <v>8</v>
      </c>
      <c r="F11" s="2">
        <v>-13.2</v>
      </c>
      <c r="G11" s="1" t="s">
        <v>9</v>
      </c>
      <c r="H11" s="2">
        <v>5090.42</v>
      </c>
      <c r="I11" s="1" t="s">
        <v>9</v>
      </c>
      <c r="J11" s="1" t="s">
        <v>110</v>
      </c>
      <c r="K11" s="23" t="s">
        <v>40</v>
      </c>
      <c r="L11" s="24" t="str">
        <f>VLOOKUP(K11,'COD.'!$A$1:$B$39,2,0)</f>
        <v xml:space="preserve">Ocio y Entretenimiento </v>
      </c>
    </row>
    <row r="12" spans="1:12" x14ac:dyDescent="0.2">
      <c r="A12" s="1" t="s">
        <v>108</v>
      </c>
      <c r="B12" s="1" t="s">
        <v>108</v>
      </c>
      <c r="C12" s="22">
        <f t="shared" si="0"/>
        <v>11</v>
      </c>
      <c r="D12" s="1" t="s">
        <v>111</v>
      </c>
      <c r="E12" s="1" t="s">
        <v>8</v>
      </c>
      <c r="F12" s="2">
        <v>-19.899999999999999</v>
      </c>
      <c r="G12" s="1" t="s">
        <v>9</v>
      </c>
      <c r="H12" s="2">
        <v>5103.62</v>
      </c>
      <c r="I12" s="1" t="s">
        <v>9</v>
      </c>
      <c r="J12" s="1" t="s">
        <v>112</v>
      </c>
      <c r="K12" s="25" t="s">
        <v>44</v>
      </c>
      <c r="L12" s="24" t="str">
        <f>VLOOKUP(K12,'COD.'!$A$1:$B$39,2,0)</f>
        <v xml:space="preserve">Ocio y Entretenimiento </v>
      </c>
    </row>
    <row r="13" spans="1:12" x14ac:dyDescent="0.2">
      <c r="A13" s="1" t="s">
        <v>113</v>
      </c>
      <c r="B13" s="1" t="s">
        <v>108</v>
      </c>
      <c r="C13" s="22">
        <f t="shared" si="0"/>
        <v>11</v>
      </c>
      <c r="D13" s="1" t="s">
        <v>17</v>
      </c>
      <c r="E13" s="1" t="s">
        <v>8</v>
      </c>
      <c r="F13" s="2">
        <v>23.49</v>
      </c>
      <c r="G13" s="1" t="s">
        <v>9</v>
      </c>
      <c r="H13" s="2">
        <v>5123.5200000000004</v>
      </c>
      <c r="I13" s="1" t="s">
        <v>9</v>
      </c>
      <c r="J13" s="1" t="s">
        <v>18</v>
      </c>
      <c r="K13" s="25" t="s">
        <v>41</v>
      </c>
      <c r="L13" s="24" t="str">
        <f>VLOOKUP(K13,'COD.'!$A$1:$B$39,2,0)</f>
        <v xml:space="preserve">Supermercado </v>
      </c>
    </row>
    <row r="14" spans="1:12" x14ac:dyDescent="0.2">
      <c r="A14" s="1" t="s">
        <v>108</v>
      </c>
      <c r="B14" s="1" t="s">
        <v>108</v>
      </c>
      <c r="C14" s="22">
        <f t="shared" si="0"/>
        <v>11</v>
      </c>
      <c r="D14" s="1" t="s">
        <v>24</v>
      </c>
      <c r="E14" s="1" t="s">
        <v>25</v>
      </c>
      <c r="F14" s="2">
        <v>-121.07</v>
      </c>
      <c r="G14" s="1" t="s">
        <v>9</v>
      </c>
      <c r="H14" s="2">
        <v>5100.03</v>
      </c>
      <c r="I14" s="1" t="s">
        <v>9</v>
      </c>
      <c r="J14" s="1" t="s">
        <v>26</v>
      </c>
      <c r="K14" s="26" t="s">
        <v>24</v>
      </c>
      <c r="L14" s="24" t="str">
        <f>VLOOKUP(K14,'COD.'!$A$1:$B$39,2,0)</f>
        <v xml:space="preserve">Vivienda y Préstamos </v>
      </c>
    </row>
    <row r="15" spans="1:12" x14ac:dyDescent="0.2">
      <c r="A15" s="1" t="s">
        <v>114</v>
      </c>
      <c r="B15" s="1" t="s">
        <v>108</v>
      </c>
      <c r="C15" s="22">
        <f t="shared" si="0"/>
        <v>11</v>
      </c>
      <c r="D15" s="1" t="s">
        <v>21</v>
      </c>
      <c r="E15" s="1" t="s">
        <v>22</v>
      </c>
      <c r="F15" s="2">
        <v>-59.45</v>
      </c>
      <c r="G15" s="1" t="s">
        <v>9</v>
      </c>
      <c r="H15" s="2">
        <v>5221.1000000000004</v>
      </c>
      <c r="I15" s="1" t="s">
        <v>9</v>
      </c>
      <c r="J15" s="1" t="s">
        <v>23</v>
      </c>
      <c r="K15" s="29" t="s">
        <v>55</v>
      </c>
      <c r="L15" s="24" t="str">
        <f>VLOOKUP(K15,'COD.'!$A$1:$B$39,2,0)</f>
        <v xml:space="preserve">Vivienda y Préstamos </v>
      </c>
    </row>
    <row r="16" spans="1:12" x14ac:dyDescent="0.2">
      <c r="A16" s="1" t="s">
        <v>115</v>
      </c>
      <c r="B16" s="1" t="s">
        <v>114</v>
      </c>
      <c r="C16" s="22">
        <f t="shared" si="0"/>
        <v>11</v>
      </c>
      <c r="D16" s="1" t="s">
        <v>116</v>
      </c>
      <c r="E16" s="1" t="s">
        <v>8</v>
      </c>
      <c r="F16" s="2">
        <v>-376.96</v>
      </c>
      <c r="G16" s="1" t="s">
        <v>9</v>
      </c>
      <c r="H16" s="2">
        <v>5280.55</v>
      </c>
      <c r="I16" s="1" t="s">
        <v>9</v>
      </c>
      <c r="J16" s="1" t="s">
        <v>117</v>
      </c>
      <c r="K16" s="25" t="s">
        <v>63</v>
      </c>
      <c r="L16" s="24" t="str">
        <f>VLOOKUP(K16,'COD.'!$A$1:$B$39,2,0)</f>
        <v xml:space="preserve">Ocio y Entretenimiento </v>
      </c>
    </row>
    <row r="17" spans="1:12" x14ac:dyDescent="0.2">
      <c r="A17" s="1" t="s">
        <v>115</v>
      </c>
      <c r="B17" s="1" t="s">
        <v>114</v>
      </c>
      <c r="C17" s="22">
        <f t="shared" si="0"/>
        <v>11</v>
      </c>
      <c r="D17" s="1" t="s">
        <v>13</v>
      </c>
      <c r="E17" s="1" t="s">
        <v>8</v>
      </c>
      <c r="F17" s="2">
        <v>-2.4900000000000002</v>
      </c>
      <c r="G17" s="1" t="s">
        <v>9</v>
      </c>
      <c r="H17" s="2">
        <v>5657.51</v>
      </c>
      <c r="I17" s="1" t="s">
        <v>9</v>
      </c>
      <c r="J17" s="1" t="s">
        <v>14</v>
      </c>
      <c r="K17" s="28" t="s">
        <v>45</v>
      </c>
      <c r="L17" s="24" t="str">
        <f>VLOOKUP(K17,'COD.'!$A$1:$B$39,2,0)</f>
        <v xml:space="preserve">Ocio y Entretenimiento </v>
      </c>
    </row>
    <row r="18" spans="1:12" x14ac:dyDescent="0.2">
      <c r="A18" s="1" t="s">
        <v>115</v>
      </c>
      <c r="B18" s="1" t="s">
        <v>114</v>
      </c>
      <c r="C18" s="22">
        <f t="shared" si="0"/>
        <v>11</v>
      </c>
      <c r="D18" s="1" t="s">
        <v>19</v>
      </c>
      <c r="E18" s="1" t="s">
        <v>8</v>
      </c>
      <c r="F18" s="2">
        <v>-4.99</v>
      </c>
      <c r="G18" s="1" t="s">
        <v>9</v>
      </c>
      <c r="H18" s="2">
        <v>5660</v>
      </c>
      <c r="I18" s="1" t="s">
        <v>9</v>
      </c>
      <c r="J18" s="1" t="s">
        <v>20</v>
      </c>
      <c r="K18" s="25" t="s">
        <v>71</v>
      </c>
      <c r="L18" s="24" t="str">
        <f>VLOOKUP(K18,'COD.'!$A$1:$B$39,2,0)</f>
        <v xml:space="preserve">Ocio y Entretenimiento </v>
      </c>
    </row>
    <row r="19" spans="1:12" x14ac:dyDescent="0.2">
      <c r="A19" s="1" t="s">
        <v>113</v>
      </c>
      <c r="B19" s="1" t="s">
        <v>113</v>
      </c>
      <c r="C19" s="22">
        <f t="shared" si="0"/>
        <v>11</v>
      </c>
      <c r="D19" s="1" t="s">
        <v>11</v>
      </c>
      <c r="E19" s="1" t="s">
        <v>118</v>
      </c>
      <c r="F19" s="2">
        <v>-12.55</v>
      </c>
      <c r="G19" s="1" t="s">
        <v>9</v>
      </c>
      <c r="H19" s="2">
        <v>5664.99</v>
      </c>
      <c r="I19" s="1" t="s">
        <v>9</v>
      </c>
      <c r="J19" s="1" t="s">
        <v>119</v>
      </c>
      <c r="K19" s="25" t="s">
        <v>43</v>
      </c>
      <c r="L19" s="24" t="str">
        <f>VLOOKUP(K19,'COD.'!$A$1:$B$39,2,0)</f>
        <v xml:space="preserve">Supermercado </v>
      </c>
    </row>
    <row r="20" spans="1:12" x14ac:dyDescent="0.2">
      <c r="A20" s="1" t="s">
        <v>120</v>
      </c>
      <c r="B20" s="1" t="s">
        <v>113</v>
      </c>
      <c r="C20" s="22">
        <f t="shared" ref="C20:C30" si="1">MONTH(A20)</f>
        <v>11</v>
      </c>
      <c r="D20" s="1" t="s">
        <v>35</v>
      </c>
      <c r="E20" s="1" t="s">
        <v>8</v>
      </c>
      <c r="F20" s="2">
        <v>-4.5599999999999996</v>
      </c>
      <c r="G20" s="1" t="s">
        <v>9</v>
      </c>
      <c r="H20" s="2">
        <v>5677.54</v>
      </c>
      <c r="I20" s="1" t="s">
        <v>9</v>
      </c>
      <c r="J20" s="1" t="s">
        <v>36</v>
      </c>
      <c r="K20" s="25" t="s">
        <v>57</v>
      </c>
      <c r="L20" s="24" t="str">
        <f>VLOOKUP(K20,'COD.'!$A$1:$B$39,2,0)</f>
        <v xml:space="preserve">Otros Gastos Generales </v>
      </c>
    </row>
    <row r="21" spans="1:12" x14ac:dyDescent="0.2">
      <c r="A21" s="1" t="s">
        <v>120</v>
      </c>
      <c r="B21" s="1" t="s">
        <v>113</v>
      </c>
      <c r="C21" s="22">
        <f t="shared" si="1"/>
        <v>11</v>
      </c>
      <c r="D21" s="1" t="s">
        <v>121</v>
      </c>
      <c r="E21" s="1" t="s">
        <v>8</v>
      </c>
      <c r="F21" s="2">
        <v>-12.9</v>
      </c>
      <c r="G21" s="1" t="s">
        <v>9</v>
      </c>
      <c r="H21" s="2">
        <v>5682.1</v>
      </c>
      <c r="I21" s="1" t="s">
        <v>9</v>
      </c>
      <c r="J21" s="1" t="s">
        <v>122</v>
      </c>
      <c r="K21" s="25" t="s">
        <v>44</v>
      </c>
      <c r="L21" s="24" t="str">
        <f>VLOOKUP(K21,'COD.'!$A$1:$B$39,2,0)</f>
        <v xml:space="preserve">Ocio y Entretenimiento </v>
      </c>
    </row>
    <row r="22" spans="1:12" x14ac:dyDescent="0.2">
      <c r="A22" s="1" t="s">
        <v>113</v>
      </c>
      <c r="B22" s="1" t="s">
        <v>113</v>
      </c>
      <c r="C22" s="22">
        <f t="shared" si="1"/>
        <v>11</v>
      </c>
      <c r="D22" s="1" t="s">
        <v>28</v>
      </c>
      <c r="E22" s="1" t="s">
        <v>29</v>
      </c>
      <c r="F22" s="2">
        <v>-30</v>
      </c>
      <c r="G22" s="1" t="s">
        <v>9</v>
      </c>
      <c r="H22" s="2">
        <v>5695</v>
      </c>
      <c r="I22" s="1" t="s">
        <v>9</v>
      </c>
      <c r="J22" s="1" t="s">
        <v>30</v>
      </c>
      <c r="K22" s="27" t="s">
        <v>62</v>
      </c>
      <c r="L22" s="24" t="str">
        <f>VLOOKUP(K22,'COD.'!$A$1:$B$39,2,0)</f>
        <v>Moto</v>
      </c>
    </row>
    <row r="23" spans="1:12" x14ac:dyDescent="0.2">
      <c r="A23" s="1" t="s">
        <v>113</v>
      </c>
      <c r="B23" s="1" t="s">
        <v>113</v>
      </c>
      <c r="C23" s="22">
        <f t="shared" si="1"/>
        <v>11</v>
      </c>
      <c r="D23" s="1" t="s">
        <v>123</v>
      </c>
      <c r="E23" s="1" t="s">
        <v>124</v>
      </c>
      <c r="F23" s="2">
        <v>-50</v>
      </c>
      <c r="G23" s="1" t="s">
        <v>9</v>
      </c>
      <c r="H23" s="2">
        <v>5725</v>
      </c>
      <c r="I23" s="1" t="s">
        <v>9</v>
      </c>
      <c r="J23" s="1" t="s">
        <v>125</v>
      </c>
      <c r="K23" s="25" t="s">
        <v>49</v>
      </c>
      <c r="L23" s="24" t="str">
        <f>VLOOKUP(K23,'COD.'!$A$1:$B$39,2,0)</f>
        <v xml:space="preserve">Vivienda y Préstamos </v>
      </c>
    </row>
    <row r="24" spans="1:12" x14ac:dyDescent="0.2">
      <c r="A24" s="1" t="s">
        <v>113</v>
      </c>
      <c r="B24" s="1" t="s">
        <v>113</v>
      </c>
      <c r="C24" s="22">
        <f t="shared" si="1"/>
        <v>11</v>
      </c>
      <c r="D24" s="1" t="s">
        <v>126</v>
      </c>
      <c r="E24" s="1" t="s">
        <v>127</v>
      </c>
      <c r="F24" s="2">
        <v>-65</v>
      </c>
      <c r="G24" s="1" t="s">
        <v>9</v>
      </c>
      <c r="H24" s="2">
        <v>5775</v>
      </c>
      <c r="I24" s="1" t="s">
        <v>9</v>
      </c>
      <c r="J24" s="1" t="s">
        <v>128</v>
      </c>
      <c r="K24" s="25" t="s">
        <v>50</v>
      </c>
      <c r="L24" s="24" t="str">
        <f>VLOOKUP(K24,'COD.'!$A$1:$B$39,2,0)</f>
        <v xml:space="preserve">Ocio y Entretenimiento </v>
      </c>
    </row>
    <row r="25" spans="1:12" x14ac:dyDescent="0.2">
      <c r="A25" s="1" t="s">
        <v>115</v>
      </c>
      <c r="B25" s="1" t="s">
        <v>113</v>
      </c>
      <c r="C25" s="22">
        <f t="shared" si="1"/>
        <v>11</v>
      </c>
      <c r="D25" s="1" t="s">
        <v>11</v>
      </c>
      <c r="E25" s="1" t="s">
        <v>129</v>
      </c>
      <c r="F25" s="2">
        <v>200</v>
      </c>
      <c r="G25" s="1" t="s">
        <v>9</v>
      </c>
      <c r="H25" s="2">
        <v>5840</v>
      </c>
      <c r="I25" s="1" t="s">
        <v>9</v>
      </c>
      <c r="J25" s="1" t="s">
        <v>130</v>
      </c>
      <c r="K25" s="25" t="s">
        <v>63</v>
      </c>
      <c r="L25" s="24" t="str">
        <f>VLOOKUP(K25,'COD.'!$A$1:$B$39,2,0)</f>
        <v xml:space="preserve">Ocio y Entretenimiento </v>
      </c>
    </row>
    <row r="26" spans="1:12" x14ac:dyDescent="0.2">
      <c r="A26" s="1" t="s">
        <v>115</v>
      </c>
      <c r="B26" s="1" t="s">
        <v>113</v>
      </c>
      <c r="C26" s="22">
        <f t="shared" si="1"/>
        <v>11</v>
      </c>
      <c r="D26" s="1" t="s">
        <v>131</v>
      </c>
      <c r="E26" s="1" t="s">
        <v>8</v>
      </c>
      <c r="F26" s="2">
        <v>-3.2</v>
      </c>
      <c r="G26" s="1" t="s">
        <v>9</v>
      </c>
      <c r="H26" s="2">
        <v>5640</v>
      </c>
      <c r="I26" s="1" t="s">
        <v>9</v>
      </c>
      <c r="J26" s="1" t="s">
        <v>12</v>
      </c>
      <c r="K26" s="23" t="s">
        <v>40</v>
      </c>
      <c r="L26" s="24" t="str">
        <f>VLOOKUP(K26,'COD.'!$A$1:$B$39,2,0)</f>
        <v xml:space="preserve">Ocio y Entretenimiento </v>
      </c>
    </row>
    <row r="27" spans="1:12" x14ac:dyDescent="0.2">
      <c r="A27" s="1" t="s">
        <v>120</v>
      </c>
      <c r="B27" s="1" t="s">
        <v>113</v>
      </c>
      <c r="C27" s="22">
        <f t="shared" si="1"/>
        <v>11</v>
      </c>
      <c r="D27" s="1" t="s">
        <v>132</v>
      </c>
      <c r="E27" s="1" t="s">
        <v>8</v>
      </c>
      <c r="F27" s="2">
        <v>-9</v>
      </c>
      <c r="G27" s="1" t="s">
        <v>9</v>
      </c>
      <c r="H27" s="2">
        <v>5643.2</v>
      </c>
      <c r="I27" s="1" t="s">
        <v>9</v>
      </c>
      <c r="J27" s="1" t="s">
        <v>27</v>
      </c>
      <c r="K27" s="25" t="s">
        <v>59</v>
      </c>
      <c r="L27" s="24" t="str">
        <f>VLOOKUP(K27,'COD.'!$A$1:$B$39,2,0)</f>
        <v xml:space="preserve">Otros Gastos Generales </v>
      </c>
    </row>
    <row r="28" spans="1:12" x14ac:dyDescent="0.2">
      <c r="A28" s="1" t="s">
        <v>120</v>
      </c>
      <c r="B28" s="1" t="s">
        <v>113</v>
      </c>
      <c r="C28" s="22">
        <f t="shared" si="1"/>
        <v>11</v>
      </c>
      <c r="D28" s="1" t="s">
        <v>133</v>
      </c>
      <c r="E28" s="1" t="s">
        <v>8</v>
      </c>
      <c r="F28" s="2">
        <v>-1.8</v>
      </c>
      <c r="G28" s="1" t="s">
        <v>9</v>
      </c>
      <c r="H28" s="2">
        <v>5652.2</v>
      </c>
      <c r="I28" s="1" t="s">
        <v>9</v>
      </c>
      <c r="J28" s="1" t="s">
        <v>134</v>
      </c>
      <c r="K28" s="25" t="s">
        <v>53</v>
      </c>
      <c r="L28" s="24" t="str">
        <f>VLOOKUP(K28,'COD.'!$A$1:$B$39,2,0)</f>
        <v xml:space="preserve">Vivienda y Préstamos </v>
      </c>
    </row>
    <row r="29" spans="1:12" x14ac:dyDescent="0.2">
      <c r="A29" s="1" t="s">
        <v>120</v>
      </c>
      <c r="B29" s="1" t="s">
        <v>113</v>
      </c>
      <c r="C29" s="22">
        <f t="shared" si="1"/>
        <v>11</v>
      </c>
      <c r="D29" s="1" t="s">
        <v>135</v>
      </c>
      <c r="E29" s="1" t="s">
        <v>8</v>
      </c>
      <c r="F29" s="2">
        <v>-2.9</v>
      </c>
      <c r="G29" s="1" t="s">
        <v>9</v>
      </c>
      <c r="H29" s="2">
        <v>5654</v>
      </c>
      <c r="I29" s="1" t="s">
        <v>9</v>
      </c>
      <c r="J29" s="1" t="s">
        <v>136</v>
      </c>
      <c r="K29" s="23" t="s">
        <v>40</v>
      </c>
      <c r="L29" s="24" t="str">
        <f>VLOOKUP(K29,'COD.'!$A$1:$B$39,2,0)</f>
        <v xml:space="preserve">Ocio y Entretenimiento </v>
      </c>
    </row>
    <row r="30" spans="1:12" x14ac:dyDescent="0.2">
      <c r="A30" s="1" t="s">
        <v>120</v>
      </c>
      <c r="B30" s="1" t="s">
        <v>113</v>
      </c>
      <c r="C30" s="22">
        <f t="shared" si="1"/>
        <v>11</v>
      </c>
      <c r="D30" s="1" t="s">
        <v>137</v>
      </c>
      <c r="E30" s="1" t="s">
        <v>8</v>
      </c>
      <c r="F30" s="2">
        <v>-3.2</v>
      </c>
      <c r="G30" s="1" t="s">
        <v>9</v>
      </c>
      <c r="H30" s="2">
        <v>5656.9</v>
      </c>
      <c r="I30" s="1" t="s">
        <v>9</v>
      </c>
      <c r="J30" s="1" t="s">
        <v>37</v>
      </c>
      <c r="K30" s="23" t="s">
        <v>40</v>
      </c>
      <c r="L30" s="24" t="str">
        <f>VLOOKUP(K30,'COD.'!$A$1:$B$39,2,0)</f>
        <v xml:space="preserve">Ocio y Entretenimiento </v>
      </c>
    </row>
  </sheetData>
  <phoneticPr fontId="1" type="noConversion"/>
  <pageMargins left="0.75" right="0.75" top="1" bottom="1" header="0" footer="0"/>
  <pageSetup paperSize="9"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CEA1-1F0C-47B7-8256-1A5E3D6FA6F4}">
  <dimension ref="A3:N466"/>
  <sheetViews>
    <sheetView workbookViewId="0">
      <selection activeCell="B15" sqref="B15"/>
    </sheetView>
  </sheetViews>
  <sheetFormatPr baseColWidth="10" defaultRowHeight="11.25" x14ac:dyDescent="0.2"/>
  <cols>
    <col min="1" max="1" width="37" style="3" bestFit="1" customWidth="1"/>
    <col min="2" max="2" width="32.5703125" style="3" bestFit="1" customWidth="1"/>
    <col min="3" max="3" width="8.42578125" style="9" bestFit="1" customWidth="1"/>
    <col min="4" max="4" width="9.85546875" style="3" bestFit="1" customWidth="1"/>
    <col min="5" max="13" width="8.42578125" style="3" bestFit="1" customWidth="1"/>
    <col min="14" max="14" width="9.85546875" style="3" bestFit="1" customWidth="1"/>
    <col min="15" max="193" width="10.140625" style="3" bestFit="1" customWidth="1"/>
    <col min="194" max="194" width="11.140625" style="3" bestFit="1" customWidth="1"/>
    <col min="195" max="195" width="13.140625" style="3" bestFit="1" customWidth="1"/>
    <col min="196" max="16384" width="11.42578125" style="3"/>
  </cols>
  <sheetData>
    <row r="3" spans="1:14" ht="12.75" x14ac:dyDescent="0.2">
      <c r="A3" s="8" t="s">
        <v>69</v>
      </c>
      <c r="C3" s="8" t="s">
        <v>84</v>
      </c>
      <c r="E3"/>
      <c r="F3"/>
      <c r="G3"/>
      <c r="H3"/>
      <c r="I3"/>
      <c r="J3"/>
      <c r="K3"/>
      <c r="L3"/>
      <c r="M3"/>
      <c r="N3"/>
    </row>
    <row r="4" spans="1:14" ht="12.75" x14ac:dyDescent="0.2">
      <c r="A4" s="8" t="s">
        <v>74</v>
      </c>
      <c r="B4" s="8" t="s">
        <v>73</v>
      </c>
      <c r="C4" s="3">
        <v>11</v>
      </c>
      <c r="D4" s="3" t="s">
        <v>68</v>
      </c>
      <c r="E4"/>
      <c r="F4"/>
      <c r="G4"/>
      <c r="H4"/>
      <c r="I4"/>
      <c r="J4"/>
      <c r="K4"/>
      <c r="L4"/>
      <c r="M4"/>
      <c r="N4"/>
    </row>
    <row r="5" spans="1:14" ht="12.75" x14ac:dyDescent="0.2">
      <c r="A5" s="3" t="s">
        <v>92</v>
      </c>
      <c r="B5" s="3" t="s">
        <v>62</v>
      </c>
      <c r="C5" s="9">
        <v>-30</v>
      </c>
      <c r="D5" s="9">
        <v>-30</v>
      </c>
      <c r="E5"/>
      <c r="F5"/>
      <c r="G5"/>
      <c r="H5"/>
      <c r="I5"/>
      <c r="J5"/>
      <c r="K5"/>
      <c r="L5"/>
      <c r="M5"/>
      <c r="N5"/>
    </row>
    <row r="6" spans="1:14" ht="12.75" x14ac:dyDescent="0.2">
      <c r="A6" s="3" t="s">
        <v>93</v>
      </c>
      <c r="C6" s="9">
        <v>-30</v>
      </c>
      <c r="D6" s="9">
        <v>-30</v>
      </c>
      <c r="E6"/>
      <c r="F6"/>
      <c r="G6"/>
      <c r="H6"/>
      <c r="I6"/>
      <c r="J6"/>
      <c r="K6"/>
      <c r="L6"/>
      <c r="M6"/>
      <c r="N6"/>
    </row>
    <row r="7" spans="1:14" ht="12.75" x14ac:dyDescent="0.2">
      <c r="A7" s="3" t="s">
        <v>75</v>
      </c>
      <c r="B7" s="3" t="s">
        <v>45</v>
      </c>
      <c r="C7" s="9">
        <v>-2.4900000000000002</v>
      </c>
      <c r="D7" s="9">
        <v>-2.4900000000000002</v>
      </c>
      <c r="E7"/>
      <c r="F7"/>
      <c r="G7"/>
      <c r="H7"/>
      <c r="I7"/>
      <c r="J7"/>
      <c r="K7"/>
      <c r="L7"/>
      <c r="M7"/>
      <c r="N7"/>
    </row>
    <row r="8" spans="1:14" ht="12.75" x14ac:dyDescent="0.2">
      <c r="B8" s="3" t="s">
        <v>40</v>
      </c>
      <c r="C8" s="9">
        <v>-37.6</v>
      </c>
      <c r="D8" s="9">
        <v>-37.6</v>
      </c>
      <c r="E8"/>
      <c r="F8"/>
      <c r="G8"/>
      <c r="H8"/>
      <c r="I8"/>
      <c r="J8"/>
      <c r="K8"/>
      <c r="L8"/>
      <c r="M8"/>
      <c r="N8"/>
    </row>
    <row r="9" spans="1:14" ht="12.75" x14ac:dyDescent="0.2">
      <c r="B9" s="3" t="s">
        <v>44</v>
      </c>
      <c r="C9" s="9">
        <v>-32.399999999999991</v>
      </c>
      <c r="D9" s="9">
        <v>-32.399999999999991</v>
      </c>
      <c r="E9"/>
      <c r="F9"/>
      <c r="G9"/>
      <c r="H9"/>
      <c r="I9"/>
      <c r="J9"/>
      <c r="K9"/>
      <c r="L9"/>
      <c r="M9"/>
      <c r="N9"/>
    </row>
    <row r="10" spans="1:14" ht="12.75" x14ac:dyDescent="0.2">
      <c r="B10" s="3" t="s">
        <v>50</v>
      </c>
      <c r="C10" s="9">
        <v>-65</v>
      </c>
      <c r="D10" s="9">
        <v>-65</v>
      </c>
      <c r="E10"/>
      <c r="F10"/>
      <c r="G10"/>
      <c r="H10"/>
      <c r="I10"/>
      <c r="J10"/>
      <c r="K10"/>
      <c r="L10"/>
      <c r="M10"/>
      <c r="N10"/>
    </row>
    <row r="11" spans="1:14" ht="12.75" x14ac:dyDescent="0.2">
      <c r="B11" s="3" t="s">
        <v>71</v>
      </c>
      <c r="C11" s="9">
        <v>-4.99</v>
      </c>
      <c r="D11" s="9">
        <v>-4.99</v>
      </c>
      <c r="E11"/>
      <c r="F11"/>
      <c r="G11"/>
      <c r="H11"/>
      <c r="I11"/>
      <c r="J11"/>
      <c r="K11"/>
      <c r="L11"/>
      <c r="M11"/>
      <c r="N11"/>
    </row>
    <row r="12" spans="1:14" ht="12.75" x14ac:dyDescent="0.2">
      <c r="B12" s="3" t="s">
        <v>63</v>
      </c>
      <c r="C12" s="9">
        <v>-176.95999999999998</v>
      </c>
      <c r="D12" s="9">
        <v>-176.95999999999998</v>
      </c>
      <c r="E12"/>
      <c r="F12"/>
      <c r="G12"/>
      <c r="H12"/>
      <c r="I12"/>
      <c r="J12"/>
      <c r="K12"/>
      <c r="L12"/>
      <c r="M12"/>
      <c r="N12"/>
    </row>
    <row r="13" spans="1:14" ht="12.75" x14ac:dyDescent="0.2">
      <c r="A13" s="3" t="s">
        <v>87</v>
      </c>
      <c r="C13" s="9">
        <v>-319.44</v>
      </c>
      <c r="D13" s="9">
        <v>-319.44</v>
      </c>
      <c r="E13"/>
      <c r="F13"/>
      <c r="G13"/>
      <c r="H13"/>
      <c r="I13"/>
      <c r="J13"/>
      <c r="K13"/>
      <c r="L13"/>
      <c r="M13"/>
      <c r="N13"/>
    </row>
    <row r="14" spans="1:14" ht="12.75" x14ac:dyDescent="0.2">
      <c r="A14" s="3" t="s">
        <v>80</v>
      </c>
      <c r="B14" s="3" t="s">
        <v>59</v>
      </c>
      <c r="C14" s="9">
        <v>-9</v>
      </c>
      <c r="D14" s="9">
        <v>-9</v>
      </c>
      <c r="E14"/>
      <c r="F14"/>
      <c r="G14"/>
      <c r="H14"/>
      <c r="I14"/>
      <c r="J14"/>
      <c r="K14"/>
      <c r="L14"/>
      <c r="M14"/>
      <c r="N14"/>
    </row>
    <row r="15" spans="1:14" ht="12.75" x14ac:dyDescent="0.2">
      <c r="B15" s="3" t="s">
        <v>42</v>
      </c>
      <c r="C15" s="9">
        <v>-8</v>
      </c>
      <c r="D15" s="9">
        <v>-8</v>
      </c>
      <c r="E15"/>
      <c r="F15"/>
      <c r="G15"/>
      <c r="H15"/>
      <c r="I15"/>
      <c r="J15"/>
      <c r="K15"/>
      <c r="L15"/>
      <c r="M15"/>
      <c r="N15"/>
    </row>
    <row r="16" spans="1:14" ht="12.75" x14ac:dyDescent="0.2">
      <c r="B16" s="3" t="s">
        <v>57</v>
      </c>
      <c r="C16" s="9">
        <v>-4.5599999999999996</v>
      </c>
      <c r="D16" s="9">
        <v>-4.5599999999999996</v>
      </c>
      <c r="E16"/>
      <c r="F16"/>
      <c r="G16"/>
      <c r="H16"/>
      <c r="I16"/>
      <c r="J16"/>
      <c r="K16"/>
      <c r="L16"/>
      <c r="M16"/>
      <c r="N16"/>
    </row>
    <row r="17" spans="1:14" ht="12.75" x14ac:dyDescent="0.2">
      <c r="A17" s="3" t="s">
        <v>86</v>
      </c>
      <c r="C17" s="9">
        <v>-21.56</v>
      </c>
      <c r="D17" s="9">
        <v>-21.56</v>
      </c>
      <c r="E17"/>
      <c r="F17"/>
      <c r="G17"/>
      <c r="H17"/>
      <c r="I17"/>
      <c r="J17"/>
      <c r="K17"/>
      <c r="L17"/>
      <c r="M17"/>
      <c r="N17"/>
    </row>
    <row r="18" spans="1:14" ht="12.75" x14ac:dyDescent="0.2">
      <c r="A18" s="3" t="s">
        <v>81</v>
      </c>
      <c r="B18" s="3" t="s">
        <v>32</v>
      </c>
      <c r="C18" s="9">
        <v>-24.31</v>
      </c>
      <c r="D18" s="9">
        <v>-24.31</v>
      </c>
      <c r="E18"/>
      <c r="F18"/>
      <c r="G18"/>
      <c r="H18"/>
      <c r="I18"/>
      <c r="J18"/>
      <c r="K18"/>
      <c r="L18"/>
      <c r="M18"/>
      <c r="N18"/>
    </row>
    <row r="19" spans="1:14" ht="12.75" x14ac:dyDescent="0.2">
      <c r="A19" s="3" t="s">
        <v>90</v>
      </c>
      <c r="C19" s="9">
        <v>-24.31</v>
      </c>
      <c r="D19" s="9">
        <v>-24.31</v>
      </c>
      <c r="E19"/>
      <c r="F19"/>
      <c r="G19"/>
      <c r="H19"/>
      <c r="I19"/>
      <c r="J19"/>
      <c r="K19"/>
      <c r="L19"/>
      <c r="M19"/>
      <c r="N19"/>
    </row>
    <row r="20" spans="1:14" ht="12.75" x14ac:dyDescent="0.2">
      <c r="A20" s="3" t="s">
        <v>78</v>
      </c>
      <c r="B20" s="3" t="s">
        <v>41</v>
      </c>
      <c r="C20" s="9">
        <v>1.5899999999999999</v>
      </c>
      <c r="D20" s="9">
        <v>1.5899999999999999</v>
      </c>
      <c r="E20"/>
      <c r="F20"/>
      <c r="G20"/>
      <c r="H20"/>
      <c r="I20"/>
      <c r="J20"/>
      <c r="K20"/>
      <c r="L20"/>
      <c r="M20"/>
      <c r="N20"/>
    </row>
    <row r="21" spans="1:14" ht="12.75" x14ac:dyDescent="0.2">
      <c r="B21" s="3" t="s">
        <v>43</v>
      </c>
      <c r="C21" s="9">
        <v>-61.599999999999994</v>
      </c>
      <c r="D21" s="9">
        <v>-61.599999999999994</v>
      </c>
      <c r="E21"/>
      <c r="F21"/>
      <c r="G21"/>
      <c r="H21"/>
      <c r="I21"/>
      <c r="J21"/>
      <c r="K21"/>
      <c r="L21"/>
      <c r="M21"/>
      <c r="N21"/>
    </row>
    <row r="22" spans="1:14" ht="12.75" x14ac:dyDescent="0.2">
      <c r="A22" s="3" t="s">
        <v>89</v>
      </c>
      <c r="C22" s="9">
        <v>-60.009999999999991</v>
      </c>
      <c r="D22" s="9">
        <v>-60.009999999999991</v>
      </c>
      <c r="E22"/>
      <c r="F22"/>
      <c r="G22"/>
      <c r="H22"/>
      <c r="I22"/>
      <c r="J22"/>
      <c r="K22"/>
      <c r="L22"/>
      <c r="M22"/>
      <c r="N22"/>
    </row>
    <row r="23" spans="1:14" ht="12.75" x14ac:dyDescent="0.2">
      <c r="A23" s="3" t="s">
        <v>79</v>
      </c>
      <c r="B23" s="3" t="s">
        <v>55</v>
      </c>
      <c r="C23" s="9">
        <v>-59.45</v>
      </c>
      <c r="D23" s="9">
        <v>-59.45</v>
      </c>
      <c r="E23"/>
      <c r="F23"/>
      <c r="G23"/>
      <c r="H23"/>
      <c r="I23"/>
      <c r="J23"/>
      <c r="K23"/>
      <c r="L23"/>
      <c r="M23"/>
      <c r="N23"/>
    </row>
    <row r="24" spans="1:14" ht="12.75" x14ac:dyDescent="0.2">
      <c r="B24" s="3" t="s">
        <v>53</v>
      </c>
      <c r="C24" s="9">
        <v>-1.8</v>
      </c>
      <c r="D24" s="9">
        <v>-1.8</v>
      </c>
      <c r="E24"/>
      <c r="F24"/>
      <c r="G24"/>
      <c r="H24"/>
      <c r="I24"/>
      <c r="J24"/>
      <c r="K24"/>
      <c r="L24"/>
      <c r="M24"/>
      <c r="N24"/>
    </row>
    <row r="25" spans="1:14" ht="12.75" x14ac:dyDescent="0.2">
      <c r="B25" s="3" t="s">
        <v>24</v>
      </c>
      <c r="C25" s="9">
        <v>-121.07</v>
      </c>
      <c r="D25" s="9">
        <v>-121.07</v>
      </c>
      <c r="E25"/>
      <c r="F25"/>
      <c r="G25"/>
      <c r="H25"/>
      <c r="I25"/>
      <c r="J25"/>
      <c r="K25"/>
      <c r="L25"/>
      <c r="M25"/>
      <c r="N25"/>
    </row>
    <row r="26" spans="1:14" ht="12.75" x14ac:dyDescent="0.2">
      <c r="B26" s="3" t="s">
        <v>49</v>
      </c>
      <c r="C26" s="9">
        <v>-50</v>
      </c>
      <c r="D26" s="9">
        <v>-50</v>
      </c>
      <c r="E26"/>
      <c r="F26"/>
      <c r="G26"/>
      <c r="H26"/>
      <c r="I26"/>
      <c r="J26"/>
      <c r="K26"/>
      <c r="L26"/>
      <c r="M26"/>
      <c r="N26"/>
    </row>
    <row r="27" spans="1:14" ht="12.75" x14ac:dyDescent="0.2">
      <c r="A27" s="3" t="s">
        <v>88</v>
      </c>
      <c r="C27" s="9">
        <v>-232.32</v>
      </c>
      <c r="D27" s="9">
        <v>-232.32</v>
      </c>
      <c r="E27"/>
      <c r="F27"/>
      <c r="G27"/>
      <c r="H27"/>
      <c r="I27"/>
      <c r="J27"/>
      <c r="K27"/>
      <c r="L27"/>
      <c r="M27"/>
      <c r="N27"/>
    </row>
    <row r="28" spans="1:14" ht="12.75" x14ac:dyDescent="0.2">
      <c r="A28" s="3" t="s">
        <v>68</v>
      </c>
      <c r="C28" s="9">
        <v>-687.6400000000001</v>
      </c>
      <c r="D28" s="9">
        <v>-687.6400000000001</v>
      </c>
      <c r="E28"/>
      <c r="F28"/>
      <c r="G28"/>
      <c r="H28"/>
      <c r="I28"/>
      <c r="J28"/>
      <c r="K28"/>
      <c r="L28"/>
      <c r="M28"/>
      <c r="N28"/>
    </row>
    <row r="29" spans="1:14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4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4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4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 x14ac:dyDescent="0.2">
      <c r="C53" s="3"/>
    </row>
    <row r="54" spans="1:14" x14ac:dyDescent="0.2">
      <c r="C54" s="3"/>
    </row>
    <row r="55" spans="1:14" x14ac:dyDescent="0.2">
      <c r="C55" s="3"/>
    </row>
    <row r="56" spans="1:14" x14ac:dyDescent="0.2">
      <c r="C56" s="3"/>
    </row>
    <row r="57" spans="1:14" x14ac:dyDescent="0.2">
      <c r="C57" s="3"/>
    </row>
    <row r="58" spans="1:14" x14ac:dyDescent="0.2">
      <c r="C58" s="3"/>
    </row>
    <row r="59" spans="1:14" x14ac:dyDescent="0.2">
      <c r="C59" s="3"/>
    </row>
    <row r="60" spans="1:14" x14ac:dyDescent="0.2">
      <c r="C60" s="3"/>
    </row>
    <row r="61" spans="1:14" x14ac:dyDescent="0.2">
      <c r="C61" s="3"/>
    </row>
    <row r="62" spans="1:14" x14ac:dyDescent="0.2">
      <c r="C62" s="3"/>
    </row>
    <row r="63" spans="1:14" x14ac:dyDescent="0.2">
      <c r="C63" s="3"/>
    </row>
    <row r="64" spans="1:14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  <row r="76" spans="3:3" x14ac:dyDescent="0.2">
      <c r="C76" s="3"/>
    </row>
    <row r="77" spans="3:3" x14ac:dyDescent="0.2">
      <c r="C77" s="3"/>
    </row>
    <row r="78" spans="3:3" x14ac:dyDescent="0.2">
      <c r="C78" s="3"/>
    </row>
    <row r="79" spans="3:3" x14ac:dyDescent="0.2">
      <c r="C79" s="3"/>
    </row>
    <row r="80" spans="3:3" x14ac:dyDescent="0.2">
      <c r="C80" s="3"/>
    </row>
    <row r="81" spans="3:3" x14ac:dyDescent="0.2">
      <c r="C81" s="3"/>
    </row>
    <row r="82" spans="3:3" x14ac:dyDescent="0.2">
      <c r="C82" s="3"/>
    </row>
    <row r="83" spans="3:3" x14ac:dyDescent="0.2">
      <c r="C83" s="3"/>
    </row>
    <row r="84" spans="3:3" x14ac:dyDescent="0.2">
      <c r="C84" s="3"/>
    </row>
    <row r="85" spans="3:3" x14ac:dyDescent="0.2">
      <c r="C85" s="3"/>
    </row>
    <row r="86" spans="3:3" x14ac:dyDescent="0.2">
      <c r="C86" s="3"/>
    </row>
    <row r="87" spans="3:3" x14ac:dyDescent="0.2">
      <c r="C87" s="3"/>
    </row>
    <row r="88" spans="3:3" x14ac:dyDescent="0.2">
      <c r="C88" s="3"/>
    </row>
    <row r="89" spans="3:3" x14ac:dyDescent="0.2">
      <c r="C89" s="3"/>
    </row>
    <row r="90" spans="3:3" x14ac:dyDescent="0.2">
      <c r="C90" s="3"/>
    </row>
    <row r="91" spans="3:3" x14ac:dyDescent="0.2">
      <c r="C91" s="3"/>
    </row>
    <row r="92" spans="3:3" x14ac:dyDescent="0.2">
      <c r="C92" s="3"/>
    </row>
    <row r="93" spans="3:3" x14ac:dyDescent="0.2">
      <c r="C93" s="3"/>
    </row>
    <row r="94" spans="3:3" x14ac:dyDescent="0.2">
      <c r="C94" s="3"/>
    </row>
    <row r="95" spans="3:3" x14ac:dyDescent="0.2">
      <c r="C95" s="3"/>
    </row>
    <row r="96" spans="3:3" x14ac:dyDescent="0.2">
      <c r="C96" s="3"/>
    </row>
    <row r="97" spans="3:3" x14ac:dyDescent="0.2">
      <c r="C97" s="3"/>
    </row>
    <row r="98" spans="3:3" x14ac:dyDescent="0.2">
      <c r="C98" s="3"/>
    </row>
    <row r="99" spans="3:3" x14ac:dyDescent="0.2">
      <c r="C99" s="3"/>
    </row>
    <row r="100" spans="3:3" x14ac:dyDescent="0.2">
      <c r="C100" s="3"/>
    </row>
    <row r="101" spans="3:3" x14ac:dyDescent="0.2">
      <c r="C101" s="3"/>
    </row>
    <row r="102" spans="3:3" x14ac:dyDescent="0.2">
      <c r="C102" s="3"/>
    </row>
    <row r="103" spans="3:3" x14ac:dyDescent="0.2">
      <c r="C103" s="3"/>
    </row>
    <row r="104" spans="3:3" x14ac:dyDescent="0.2">
      <c r="C104" s="3"/>
    </row>
    <row r="105" spans="3:3" x14ac:dyDescent="0.2">
      <c r="C105" s="3"/>
    </row>
    <row r="106" spans="3:3" x14ac:dyDescent="0.2">
      <c r="C106" s="3"/>
    </row>
    <row r="107" spans="3:3" x14ac:dyDescent="0.2">
      <c r="C107" s="3"/>
    </row>
    <row r="108" spans="3:3" x14ac:dyDescent="0.2">
      <c r="C108" s="3"/>
    </row>
    <row r="109" spans="3:3" x14ac:dyDescent="0.2">
      <c r="C109" s="3"/>
    </row>
    <row r="110" spans="3:3" x14ac:dyDescent="0.2">
      <c r="C110" s="3"/>
    </row>
    <row r="111" spans="3:3" x14ac:dyDescent="0.2">
      <c r="C111" s="3"/>
    </row>
    <row r="112" spans="3:3" x14ac:dyDescent="0.2">
      <c r="C112" s="3"/>
    </row>
    <row r="113" spans="3:3" x14ac:dyDescent="0.2">
      <c r="C113" s="3"/>
    </row>
    <row r="114" spans="3:3" x14ac:dyDescent="0.2">
      <c r="C114" s="3"/>
    </row>
    <row r="115" spans="3:3" x14ac:dyDescent="0.2">
      <c r="C115" s="3"/>
    </row>
    <row r="116" spans="3:3" x14ac:dyDescent="0.2">
      <c r="C116" s="3"/>
    </row>
    <row r="117" spans="3:3" x14ac:dyDescent="0.2">
      <c r="C117" s="3"/>
    </row>
    <row r="118" spans="3:3" x14ac:dyDescent="0.2">
      <c r="C118" s="3"/>
    </row>
    <row r="119" spans="3:3" x14ac:dyDescent="0.2">
      <c r="C119" s="3"/>
    </row>
    <row r="120" spans="3:3" x14ac:dyDescent="0.2">
      <c r="C120" s="3"/>
    </row>
    <row r="121" spans="3:3" x14ac:dyDescent="0.2">
      <c r="C121" s="3"/>
    </row>
    <row r="122" spans="3:3" x14ac:dyDescent="0.2">
      <c r="C122" s="3"/>
    </row>
    <row r="123" spans="3:3" x14ac:dyDescent="0.2">
      <c r="C123" s="3"/>
    </row>
    <row r="124" spans="3:3" x14ac:dyDescent="0.2">
      <c r="C124" s="3"/>
    </row>
    <row r="125" spans="3:3" x14ac:dyDescent="0.2">
      <c r="C125" s="3"/>
    </row>
    <row r="126" spans="3:3" x14ac:dyDescent="0.2">
      <c r="C126" s="3"/>
    </row>
    <row r="127" spans="3:3" x14ac:dyDescent="0.2">
      <c r="C127" s="3"/>
    </row>
    <row r="128" spans="3:3" x14ac:dyDescent="0.2">
      <c r="C128" s="3"/>
    </row>
    <row r="129" spans="3:3" x14ac:dyDescent="0.2">
      <c r="C129" s="3"/>
    </row>
    <row r="130" spans="3:3" x14ac:dyDescent="0.2">
      <c r="C130" s="3"/>
    </row>
    <row r="131" spans="3:3" x14ac:dyDescent="0.2">
      <c r="C131" s="3"/>
    </row>
    <row r="132" spans="3:3" x14ac:dyDescent="0.2">
      <c r="C132" s="3"/>
    </row>
    <row r="133" spans="3:3" x14ac:dyDescent="0.2">
      <c r="C133" s="3"/>
    </row>
    <row r="134" spans="3:3" x14ac:dyDescent="0.2">
      <c r="C134" s="3"/>
    </row>
    <row r="135" spans="3:3" x14ac:dyDescent="0.2">
      <c r="C135" s="3"/>
    </row>
    <row r="136" spans="3:3" x14ac:dyDescent="0.2">
      <c r="C136" s="3"/>
    </row>
    <row r="137" spans="3:3" x14ac:dyDescent="0.2">
      <c r="C137" s="3"/>
    </row>
    <row r="138" spans="3:3" x14ac:dyDescent="0.2">
      <c r="C138" s="3"/>
    </row>
    <row r="139" spans="3:3" x14ac:dyDescent="0.2">
      <c r="C139" s="3"/>
    </row>
    <row r="140" spans="3:3" x14ac:dyDescent="0.2">
      <c r="C140" s="3"/>
    </row>
    <row r="141" spans="3:3" x14ac:dyDescent="0.2">
      <c r="C141" s="3"/>
    </row>
    <row r="142" spans="3:3" x14ac:dyDescent="0.2">
      <c r="C142" s="3"/>
    </row>
    <row r="143" spans="3:3" x14ac:dyDescent="0.2">
      <c r="C143" s="3"/>
    </row>
    <row r="144" spans="3:3" x14ac:dyDescent="0.2">
      <c r="C144" s="3"/>
    </row>
    <row r="145" spans="3:3" x14ac:dyDescent="0.2">
      <c r="C145" s="3"/>
    </row>
    <row r="146" spans="3:3" x14ac:dyDescent="0.2">
      <c r="C146" s="3"/>
    </row>
    <row r="147" spans="3:3" x14ac:dyDescent="0.2">
      <c r="C147" s="3"/>
    </row>
    <row r="148" spans="3:3" x14ac:dyDescent="0.2">
      <c r="C148" s="3"/>
    </row>
    <row r="149" spans="3:3" x14ac:dyDescent="0.2">
      <c r="C149" s="3"/>
    </row>
    <row r="150" spans="3:3" x14ac:dyDescent="0.2">
      <c r="C150" s="3"/>
    </row>
    <row r="151" spans="3:3" x14ac:dyDescent="0.2">
      <c r="C151" s="3"/>
    </row>
    <row r="152" spans="3:3" x14ac:dyDescent="0.2">
      <c r="C152" s="3"/>
    </row>
    <row r="153" spans="3:3" x14ac:dyDescent="0.2">
      <c r="C153" s="3"/>
    </row>
    <row r="154" spans="3:3" x14ac:dyDescent="0.2">
      <c r="C154" s="3"/>
    </row>
    <row r="155" spans="3:3" x14ac:dyDescent="0.2">
      <c r="C155" s="3"/>
    </row>
    <row r="156" spans="3:3" x14ac:dyDescent="0.2">
      <c r="C156" s="3"/>
    </row>
    <row r="157" spans="3:3" x14ac:dyDescent="0.2">
      <c r="C157" s="3"/>
    </row>
    <row r="158" spans="3:3" x14ac:dyDescent="0.2">
      <c r="C158" s="3"/>
    </row>
    <row r="159" spans="3:3" x14ac:dyDescent="0.2">
      <c r="C159" s="3"/>
    </row>
    <row r="160" spans="3:3" x14ac:dyDescent="0.2">
      <c r="C160" s="3"/>
    </row>
    <row r="161" spans="3:3" x14ac:dyDescent="0.2">
      <c r="C161" s="3"/>
    </row>
    <row r="162" spans="3:3" x14ac:dyDescent="0.2">
      <c r="C162" s="3"/>
    </row>
    <row r="163" spans="3:3" x14ac:dyDescent="0.2">
      <c r="C163" s="3"/>
    </row>
    <row r="164" spans="3:3" x14ac:dyDescent="0.2">
      <c r="C164" s="3"/>
    </row>
    <row r="165" spans="3:3" x14ac:dyDescent="0.2">
      <c r="C165" s="3"/>
    </row>
    <row r="166" spans="3:3" x14ac:dyDescent="0.2">
      <c r="C166" s="3"/>
    </row>
    <row r="167" spans="3:3" x14ac:dyDescent="0.2">
      <c r="C167" s="3"/>
    </row>
    <row r="168" spans="3:3" x14ac:dyDescent="0.2">
      <c r="C168" s="3"/>
    </row>
    <row r="169" spans="3:3" x14ac:dyDescent="0.2">
      <c r="C169" s="3"/>
    </row>
    <row r="170" spans="3:3" x14ac:dyDescent="0.2">
      <c r="C170" s="3"/>
    </row>
    <row r="171" spans="3:3" x14ac:dyDescent="0.2">
      <c r="C171" s="3"/>
    </row>
    <row r="172" spans="3:3" x14ac:dyDescent="0.2">
      <c r="C172" s="3"/>
    </row>
    <row r="173" spans="3:3" x14ac:dyDescent="0.2">
      <c r="C173" s="3"/>
    </row>
    <row r="174" spans="3:3" x14ac:dyDescent="0.2">
      <c r="C174" s="3"/>
    </row>
    <row r="175" spans="3:3" x14ac:dyDescent="0.2">
      <c r="C175" s="3"/>
    </row>
    <row r="176" spans="3:3" x14ac:dyDescent="0.2">
      <c r="C176" s="3"/>
    </row>
    <row r="177" spans="3:3" x14ac:dyDescent="0.2">
      <c r="C177" s="3"/>
    </row>
    <row r="178" spans="3:3" x14ac:dyDescent="0.2">
      <c r="C178" s="3"/>
    </row>
    <row r="179" spans="3:3" x14ac:dyDescent="0.2">
      <c r="C179" s="3"/>
    </row>
    <row r="180" spans="3:3" x14ac:dyDescent="0.2">
      <c r="C180" s="3"/>
    </row>
    <row r="181" spans="3:3" x14ac:dyDescent="0.2">
      <c r="C181" s="3"/>
    </row>
    <row r="182" spans="3:3" x14ac:dyDescent="0.2">
      <c r="C182" s="3"/>
    </row>
    <row r="183" spans="3:3" x14ac:dyDescent="0.2">
      <c r="C183" s="3"/>
    </row>
    <row r="184" spans="3:3" x14ac:dyDescent="0.2">
      <c r="C184" s="3"/>
    </row>
    <row r="185" spans="3:3" x14ac:dyDescent="0.2">
      <c r="C185" s="3"/>
    </row>
    <row r="186" spans="3:3" x14ac:dyDescent="0.2">
      <c r="C186" s="3"/>
    </row>
    <row r="187" spans="3:3" x14ac:dyDescent="0.2">
      <c r="C187" s="3"/>
    </row>
    <row r="188" spans="3:3" x14ac:dyDescent="0.2">
      <c r="C188" s="3"/>
    </row>
    <row r="189" spans="3:3" x14ac:dyDescent="0.2">
      <c r="C189" s="3"/>
    </row>
    <row r="190" spans="3:3" x14ac:dyDescent="0.2">
      <c r="C190" s="3"/>
    </row>
    <row r="191" spans="3:3" x14ac:dyDescent="0.2">
      <c r="C191" s="3"/>
    </row>
    <row r="192" spans="3:3" x14ac:dyDescent="0.2">
      <c r="C192" s="3"/>
    </row>
    <row r="193" spans="3:3" x14ac:dyDescent="0.2">
      <c r="C193" s="3"/>
    </row>
    <row r="194" spans="3:3" x14ac:dyDescent="0.2">
      <c r="C194" s="3"/>
    </row>
    <row r="195" spans="3:3" x14ac:dyDescent="0.2">
      <c r="C195" s="3"/>
    </row>
    <row r="196" spans="3:3" x14ac:dyDescent="0.2">
      <c r="C196" s="3"/>
    </row>
    <row r="197" spans="3:3" x14ac:dyDescent="0.2">
      <c r="C197" s="3"/>
    </row>
    <row r="198" spans="3:3" x14ac:dyDescent="0.2">
      <c r="C198" s="3"/>
    </row>
    <row r="199" spans="3:3" x14ac:dyDescent="0.2">
      <c r="C199" s="3"/>
    </row>
    <row r="200" spans="3:3" x14ac:dyDescent="0.2">
      <c r="C200" s="3"/>
    </row>
    <row r="201" spans="3:3" x14ac:dyDescent="0.2">
      <c r="C201" s="3"/>
    </row>
    <row r="202" spans="3:3" x14ac:dyDescent="0.2">
      <c r="C202" s="3"/>
    </row>
    <row r="203" spans="3:3" x14ac:dyDescent="0.2">
      <c r="C203" s="3"/>
    </row>
    <row r="204" spans="3:3" x14ac:dyDescent="0.2">
      <c r="C204" s="3"/>
    </row>
    <row r="205" spans="3:3" x14ac:dyDescent="0.2">
      <c r="C205" s="3"/>
    </row>
    <row r="206" spans="3:3" x14ac:dyDescent="0.2">
      <c r="C206" s="3"/>
    </row>
    <row r="207" spans="3:3" x14ac:dyDescent="0.2">
      <c r="C207" s="3"/>
    </row>
    <row r="208" spans="3:3" x14ac:dyDescent="0.2">
      <c r="C208" s="3"/>
    </row>
    <row r="209" spans="3:3" x14ac:dyDescent="0.2">
      <c r="C209" s="3"/>
    </row>
    <row r="210" spans="3:3" x14ac:dyDescent="0.2">
      <c r="C210" s="3"/>
    </row>
    <row r="211" spans="3:3" x14ac:dyDescent="0.2">
      <c r="C211" s="3"/>
    </row>
    <row r="212" spans="3:3" x14ac:dyDescent="0.2">
      <c r="C212" s="3"/>
    </row>
    <row r="213" spans="3:3" x14ac:dyDescent="0.2">
      <c r="C213" s="3"/>
    </row>
    <row r="214" spans="3:3" x14ac:dyDescent="0.2">
      <c r="C214" s="3"/>
    </row>
    <row r="215" spans="3:3" x14ac:dyDescent="0.2">
      <c r="C215" s="3"/>
    </row>
    <row r="216" spans="3:3" x14ac:dyDescent="0.2">
      <c r="C216" s="3"/>
    </row>
    <row r="217" spans="3:3" x14ac:dyDescent="0.2">
      <c r="C217" s="3"/>
    </row>
    <row r="218" spans="3:3" x14ac:dyDescent="0.2">
      <c r="C218" s="3"/>
    </row>
    <row r="219" spans="3:3" x14ac:dyDescent="0.2">
      <c r="C219" s="3"/>
    </row>
    <row r="220" spans="3:3" x14ac:dyDescent="0.2">
      <c r="C220" s="3"/>
    </row>
    <row r="221" spans="3:3" x14ac:dyDescent="0.2">
      <c r="C221" s="3"/>
    </row>
    <row r="222" spans="3:3" x14ac:dyDescent="0.2">
      <c r="C222" s="3"/>
    </row>
    <row r="223" spans="3:3" x14ac:dyDescent="0.2">
      <c r="C223" s="3"/>
    </row>
    <row r="224" spans="3:3" x14ac:dyDescent="0.2">
      <c r="C224" s="3"/>
    </row>
    <row r="225" spans="3:3" x14ac:dyDescent="0.2">
      <c r="C225" s="3"/>
    </row>
    <row r="226" spans="3:3" x14ac:dyDescent="0.2">
      <c r="C226" s="3"/>
    </row>
    <row r="227" spans="3:3" x14ac:dyDescent="0.2">
      <c r="C227" s="3"/>
    </row>
    <row r="228" spans="3:3" x14ac:dyDescent="0.2">
      <c r="C228" s="3"/>
    </row>
    <row r="229" spans="3:3" x14ac:dyDescent="0.2">
      <c r="C229" s="3"/>
    </row>
    <row r="230" spans="3:3" x14ac:dyDescent="0.2">
      <c r="C230" s="3"/>
    </row>
    <row r="231" spans="3:3" x14ac:dyDescent="0.2">
      <c r="C231" s="3"/>
    </row>
    <row r="232" spans="3:3" x14ac:dyDescent="0.2">
      <c r="C232" s="3"/>
    </row>
    <row r="233" spans="3:3" x14ac:dyDescent="0.2">
      <c r="C233" s="3"/>
    </row>
    <row r="234" spans="3:3" x14ac:dyDescent="0.2">
      <c r="C234" s="3"/>
    </row>
    <row r="235" spans="3:3" x14ac:dyDescent="0.2">
      <c r="C235" s="3"/>
    </row>
    <row r="236" spans="3:3" x14ac:dyDescent="0.2">
      <c r="C236" s="3"/>
    </row>
    <row r="237" spans="3:3" x14ac:dyDescent="0.2">
      <c r="C237" s="3"/>
    </row>
    <row r="238" spans="3:3" x14ac:dyDescent="0.2">
      <c r="C238" s="3"/>
    </row>
    <row r="239" spans="3:3" x14ac:dyDescent="0.2">
      <c r="C239" s="3"/>
    </row>
    <row r="240" spans="3:3" x14ac:dyDescent="0.2">
      <c r="C240" s="3"/>
    </row>
    <row r="241" spans="3:3" x14ac:dyDescent="0.2">
      <c r="C241" s="3"/>
    </row>
    <row r="242" spans="3:3" x14ac:dyDescent="0.2">
      <c r="C242" s="3"/>
    </row>
    <row r="243" spans="3:3" x14ac:dyDescent="0.2">
      <c r="C243" s="3"/>
    </row>
    <row r="244" spans="3:3" x14ac:dyDescent="0.2">
      <c r="C244" s="3"/>
    </row>
    <row r="245" spans="3:3" x14ac:dyDescent="0.2">
      <c r="C245" s="3"/>
    </row>
    <row r="246" spans="3:3" x14ac:dyDescent="0.2">
      <c r="C246" s="3"/>
    </row>
    <row r="247" spans="3:3" x14ac:dyDescent="0.2">
      <c r="C247" s="3"/>
    </row>
    <row r="248" spans="3:3" x14ac:dyDescent="0.2">
      <c r="C248" s="3"/>
    </row>
    <row r="249" spans="3:3" x14ac:dyDescent="0.2">
      <c r="C249" s="3"/>
    </row>
    <row r="250" spans="3:3" x14ac:dyDescent="0.2">
      <c r="C250" s="3"/>
    </row>
    <row r="251" spans="3:3" x14ac:dyDescent="0.2">
      <c r="C251" s="3"/>
    </row>
    <row r="252" spans="3:3" x14ac:dyDescent="0.2">
      <c r="C252" s="3"/>
    </row>
    <row r="253" spans="3:3" x14ac:dyDescent="0.2">
      <c r="C253" s="3"/>
    </row>
    <row r="254" spans="3:3" x14ac:dyDescent="0.2">
      <c r="C254" s="3"/>
    </row>
    <row r="255" spans="3:3" x14ac:dyDescent="0.2">
      <c r="C255" s="3"/>
    </row>
    <row r="256" spans="3:3" x14ac:dyDescent="0.2">
      <c r="C256" s="3"/>
    </row>
    <row r="257" spans="3:3" x14ac:dyDescent="0.2">
      <c r="C257" s="3"/>
    </row>
    <row r="258" spans="3:3" x14ac:dyDescent="0.2">
      <c r="C258" s="3"/>
    </row>
    <row r="259" spans="3:3" x14ac:dyDescent="0.2">
      <c r="C259" s="3"/>
    </row>
    <row r="260" spans="3:3" x14ac:dyDescent="0.2">
      <c r="C260" s="3"/>
    </row>
    <row r="261" spans="3:3" x14ac:dyDescent="0.2">
      <c r="C261" s="3"/>
    </row>
    <row r="262" spans="3:3" x14ac:dyDescent="0.2">
      <c r="C262" s="3"/>
    </row>
    <row r="263" spans="3:3" x14ac:dyDescent="0.2">
      <c r="C263" s="3"/>
    </row>
    <row r="264" spans="3:3" x14ac:dyDescent="0.2">
      <c r="C264" s="3"/>
    </row>
    <row r="265" spans="3:3" x14ac:dyDescent="0.2">
      <c r="C265" s="3"/>
    </row>
    <row r="266" spans="3:3" x14ac:dyDescent="0.2">
      <c r="C266" s="3"/>
    </row>
    <row r="267" spans="3:3" x14ac:dyDescent="0.2">
      <c r="C267" s="3"/>
    </row>
    <row r="268" spans="3:3" x14ac:dyDescent="0.2">
      <c r="C268" s="3"/>
    </row>
    <row r="269" spans="3:3" x14ac:dyDescent="0.2">
      <c r="C269" s="3"/>
    </row>
    <row r="270" spans="3:3" x14ac:dyDescent="0.2">
      <c r="C270" s="3"/>
    </row>
    <row r="271" spans="3:3" x14ac:dyDescent="0.2">
      <c r="C271" s="3"/>
    </row>
    <row r="272" spans="3:3" x14ac:dyDescent="0.2">
      <c r="C272" s="3"/>
    </row>
    <row r="273" spans="3:3" x14ac:dyDescent="0.2">
      <c r="C273" s="3"/>
    </row>
    <row r="274" spans="3:3" x14ac:dyDescent="0.2">
      <c r="C274" s="3"/>
    </row>
    <row r="275" spans="3:3" x14ac:dyDescent="0.2">
      <c r="C275" s="3"/>
    </row>
    <row r="276" spans="3:3" x14ac:dyDescent="0.2">
      <c r="C276" s="3"/>
    </row>
    <row r="277" spans="3:3" x14ac:dyDescent="0.2">
      <c r="C277" s="3"/>
    </row>
    <row r="278" spans="3:3" x14ac:dyDescent="0.2">
      <c r="C278" s="3"/>
    </row>
    <row r="279" spans="3:3" x14ac:dyDescent="0.2">
      <c r="C279" s="3"/>
    </row>
    <row r="280" spans="3:3" x14ac:dyDescent="0.2">
      <c r="C280" s="3"/>
    </row>
    <row r="281" spans="3:3" x14ac:dyDescent="0.2">
      <c r="C281" s="3"/>
    </row>
    <row r="282" spans="3:3" x14ac:dyDescent="0.2">
      <c r="C282" s="3"/>
    </row>
    <row r="283" spans="3:3" x14ac:dyDescent="0.2">
      <c r="C283" s="3"/>
    </row>
    <row r="284" spans="3:3" x14ac:dyDescent="0.2">
      <c r="C284" s="3"/>
    </row>
    <row r="285" spans="3:3" x14ac:dyDescent="0.2">
      <c r="C285" s="3"/>
    </row>
    <row r="286" spans="3:3" x14ac:dyDescent="0.2">
      <c r="C286" s="3"/>
    </row>
    <row r="287" spans="3:3" x14ac:dyDescent="0.2">
      <c r="C287" s="3"/>
    </row>
    <row r="288" spans="3:3" x14ac:dyDescent="0.2">
      <c r="C288" s="3"/>
    </row>
    <row r="289" spans="3:3" x14ac:dyDescent="0.2">
      <c r="C289" s="3"/>
    </row>
    <row r="290" spans="3:3" x14ac:dyDescent="0.2">
      <c r="C290" s="3"/>
    </row>
    <row r="291" spans="3:3" x14ac:dyDescent="0.2">
      <c r="C291" s="3"/>
    </row>
    <row r="292" spans="3:3" x14ac:dyDescent="0.2">
      <c r="C292" s="3"/>
    </row>
    <row r="293" spans="3:3" x14ac:dyDescent="0.2">
      <c r="C293" s="3"/>
    </row>
    <row r="294" spans="3:3" x14ac:dyDescent="0.2">
      <c r="C294" s="3"/>
    </row>
    <row r="295" spans="3:3" x14ac:dyDescent="0.2">
      <c r="C295" s="3"/>
    </row>
    <row r="296" spans="3:3" x14ac:dyDescent="0.2">
      <c r="C296" s="3"/>
    </row>
    <row r="297" spans="3:3" x14ac:dyDescent="0.2">
      <c r="C297" s="3"/>
    </row>
    <row r="298" spans="3:3" x14ac:dyDescent="0.2">
      <c r="C298" s="3"/>
    </row>
    <row r="299" spans="3:3" x14ac:dyDescent="0.2">
      <c r="C299" s="3"/>
    </row>
    <row r="300" spans="3:3" x14ac:dyDescent="0.2">
      <c r="C300" s="3"/>
    </row>
    <row r="301" spans="3:3" x14ac:dyDescent="0.2">
      <c r="C301" s="3"/>
    </row>
    <row r="302" spans="3:3" x14ac:dyDescent="0.2">
      <c r="C302" s="3"/>
    </row>
    <row r="303" spans="3:3" x14ac:dyDescent="0.2">
      <c r="C303" s="3"/>
    </row>
    <row r="304" spans="3:3" x14ac:dyDescent="0.2">
      <c r="C304" s="3"/>
    </row>
    <row r="305" spans="3:3" x14ac:dyDescent="0.2">
      <c r="C305" s="3"/>
    </row>
    <row r="306" spans="3:3" x14ac:dyDescent="0.2">
      <c r="C306" s="3"/>
    </row>
    <row r="307" spans="3:3" x14ac:dyDescent="0.2">
      <c r="C307" s="3"/>
    </row>
    <row r="308" spans="3:3" x14ac:dyDescent="0.2">
      <c r="C308" s="3"/>
    </row>
    <row r="309" spans="3:3" x14ac:dyDescent="0.2">
      <c r="C309" s="3"/>
    </row>
    <row r="310" spans="3:3" x14ac:dyDescent="0.2">
      <c r="C310" s="3"/>
    </row>
    <row r="311" spans="3:3" x14ac:dyDescent="0.2">
      <c r="C311" s="3"/>
    </row>
    <row r="312" spans="3:3" x14ac:dyDescent="0.2">
      <c r="C312" s="3"/>
    </row>
    <row r="313" spans="3:3" x14ac:dyDescent="0.2">
      <c r="C313" s="3"/>
    </row>
    <row r="314" spans="3:3" x14ac:dyDescent="0.2">
      <c r="C314" s="3"/>
    </row>
    <row r="315" spans="3:3" x14ac:dyDescent="0.2">
      <c r="C315" s="3"/>
    </row>
    <row r="316" spans="3:3" x14ac:dyDescent="0.2">
      <c r="C316" s="3"/>
    </row>
    <row r="317" spans="3:3" x14ac:dyDescent="0.2">
      <c r="C317" s="3"/>
    </row>
    <row r="318" spans="3:3" x14ac:dyDescent="0.2">
      <c r="C318" s="3"/>
    </row>
    <row r="319" spans="3:3" x14ac:dyDescent="0.2">
      <c r="C319" s="3"/>
    </row>
    <row r="320" spans="3:3" x14ac:dyDescent="0.2">
      <c r="C320" s="3"/>
    </row>
    <row r="321" spans="3:3" x14ac:dyDescent="0.2">
      <c r="C321" s="3"/>
    </row>
    <row r="322" spans="3:3" x14ac:dyDescent="0.2">
      <c r="C322" s="3"/>
    </row>
    <row r="323" spans="3:3" x14ac:dyDescent="0.2">
      <c r="C323" s="3"/>
    </row>
    <row r="324" spans="3:3" x14ac:dyDescent="0.2">
      <c r="C324" s="3"/>
    </row>
    <row r="325" spans="3:3" x14ac:dyDescent="0.2">
      <c r="C325" s="3"/>
    </row>
    <row r="326" spans="3:3" x14ac:dyDescent="0.2">
      <c r="C326" s="3"/>
    </row>
    <row r="327" spans="3:3" x14ac:dyDescent="0.2">
      <c r="C327" s="3"/>
    </row>
    <row r="328" spans="3:3" x14ac:dyDescent="0.2">
      <c r="C328" s="3"/>
    </row>
    <row r="329" spans="3:3" x14ac:dyDescent="0.2">
      <c r="C329" s="3"/>
    </row>
    <row r="330" spans="3:3" x14ac:dyDescent="0.2">
      <c r="C330" s="3"/>
    </row>
    <row r="331" spans="3:3" x14ac:dyDescent="0.2">
      <c r="C331" s="3"/>
    </row>
    <row r="332" spans="3:3" x14ac:dyDescent="0.2">
      <c r="C332" s="3"/>
    </row>
    <row r="333" spans="3:3" x14ac:dyDescent="0.2">
      <c r="C333" s="3"/>
    </row>
    <row r="334" spans="3:3" x14ac:dyDescent="0.2">
      <c r="C334" s="3"/>
    </row>
    <row r="335" spans="3:3" x14ac:dyDescent="0.2">
      <c r="C335" s="3"/>
    </row>
    <row r="336" spans="3:3" x14ac:dyDescent="0.2">
      <c r="C336" s="3"/>
    </row>
    <row r="337" spans="3:3" x14ac:dyDescent="0.2">
      <c r="C337" s="3"/>
    </row>
    <row r="338" spans="3:3" x14ac:dyDescent="0.2">
      <c r="C338" s="3"/>
    </row>
    <row r="339" spans="3:3" x14ac:dyDescent="0.2">
      <c r="C339" s="3"/>
    </row>
    <row r="340" spans="3:3" x14ac:dyDescent="0.2">
      <c r="C340" s="3"/>
    </row>
    <row r="341" spans="3:3" x14ac:dyDescent="0.2">
      <c r="C341" s="3"/>
    </row>
    <row r="342" spans="3:3" x14ac:dyDescent="0.2">
      <c r="C342" s="3"/>
    </row>
    <row r="343" spans="3:3" x14ac:dyDescent="0.2">
      <c r="C343" s="3"/>
    </row>
    <row r="344" spans="3:3" x14ac:dyDescent="0.2">
      <c r="C344" s="3"/>
    </row>
    <row r="345" spans="3:3" x14ac:dyDescent="0.2">
      <c r="C345" s="3"/>
    </row>
    <row r="346" spans="3:3" x14ac:dyDescent="0.2">
      <c r="C346" s="3"/>
    </row>
    <row r="347" spans="3:3" x14ac:dyDescent="0.2">
      <c r="C347" s="3"/>
    </row>
    <row r="348" spans="3:3" x14ac:dyDescent="0.2">
      <c r="C348" s="3"/>
    </row>
    <row r="349" spans="3:3" x14ac:dyDescent="0.2">
      <c r="C349" s="3"/>
    </row>
    <row r="350" spans="3:3" x14ac:dyDescent="0.2">
      <c r="C350" s="3"/>
    </row>
    <row r="351" spans="3:3" x14ac:dyDescent="0.2">
      <c r="C351" s="3"/>
    </row>
    <row r="352" spans="3:3" x14ac:dyDescent="0.2">
      <c r="C352" s="3"/>
    </row>
    <row r="353" spans="3:3" x14ac:dyDescent="0.2">
      <c r="C353" s="3"/>
    </row>
    <row r="354" spans="3:3" x14ac:dyDescent="0.2">
      <c r="C354" s="3"/>
    </row>
    <row r="355" spans="3:3" x14ac:dyDescent="0.2">
      <c r="C355" s="3"/>
    </row>
    <row r="356" spans="3:3" x14ac:dyDescent="0.2">
      <c r="C356" s="3"/>
    </row>
    <row r="357" spans="3:3" x14ac:dyDescent="0.2">
      <c r="C357" s="3"/>
    </row>
    <row r="358" spans="3:3" x14ac:dyDescent="0.2">
      <c r="C358" s="3"/>
    </row>
    <row r="359" spans="3:3" x14ac:dyDescent="0.2">
      <c r="C359" s="3"/>
    </row>
    <row r="360" spans="3:3" x14ac:dyDescent="0.2">
      <c r="C360" s="3"/>
    </row>
    <row r="361" spans="3:3" x14ac:dyDescent="0.2">
      <c r="C361" s="3"/>
    </row>
    <row r="362" spans="3:3" x14ac:dyDescent="0.2">
      <c r="C362" s="3"/>
    </row>
    <row r="363" spans="3:3" x14ac:dyDescent="0.2">
      <c r="C363" s="3"/>
    </row>
    <row r="364" spans="3:3" x14ac:dyDescent="0.2">
      <c r="C364" s="3"/>
    </row>
    <row r="365" spans="3:3" x14ac:dyDescent="0.2">
      <c r="C365" s="3"/>
    </row>
    <row r="366" spans="3:3" x14ac:dyDescent="0.2">
      <c r="C366" s="3"/>
    </row>
    <row r="367" spans="3:3" x14ac:dyDescent="0.2">
      <c r="C367" s="3"/>
    </row>
    <row r="368" spans="3:3" x14ac:dyDescent="0.2">
      <c r="C368" s="3"/>
    </row>
    <row r="369" spans="3:3" x14ac:dyDescent="0.2">
      <c r="C369" s="3"/>
    </row>
    <row r="370" spans="3:3" x14ac:dyDescent="0.2">
      <c r="C370" s="3"/>
    </row>
    <row r="371" spans="3:3" x14ac:dyDescent="0.2">
      <c r="C371" s="3"/>
    </row>
    <row r="372" spans="3:3" x14ac:dyDescent="0.2">
      <c r="C372" s="3"/>
    </row>
    <row r="373" spans="3:3" x14ac:dyDescent="0.2">
      <c r="C373" s="3"/>
    </row>
    <row r="374" spans="3:3" x14ac:dyDescent="0.2">
      <c r="C374" s="3"/>
    </row>
    <row r="375" spans="3:3" x14ac:dyDescent="0.2">
      <c r="C375" s="3"/>
    </row>
    <row r="376" spans="3:3" x14ac:dyDescent="0.2">
      <c r="C376" s="3"/>
    </row>
    <row r="377" spans="3:3" x14ac:dyDescent="0.2">
      <c r="C377" s="3"/>
    </row>
    <row r="378" spans="3:3" x14ac:dyDescent="0.2">
      <c r="C378" s="3"/>
    </row>
    <row r="379" spans="3:3" x14ac:dyDescent="0.2">
      <c r="C379" s="3"/>
    </row>
    <row r="380" spans="3:3" x14ac:dyDescent="0.2">
      <c r="C380" s="3"/>
    </row>
    <row r="381" spans="3:3" x14ac:dyDescent="0.2">
      <c r="C381" s="3"/>
    </row>
    <row r="382" spans="3:3" x14ac:dyDescent="0.2">
      <c r="C382" s="3"/>
    </row>
    <row r="383" spans="3:3" x14ac:dyDescent="0.2">
      <c r="C383" s="3"/>
    </row>
    <row r="384" spans="3:3" x14ac:dyDescent="0.2">
      <c r="C384" s="3"/>
    </row>
    <row r="385" spans="3:3" x14ac:dyDescent="0.2">
      <c r="C385" s="3"/>
    </row>
    <row r="386" spans="3:3" x14ac:dyDescent="0.2">
      <c r="C386" s="3"/>
    </row>
    <row r="387" spans="3:3" x14ac:dyDescent="0.2">
      <c r="C387" s="3"/>
    </row>
    <row r="388" spans="3:3" x14ac:dyDescent="0.2">
      <c r="C388" s="3"/>
    </row>
    <row r="389" spans="3:3" x14ac:dyDescent="0.2">
      <c r="C389" s="3"/>
    </row>
    <row r="390" spans="3:3" x14ac:dyDescent="0.2">
      <c r="C390" s="3"/>
    </row>
    <row r="391" spans="3:3" x14ac:dyDescent="0.2">
      <c r="C391" s="3"/>
    </row>
    <row r="392" spans="3:3" x14ac:dyDescent="0.2">
      <c r="C392" s="3"/>
    </row>
    <row r="393" spans="3:3" x14ac:dyDescent="0.2">
      <c r="C393" s="3"/>
    </row>
    <row r="394" spans="3:3" x14ac:dyDescent="0.2">
      <c r="C394" s="3"/>
    </row>
    <row r="395" spans="3:3" x14ac:dyDescent="0.2">
      <c r="C395" s="3"/>
    </row>
    <row r="396" spans="3:3" x14ac:dyDescent="0.2">
      <c r="C396" s="3"/>
    </row>
    <row r="397" spans="3:3" x14ac:dyDescent="0.2">
      <c r="C397" s="3"/>
    </row>
    <row r="398" spans="3:3" x14ac:dyDescent="0.2">
      <c r="C398" s="3"/>
    </row>
    <row r="399" spans="3:3" x14ac:dyDescent="0.2">
      <c r="C399" s="3"/>
    </row>
    <row r="400" spans="3:3" x14ac:dyDescent="0.2">
      <c r="C400" s="3"/>
    </row>
    <row r="401" spans="3:3" x14ac:dyDescent="0.2">
      <c r="C401" s="3"/>
    </row>
    <row r="402" spans="3:3" x14ac:dyDescent="0.2">
      <c r="C402" s="3"/>
    </row>
    <row r="403" spans="3:3" x14ac:dyDescent="0.2">
      <c r="C403" s="3"/>
    </row>
    <row r="404" spans="3:3" x14ac:dyDescent="0.2">
      <c r="C404" s="3"/>
    </row>
    <row r="405" spans="3:3" x14ac:dyDescent="0.2">
      <c r="C405" s="3"/>
    </row>
    <row r="406" spans="3:3" x14ac:dyDescent="0.2">
      <c r="C406" s="3"/>
    </row>
    <row r="407" spans="3:3" x14ac:dyDescent="0.2">
      <c r="C407" s="3"/>
    </row>
    <row r="408" spans="3:3" x14ac:dyDescent="0.2">
      <c r="C408" s="3"/>
    </row>
    <row r="409" spans="3:3" x14ac:dyDescent="0.2">
      <c r="C409" s="3"/>
    </row>
    <row r="410" spans="3:3" x14ac:dyDescent="0.2">
      <c r="C410" s="3"/>
    </row>
    <row r="411" spans="3:3" x14ac:dyDescent="0.2">
      <c r="C411" s="3"/>
    </row>
    <row r="412" spans="3:3" x14ac:dyDescent="0.2">
      <c r="C412" s="3"/>
    </row>
    <row r="413" spans="3:3" x14ac:dyDescent="0.2">
      <c r="C413" s="3"/>
    </row>
    <row r="414" spans="3:3" x14ac:dyDescent="0.2">
      <c r="C414" s="3"/>
    </row>
    <row r="415" spans="3:3" x14ac:dyDescent="0.2">
      <c r="C415" s="3"/>
    </row>
    <row r="416" spans="3:3" x14ac:dyDescent="0.2">
      <c r="C416" s="3"/>
    </row>
    <row r="417" spans="3:3" x14ac:dyDescent="0.2">
      <c r="C417" s="3"/>
    </row>
    <row r="418" spans="3:3" x14ac:dyDescent="0.2">
      <c r="C418" s="3"/>
    </row>
    <row r="419" spans="3:3" x14ac:dyDescent="0.2">
      <c r="C419" s="3"/>
    </row>
    <row r="420" spans="3:3" x14ac:dyDescent="0.2">
      <c r="C420" s="3"/>
    </row>
    <row r="421" spans="3:3" x14ac:dyDescent="0.2">
      <c r="C421" s="3"/>
    </row>
    <row r="422" spans="3:3" x14ac:dyDescent="0.2">
      <c r="C422" s="3"/>
    </row>
    <row r="423" spans="3:3" x14ac:dyDescent="0.2">
      <c r="C423" s="3"/>
    </row>
    <row r="424" spans="3:3" x14ac:dyDescent="0.2">
      <c r="C424" s="3"/>
    </row>
    <row r="425" spans="3:3" x14ac:dyDescent="0.2">
      <c r="C425" s="3"/>
    </row>
    <row r="426" spans="3:3" x14ac:dyDescent="0.2">
      <c r="C426" s="3"/>
    </row>
    <row r="427" spans="3:3" x14ac:dyDescent="0.2">
      <c r="C427" s="3"/>
    </row>
    <row r="428" spans="3:3" x14ac:dyDescent="0.2">
      <c r="C428" s="3"/>
    </row>
    <row r="429" spans="3:3" x14ac:dyDescent="0.2">
      <c r="C429" s="3"/>
    </row>
    <row r="430" spans="3:3" x14ac:dyDescent="0.2">
      <c r="C430" s="3"/>
    </row>
    <row r="431" spans="3:3" x14ac:dyDescent="0.2">
      <c r="C431" s="3"/>
    </row>
    <row r="432" spans="3:3" x14ac:dyDescent="0.2">
      <c r="C432" s="3"/>
    </row>
    <row r="433" spans="3:3" x14ac:dyDescent="0.2">
      <c r="C433" s="3"/>
    </row>
    <row r="434" spans="3:3" x14ac:dyDescent="0.2">
      <c r="C434" s="3"/>
    </row>
    <row r="435" spans="3:3" x14ac:dyDescent="0.2">
      <c r="C435" s="3"/>
    </row>
    <row r="436" spans="3:3" x14ac:dyDescent="0.2">
      <c r="C436" s="3"/>
    </row>
    <row r="437" spans="3:3" x14ac:dyDescent="0.2">
      <c r="C437" s="3"/>
    </row>
    <row r="438" spans="3:3" x14ac:dyDescent="0.2">
      <c r="C438" s="3"/>
    </row>
    <row r="439" spans="3:3" x14ac:dyDescent="0.2">
      <c r="C439" s="3"/>
    </row>
    <row r="440" spans="3:3" x14ac:dyDescent="0.2">
      <c r="C440" s="3"/>
    </row>
    <row r="441" spans="3:3" x14ac:dyDescent="0.2">
      <c r="C441" s="3"/>
    </row>
    <row r="442" spans="3:3" x14ac:dyDescent="0.2">
      <c r="C442" s="3"/>
    </row>
    <row r="443" spans="3:3" x14ac:dyDescent="0.2">
      <c r="C443" s="3"/>
    </row>
    <row r="444" spans="3:3" x14ac:dyDescent="0.2">
      <c r="C444" s="3"/>
    </row>
    <row r="445" spans="3:3" x14ac:dyDescent="0.2">
      <c r="C445" s="3"/>
    </row>
    <row r="446" spans="3:3" x14ac:dyDescent="0.2">
      <c r="C446" s="3"/>
    </row>
    <row r="447" spans="3:3" x14ac:dyDescent="0.2">
      <c r="C447" s="3"/>
    </row>
    <row r="448" spans="3:3" x14ac:dyDescent="0.2">
      <c r="C448" s="3"/>
    </row>
    <row r="449" spans="3:3" x14ac:dyDescent="0.2">
      <c r="C449" s="3"/>
    </row>
    <row r="450" spans="3:3" x14ac:dyDescent="0.2">
      <c r="C450" s="3"/>
    </row>
    <row r="451" spans="3:3" x14ac:dyDescent="0.2">
      <c r="C451" s="3"/>
    </row>
    <row r="452" spans="3:3" x14ac:dyDescent="0.2">
      <c r="C452" s="3"/>
    </row>
    <row r="453" spans="3:3" x14ac:dyDescent="0.2">
      <c r="C453" s="3"/>
    </row>
    <row r="454" spans="3:3" x14ac:dyDescent="0.2">
      <c r="C454" s="3"/>
    </row>
    <row r="455" spans="3:3" x14ac:dyDescent="0.2">
      <c r="C455" s="3"/>
    </row>
    <row r="456" spans="3:3" x14ac:dyDescent="0.2">
      <c r="C456" s="3"/>
    </row>
    <row r="457" spans="3:3" x14ac:dyDescent="0.2">
      <c r="C457" s="3"/>
    </row>
    <row r="458" spans="3:3" x14ac:dyDescent="0.2">
      <c r="C458" s="3"/>
    </row>
    <row r="459" spans="3:3" x14ac:dyDescent="0.2">
      <c r="C459" s="3"/>
    </row>
    <row r="460" spans="3:3" x14ac:dyDescent="0.2">
      <c r="C460" s="3"/>
    </row>
    <row r="461" spans="3:3" x14ac:dyDescent="0.2">
      <c r="C461" s="3"/>
    </row>
    <row r="462" spans="3:3" x14ac:dyDescent="0.2">
      <c r="C462" s="3"/>
    </row>
    <row r="463" spans="3:3" x14ac:dyDescent="0.2">
      <c r="C463" s="3"/>
    </row>
    <row r="464" spans="3:3" x14ac:dyDescent="0.2">
      <c r="C464" s="3"/>
    </row>
    <row r="465" spans="3:3" x14ac:dyDescent="0.2">
      <c r="C465" s="3"/>
    </row>
    <row r="466" spans="3:3" x14ac:dyDescent="0.2">
      <c r="C46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F106-5387-492A-8D3F-2BF56DED1AE1}">
  <dimension ref="A1:D774"/>
  <sheetViews>
    <sheetView workbookViewId="0">
      <selection activeCell="G20" sqref="G20"/>
    </sheetView>
  </sheetViews>
  <sheetFormatPr baseColWidth="10" defaultRowHeight="11.25" x14ac:dyDescent="0.2"/>
  <cols>
    <col min="1" max="1" width="39" style="3" bestFit="1" customWidth="1"/>
    <col min="2" max="2" width="22.42578125" style="3" bestFit="1" customWidth="1"/>
    <col min="3" max="3" width="11.42578125" style="3"/>
    <col min="4" max="4" width="32.5703125" style="3" bestFit="1" customWidth="1"/>
    <col min="5" max="16384" width="11.42578125" style="3"/>
  </cols>
  <sheetData>
    <row r="1" spans="1:4" x14ac:dyDescent="0.2">
      <c r="A1" s="4" t="s">
        <v>73</v>
      </c>
      <c r="B1" s="4" t="s">
        <v>74</v>
      </c>
    </row>
    <row r="2" spans="1:4" x14ac:dyDescent="0.2">
      <c r="A2" s="5" t="s">
        <v>83</v>
      </c>
      <c r="B2" s="6" t="s">
        <v>77</v>
      </c>
      <c r="D2" s="30" t="s">
        <v>83</v>
      </c>
    </row>
    <row r="3" spans="1:4" x14ac:dyDescent="0.2">
      <c r="A3" s="5" t="s">
        <v>45</v>
      </c>
      <c r="B3" s="6" t="s">
        <v>75</v>
      </c>
      <c r="D3" s="31" t="s">
        <v>45</v>
      </c>
    </row>
    <row r="4" spans="1:4" x14ac:dyDescent="0.2">
      <c r="A4" s="5" t="s">
        <v>40</v>
      </c>
      <c r="B4" s="6" t="s">
        <v>75</v>
      </c>
      <c r="D4" s="30" t="s">
        <v>40</v>
      </c>
    </row>
    <row r="5" spans="1:4" x14ac:dyDescent="0.2">
      <c r="A5" s="5" t="s">
        <v>55</v>
      </c>
      <c r="B5" s="6" t="s">
        <v>79</v>
      </c>
      <c r="D5" s="31" t="s">
        <v>55</v>
      </c>
    </row>
    <row r="6" spans="1:4" x14ac:dyDescent="0.2">
      <c r="A6" s="7" t="s">
        <v>38</v>
      </c>
      <c r="B6" s="6" t="s">
        <v>76</v>
      </c>
      <c r="D6" s="32" t="s">
        <v>38</v>
      </c>
    </row>
    <row r="7" spans="1:4" x14ac:dyDescent="0.2">
      <c r="A7" s="5" t="s">
        <v>11</v>
      </c>
      <c r="B7" s="6" t="s">
        <v>76</v>
      </c>
      <c r="D7" s="31" t="s">
        <v>11</v>
      </c>
    </row>
    <row r="8" spans="1:4" x14ac:dyDescent="0.2">
      <c r="A8" s="5" t="s">
        <v>53</v>
      </c>
      <c r="B8" s="6" t="s">
        <v>79</v>
      </c>
      <c r="D8" s="30" t="s">
        <v>53</v>
      </c>
    </row>
    <row r="9" spans="1:4" x14ac:dyDescent="0.2">
      <c r="A9" s="5" t="s">
        <v>65</v>
      </c>
      <c r="B9" s="6" t="s">
        <v>91</v>
      </c>
      <c r="D9" s="31" t="s">
        <v>65</v>
      </c>
    </row>
    <row r="10" spans="1:4" x14ac:dyDescent="0.2">
      <c r="A10" s="5" t="s">
        <v>44</v>
      </c>
      <c r="B10" s="6" t="s">
        <v>75</v>
      </c>
      <c r="D10" s="30" t="s">
        <v>44</v>
      </c>
    </row>
    <row r="11" spans="1:4" x14ac:dyDescent="0.2">
      <c r="A11" s="7" t="s">
        <v>24</v>
      </c>
      <c r="B11" s="6" t="s">
        <v>79</v>
      </c>
      <c r="D11" s="32" t="s">
        <v>24</v>
      </c>
    </row>
    <row r="12" spans="1:4" x14ac:dyDescent="0.2">
      <c r="A12" s="5" t="s">
        <v>59</v>
      </c>
      <c r="B12" s="6" t="s">
        <v>80</v>
      </c>
      <c r="D12" s="31" t="s">
        <v>59</v>
      </c>
    </row>
    <row r="13" spans="1:4" x14ac:dyDescent="0.2">
      <c r="A13" s="5" t="s">
        <v>46</v>
      </c>
      <c r="B13" s="6" t="s">
        <v>76</v>
      </c>
      <c r="D13" s="30" t="s">
        <v>46</v>
      </c>
    </row>
    <row r="14" spans="1:4" x14ac:dyDescent="0.2">
      <c r="A14" s="5" t="s">
        <v>32</v>
      </c>
      <c r="B14" s="6" t="s">
        <v>81</v>
      </c>
      <c r="D14" s="31" t="s">
        <v>32</v>
      </c>
    </row>
    <row r="15" spans="1:4" x14ac:dyDescent="0.2">
      <c r="A15" s="5" t="s">
        <v>49</v>
      </c>
      <c r="B15" s="6" t="s">
        <v>79</v>
      </c>
      <c r="D15" s="31" t="s">
        <v>49</v>
      </c>
    </row>
    <row r="16" spans="1:4" x14ac:dyDescent="0.2">
      <c r="A16" s="5" t="s">
        <v>51</v>
      </c>
      <c r="B16" s="6" t="s">
        <v>92</v>
      </c>
      <c r="D16" s="31" t="s">
        <v>51</v>
      </c>
    </row>
    <row r="17" spans="1:4" x14ac:dyDescent="0.2">
      <c r="A17" s="5" t="s">
        <v>50</v>
      </c>
      <c r="B17" s="6" t="s">
        <v>75</v>
      </c>
      <c r="D17" s="30" t="s">
        <v>50</v>
      </c>
    </row>
    <row r="18" spans="1:4" x14ac:dyDescent="0.2">
      <c r="A18" s="5" t="s">
        <v>64</v>
      </c>
      <c r="B18" s="6" t="s">
        <v>79</v>
      </c>
      <c r="D18" s="31" t="s">
        <v>64</v>
      </c>
    </row>
    <row r="19" spans="1:4" x14ac:dyDescent="0.2">
      <c r="A19" s="5" t="s">
        <v>58</v>
      </c>
      <c r="B19" s="6" t="s">
        <v>92</v>
      </c>
      <c r="D19" s="30" t="s">
        <v>58</v>
      </c>
    </row>
    <row r="20" spans="1:4" x14ac:dyDescent="0.2">
      <c r="A20" s="5" t="s">
        <v>54</v>
      </c>
      <c r="B20" s="6" t="s">
        <v>75</v>
      </c>
      <c r="D20" s="30" t="s">
        <v>54</v>
      </c>
    </row>
    <row r="21" spans="1:4" x14ac:dyDescent="0.2">
      <c r="A21" s="5" t="s">
        <v>60</v>
      </c>
      <c r="B21" s="6" t="s">
        <v>75</v>
      </c>
      <c r="D21" s="30" t="s">
        <v>60</v>
      </c>
    </row>
    <row r="22" spans="1:4" x14ac:dyDescent="0.2">
      <c r="A22" s="5" t="s">
        <v>82</v>
      </c>
      <c r="B22" s="6" t="s">
        <v>77</v>
      </c>
      <c r="D22" s="30" t="s">
        <v>82</v>
      </c>
    </row>
    <row r="23" spans="1:4" x14ac:dyDescent="0.2">
      <c r="A23" s="5" t="s">
        <v>41</v>
      </c>
      <c r="B23" s="6" t="s">
        <v>78</v>
      </c>
      <c r="D23" s="30" t="s">
        <v>41</v>
      </c>
    </row>
    <row r="24" spans="1:4" x14ac:dyDescent="0.2">
      <c r="A24" s="5" t="s">
        <v>72</v>
      </c>
      <c r="B24" s="6" t="s">
        <v>75</v>
      </c>
      <c r="D24" s="31" t="s">
        <v>72</v>
      </c>
    </row>
    <row r="25" spans="1:4" x14ac:dyDescent="0.2">
      <c r="A25" s="7" t="s">
        <v>39</v>
      </c>
      <c r="B25" s="6" t="s">
        <v>76</v>
      </c>
      <c r="D25" s="33" t="s">
        <v>39</v>
      </c>
    </row>
    <row r="26" spans="1:4" x14ac:dyDescent="0.2">
      <c r="A26" s="5" t="s">
        <v>52</v>
      </c>
      <c r="B26" s="6" t="s">
        <v>75</v>
      </c>
      <c r="D26" s="31" t="s">
        <v>52</v>
      </c>
    </row>
    <row r="27" spans="1:4" x14ac:dyDescent="0.2">
      <c r="A27" s="5" t="s">
        <v>62</v>
      </c>
      <c r="B27" s="6" t="s">
        <v>92</v>
      </c>
      <c r="D27" s="30" t="s">
        <v>62</v>
      </c>
    </row>
    <row r="28" spans="1:4" x14ac:dyDescent="0.2">
      <c r="A28" s="5" t="s">
        <v>66</v>
      </c>
      <c r="B28" s="6" t="s">
        <v>75</v>
      </c>
      <c r="D28" s="30" t="s">
        <v>66</v>
      </c>
    </row>
    <row r="29" spans="1:4" x14ac:dyDescent="0.2">
      <c r="A29" s="5" t="s">
        <v>71</v>
      </c>
      <c r="B29" s="6" t="s">
        <v>75</v>
      </c>
      <c r="D29" s="30" t="s">
        <v>71</v>
      </c>
    </row>
    <row r="30" spans="1:4" x14ac:dyDescent="0.2">
      <c r="A30" s="5" t="s">
        <v>70</v>
      </c>
      <c r="B30" s="6" t="s">
        <v>75</v>
      </c>
      <c r="D30" s="31" t="s">
        <v>70</v>
      </c>
    </row>
    <row r="31" spans="1:4" x14ac:dyDescent="0.2">
      <c r="A31" s="5" t="s">
        <v>61</v>
      </c>
      <c r="B31" s="6" t="s">
        <v>76</v>
      </c>
      <c r="D31" s="31" t="s">
        <v>61</v>
      </c>
    </row>
    <row r="32" spans="1:4" x14ac:dyDescent="0.2">
      <c r="A32" s="5" t="s">
        <v>67</v>
      </c>
      <c r="B32" s="6" t="s">
        <v>75</v>
      </c>
      <c r="D32" s="31" t="s">
        <v>67</v>
      </c>
    </row>
    <row r="33" spans="1:4" x14ac:dyDescent="0.2">
      <c r="A33" s="5" t="s">
        <v>43</v>
      </c>
      <c r="B33" s="6" t="s">
        <v>78</v>
      </c>
      <c r="D33" s="31" t="s">
        <v>43</v>
      </c>
    </row>
    <row r="34" spans="1:4" x14ac:dyDescent="0.2">
      <c r="A34" s="5" t="s">
        <v>42</v>
      </c>
      <c r="B34" s="6" t="s">
        <v>80</v>
      </c>
      <c r="D34" s="31" t="s">
        <v>42</v>
      </c>
    </row>
    <row r="35" spans="1:4" x14ac:dyDescent="0.2">
      <c r="A35" s="5" t="s">
        <v>57</v>
      </c>
      <c r="B35" s="6" t="s">
        <v>80</v>
      </c>
      <c r="D35" s="30" t="s">
        <v>57</v>
      </c>
    </row>
    <row r="36" spans="1:4" x14ac:dyDescent="0.2">
      <c r="A36" s="5" t="s">
        <v>48</v>
      </c>
      <c r="B36" s="6" t="s">
        <v>79</v>
      </c>
      <c r="D36" s="31" t="s">
        <v>48</v>
      </c>
    </row>
    <row r="37" spans="1:4" x14ac:dyDescent="0.2">
      <c r="A37" s="5" t="s">
        <v>56</v>
      </c>
      <c r="B37" s="6" t="s">
        <v>75</v>
      </c>
      <c r="D37" s="31" t="s">
        <v>56</v>
      </c>
    </row>
    <row r="38" spans="1:4" x14ac:dyDescent="0.2">
      <c r="A38" s="5" t="s">
        <v>63</v>
      </c>
      <c r="B38" s="6" t="s">
        <v>75</v>
      </c>
      <c r="D38" s="30" t="s">
        <v>63</v>
      </c>
    </row>
    <row r="39" spans="1:4" x14ac:dyDescent="0.2">
      <c r="A39" s="5" t="s">
        <v>47</v>
      </c>
      <c r="B39" s="6" t="s">
        <v>77</v>
      </c>
      <c r="D39" s="30" t="s">
        <v>47</v>
      </c>
    </row>
    <row r="40" spans="1:4" ht="12.75" x14ac:dyDescent="0.2">
      <c r="D40"/>
    </row>
    <row r="41" spans="1:4" ht="12.75" x14ac:dyDescent="0.2">
      <c r="D41"/>
    </row>
    <row r="42" spans="1:4" ht="12.75" x14ac:dyDescent="0.2">
      <c r="D42"/>
    </row>
    <row r="43" spans="1:4" ht="12.75" x14ac:dyDescent="0.2">
      <c r="D43"/>
    </row>
    <row r="44" spans="1:4" ht="12.75" x14ac:dyDescent="0.2">
      <c r="D44"/>
    </row>
    <row r="45" spans="1:4" ht="12.75" x14ac:dyDescent="0.2">
      <c r="D45"/>
    </row>
    <row r="46" spans="1:4" ht="12.75" x14ac:dyDescent="0.2">
      <c r="D46"/>
    </row>
    <row r="47" spans="1:4" ht="12.75" x14ac:dyDescent="0.2">
      <c r="D47"/>
    </row>
    <row r="48" spans="1:4" ht="12.75" x14ac:dyDescent="0.2">
      <c r="D48"/>
    </row>
    <row r="49" spans="4:4" ht="12.75" x14ac:dyDescent="0.2">
      <c r="D49"/>
    </row>
    <row r="50" spans="4:4" ht="12.75" x14ac:dyDescent="0.2">
      <c r="D50"/>
    </row>
    <row r="51" spans="4:4" ht="12.75" x14ac:dyDescent="0.2">
      <c r="D51"/>
    </row>
    <row r="52" spans="4:4" ht="12.75" x14ac:dyDescent="0.2">
      <c r="D52"/>
    </row>
    <row r="53" spans="4:4" ht="12.75" x14ac:dyDescent="0.2">
      <c r="D53"/>
    </row>
    <row r="54" spans="4:4" ht="12.75" x14ac:dyDescent="0.2">
      <c r="D54"/>
    </row>
    <row r="55" spans="4:4" ht="12.75" x14ac:dyDescent="0.2">
      <c r="D55"/>
    </row>
    <row r="56" spans="4:4" ht="12.75" x14ac:dyDescent="0.2">
      <c r="D56"/>
    </row>
    <row r="57" spans="4:4" ht="12.75" x14ac:dyDescent="0.2">
      <c r="D57"/>
    </row>
    <row r="58" spans="4:4" ht="12.75" x14ac:dyDescent="0.2">
      <c r="D58"/>
    </row>
    <row r="59" spans="4:4" ht="12.75" x14ac:dyDescent="0.2">
      <c r="D59"/>
    </row>
    <row r="60" spans="4:4" ht="12.75" x14ac:dyDescent="0.2">
      <c r="D60"/>
    </row>
    <row r="61" spans="4:4" ht="12.75" x14ac:dyDescent="0.2">
      <c r="D61"/>
    </row>
    <row r="62" spans="4:4" ht="12.75" x14ac:dyDescent="0.2">
      <c r="D62"/>
    </row>
    <row r="63" spans="4:4" ht="12.75" x14ac:dyDescent="0.2">
      <c r="D63"/>
    </row>
    <row r="64" spans="4:4" ht="12.75" x14ac:dyDescent="0.2">
      <c r="D64"/>
    </row>
    <row r="65" spans="4:4" ht="12.75" x14ac:dyDescent="0.2">
      <c r="D65"/>
    </row>
    <row r="66" spans="4:4" ht="12.75" x14ac:dyDescent="0.2">
      <c r="D66"/>
    </row>
    <row r="67" spans="4:4" ht="12.75" x14ac:dyDescent="0.2">
      <c r="D67"/>
    </row>
    <row r="68" spans="4:4" ht="12.75" x14ac:dyDescent="0.2">
      <c r="D68"/>
    </row>
    <row r="69" spans="4:4" ht="12.75" x14ac:dyDescent="0.2">
      <c r="D69"/>
    </row>
    <row r="70" spans="4:4" ht="12.75" x14ac:dyDescent="0.2">
      <c r="D70"/>
    </row>
    <row r="71" spans="4:4" ht="12.75" x14ac:dyDescent="0.2">
      <c r="D71"/>
    </row>
    <row r="72" spans="4:4" ht="12.75" x14ac:dyDescent="0.2">
      <c r="D72"/>
    </row>
    <row r="73" spans="4:4" ht="12.75" x14ac:dyDescent="0.2">
      <c r="D73"/>
    </row>
    <row r="74" spans="4:4" ht="12.75" x14ac:dyDescent="0.2">
      <c r="D74"/>
    </row>
    <row r="75" spans="4:4" ht="12.75" x14ac:dyDescent="0.2">
      <c r="D75"/>
    </row>
    <row r="76" spans="4:4" ht="12.75" x14ac:dyDescent="0.2">
      <c r="D76"/>
    </row>
    <row r="77" spans="4:4" ht="12.75" x14ac:dyDescent="0.2">
      <c r="D77"/>
    </row>
    <row r="78" spans="4:4" ht="12.75" x14ac:dyDescent="0.2">
      <c r="D78"/>
    </row>
    <row r="79" spans="4:4" ht="12.75" x14ac:dyDescent="0.2">
      <c r="D79"/>
    </row>
    <row r="80" spans="4:4" ht="12.75" x14ac:dyDescent="0.2">
      <c r="D80"/>
    </row>
    <row r="81" spans="4:4" ht="12.75" x14ac:dyDescent="0.2">
      <c r="D81"/>
    </row>
    <row r="82" spans="4:4" ht="12.75" x14ac:dyDescent="0.2">
      <c r="D82"/>
    </row>
    <row r="83" spans="4:4" ht="12.75" x14ac:dyDescent="0.2">
      <c r="D83"/>
    </row>
    <row r="84" spans="4:4" ht="12.75" x14ac:dyDescent="0.2">
      <c r="D84"/>
    </row>
    <row r="85" spans="4:4" ht="12.75" x14ac:dyDescent="0.2">
      <c r="D85"/>
    </row>
    <row r="86" spans="4:4" ht="12.75" x14ac:dyDescent="0.2">
      <c r="D86"/>
    </row>
    <row r="87" spans="4:4" ht="12.75" x14ac:dyDescent="0.2">
      <c r="D87"/>
    </row>
    <row r="88" spans="4:4" ht="12.75" x14ac:dyDescent="0.2">
      <c r="D88"/>
    </row>
    <row r="89" spans="4:4" ht="12.75" x14ac:dyDescent="0.2">
      <c r="D89"/>
    </row>
    <row r="90" spans="4:4" ht="12.75" x14ac:dyDescent="0.2">
      <c r="D90"/>
    </row>
    <row r="91" spans="4:4" ht="12.75" x14ac:dyDescent="0.2">
      <c r="D91"/>
    </row>
    <row r="92" spans="4:4" ht="12.75" x14ac:dyDescent="0.2">
      <c r="D92"/>
    </row>
    <row r="93" spans="4:4" ht="12.75" x14ac:dyDescent="0.2">
      <c r="D93"/>
    </row>
    <row r="94" spans="4:4" ht="12.75" x14ac:dyDescent="0.2">
      <c r="D94"/>
    </row>
    <row r="95" spans="4:4" ht="12.75" x14ac:dyDescent="0.2">
      <c r="D95"/>
    </row>
    <row r="96" spans="4:4" ht="12.75" x14ac:dyDescent="0.2">
      <c r="D96"/>
    </row>
    <row r="97" spans="4:4" ht="12.75" x14ac:dyDescent="0.2">
      <c r="D97"/>
    </row>
    <row r="98" spans="4:4" ht="12.75" x14ac:dyDescent="0.2">
      <c r="D98"/>
    </row>
    <row r="99" spans="4:4" ht="12.75" x14ac:dyDescent="0.2">
      <c r="D99"/>
    </row>
    <row r="100" spans="4:4" ht="12.75" x14ac:dyDescent="0.2">
      <c r="D100"/>
    </row>
    <row r="101" spans="4:4" ht="12.75" x14ac:dyDescent="0.2">
      <c r="D101"/>
    </row>
    <row r="102" spans="4:4" ht="12.75" x14ac:dyDescent="0.2">
      <c r="D102"/>
    </row>
    <row r="103" spans="4:4" ht="12.75" x14ac:dyDescent="0.2">
      <c r="D103"/>
    </row>
    <row r="104" spans="4:4" ht="12.75" x14ac:dyDescent="0.2">
      <c r="D104"/>
    </row>
    <row r="105" spans="4:4" ht="12.75" x14ac:dyDescent="0.2">
      <c r="D105"/>
    </row>
    <row r="106" spans="4:4" ht="12.75" x14ac:dyDescent="0.2">
      <c r="D106"/>
    </row>
    <row r="107" spans="4:4" ht="12.75" x14ac:dyDescent="0.2">
      <c r="D107"/>
    </row>
    <row r="108" spans="4:4" ht="12.75" x14ac:dyDescent="0.2">
      <c r="D108"/>
    </row>
    <row r="109" spans="4:4" ht="12.75" x14ac:dyDescent="0.2">
      <c r="D109"/>
    </row>
    <row r="110" spans="4:4" ht="12.75" x14ac:dyDescent="0.2">
      <c r="D110"/>
    </row>
    <row r="111" spans="4:4" ht="12.75" x14ac:dyDescent="0.2">
      <c r="D111"/>
    </row>
    <row r="112" spans="4:4" ht="12.75" x14ac:dyDescent="0.2">
      <c r="D112"/>
    </row>
    <row r="113" spans="4:4" ht="12.75" x14ac:dyDescent="0.2">
      <c r="D113"/>
    </row>
    <row r="114" spans="4:4" ht="12.75" x14ac:dyDescent="0.2">
      <c r="D114"/>
    </row>
    <row r="115" spans="4:4" ht="12.75" x14ac:dyDescent="0.2">
      <c r="D115"/>
    </row>
    <row r="116" spans="4:4" ht="12.75" x14ac:dyDescent="0.2">
      <c r="D116"/>
    </row>
    <row r="117" spans="4:4" ht="12.75" x14ac:dyDescent="0.2">
      <c r="D117"/>
    </row>
    <row r="118" spans="4:4" ht="12.75" x14ac:dyDescent="0.2">
      <c r="D118"/>
    </row>
    <row r="119" spans="4:4" ht="12.75" x14ac:dyDescent="0.2">
      <c r="D119"/>
    </row>
    <row r="120" spans="4:4" ht="12.75" x14ac:dyDescent="0.2">
      <c r="D120"/>
    </row>
    <row r="121" spans="4:4" ht="12.75" x14ac:dyDescent="0.2">
      <c r="D121"/>
    </row>
    <row r="122" spans="4:4" ht="12.75" x14ac:dyDescent="0.2">
      <c r="D122"/>
    </row>
    <row r="123" spans="4:4" ht="12.75" x14ac:dyDescent="0.2">
      <c r="D123"/>
    </row>
    <row r="124" spans="4:4" ht="12.75" x14ac:dyDescent="0.2">
      <c r="D124"/>
    </row>
    <row r="125" spans="4:4" ht="12.75" x14ac:dyDescent="0.2">
      <c r="D125"/>
    </row>
    <row r="126" spans="4:4" ht="12.75" x14ac:dyDescent="0.2">
      <c r="D126"/>
    </row>
    <row r="127" spans="4:4" ht="12.75" x14ac:dyDescent="0.2">
      <c r="D127"/>
    </row>
    <row r="128" spans="4:4" ht="12.75" x14ac:dyDescent="0.2">
      <c r="D128"/>
    </row>
    <row r="129" spans="4:4" ht="12.75" x14ac:dyDescent="0.2">
      <c r="D129"/>
    </row>
    <row r="130" spans="4:4" ht="12.75" x14ac:dyDescent="0.2">
      <c r="D130"/>
    </row>
    <row r="131" spans="4:4" ht="12.75" x14ac:dyDescent="0.2">
      <c r="D131"/>
    </row>
    <row r="132" spans="4:4" ht="12.75" x14ac:dyDescent="0.2">
      <c r="D132"/>
    </row>
    <row r="133" spans="4:4" ht="12.75" x14ac:dyDescent="0.2">
      <c r="D133"/>
    </row>
    <row r="134" spans="4:4" ht="12.75" x14ac:dyDescent="0.2">
      <c r="D134"/>
    </row>
    <row r="135" spans="4:4" ht="12.75" x14ac:dyDescent="0.2">
      <c r="D135"/>
    </row>
    <row r="136" spans="4:4" ht="12.75" x14ac:dyDescent="0.2">
      <c r="D136"/>
    </row>
    <row r="137" spans="4:4" ht="12.75" x14ac:dyDescent="0.2">
      <c r="D137"/>
    </row>
    <row r="138" spans="4:4" ht="12.75" x14ac:dyDescent="0.2">
      <c r="D138"/>
    </row>
    <row r="139" spans="4:4" ht="12.75" x14ac:dyDescent="0.2">
      <c r="D139"/>
    </row>
    <row r="140" spans="4:4" ht="12.75" x14ac:dyDescent="0.2">
      <c r="D140"/>
    </row>
    <row r="141" spans="4:4" ht="12.75" x14ac:dyDescent="0.2">
      <c r="D141"/>
    </row>
    <row r="142" spans="4:4" ht="12.75" x14ac:dyDescent="0.2">
      <c r="D142"/>
    </row>
    <row r="143" spans="4:4" ht="12.75" x14ac:dyDescent="0.2">
      <c r="D143"/>
    </row>
    <row r="144" spans="4:4" ht="12.75" x14ac:dyDescent="0.2">
      <c r="D144"/>
    </row>
    <row r="145" spans="4:4" ht="12.75" x14ac:dyDescent="0.2">
      <c r="D145"/>
    </row>
    <row r="146" spans="4:4" ht="12.75" x14ac:dyDescent="0.2">
      <c r="D146"/>
    </row>
    <row r="147" spans="4:4" ht="12.75" x14ac:dyDescent="0.2">
      <c r="D147"/>
    </row>
    <row r="148" spans="4:4" ht="12.75" x14ac:dyDescent="0.2">
      <c r="D148"/>
    </row>
    <row r="149" spans="4:4" ht="12.75" x14ac:dyDescent="0.2">
      <c r="D149"/>
    </row>
    <row r="150" spans="4:4" ht="12.75" x14ac:dyDescent="0.2">
      <c r="D150"/>
    </row>
    <row r="151" spans="4:4" ht="12.75" x14ac:dyDescent="0.2">
      <c r="D151"/>
    </row>
    <row r="152" spans="4:4" ht="12.75" x14ac:dyDescent="0.2">
      <c r="D152"/>
    </row>
    <row r="153" spans="4:4" ht="12.75" x14ac:dyDescent="0.2">
      <c r="D153"/>
    </row>
    <row r="154" spans="4:4" ht="12.75" x14ac:dyDescent="0.2">
      <c r="D154"/>
    </row>
    <row r="155" spans="4:4" ht="12.75" x14ac:dyDescent="0.2">
      <c r="D155"/>
    </row>
    <row r="156" spans="4:4" ht="12.75" x14ac:dyDescent="0.2">
      <c r="D156"/>
    </row>
    <row r="157" spans="4:4" ht="12.75" x14ac:dyDescent="0.2">
      <c r="D157"/>
    </row>
    <row r="158" spans="4:4" ht="12.75" x14ac:dyDescent="0.2">
      <c r="D158"/>
    </row>
    <row r="159" spans="4:4" ht="12.75" x14ac:dyDescent="0.2">
      <c r="D159"/>
    </row>
    <row r="160" spans="4:4" ht="12.75" x14ac:dyDescent="0.2">
      <c r="D160"/>
    </row>
    <row r="161" spans="4:4" ht="12.75" x14ac:dyDescent="0.2">
      <c r="D161"/>
    </row>
    <row r="162" spans="4:4" ht="12.75" x14ac:dyDescent="0.2">
      <c r="D162"/>
    </row>
    <row r="163" spans="4:4" ht="12.75" x14ac:dyDescent="0.2">
      <c r="D163"/>
    </row>
    <row r="164" spans="4:4" ht="12.75" x14ac:dyDescent="0.2">
      <c r="D164"/>
    </row>
    <row r="165" spans="4:4" ht="12.75" x14ac:dyDescent="0.2">
      <c r="D165"/>
    </row>
    <row r="166" spans="4:4" ht="12.75" x14ac:dyDescent="0.2">
      <c r="D166"/>
    </row>
    <row r="167" spans="4:4" ht="12.75" x14ac:dyDescent="0.2">
      <c r="D167"/>
    </row>
    <row r="168" spans="4:4" ht="12.75" x14ac:dyDescent="0.2">
      <c r="D168"/>
    </row>
    <row r="169" spans="4:4" ht="12.75" x14ac:dyDescent="0.2">
      <c r="D169"/>
    </row>
    <row r="170" spans="4:4" ht="12.75" x14ac:dyDescent="0.2">
      <c r="D170"/>
    </row>
    <row r="171" spans="4:4" ht="12.75" x14ac:dyDescent="0.2">
      <c r="D171"/>
    </row>
    <row r="172" spans="4:4" ht="12.75" x14ac:dyDescent="0.2">
      <c r="D172"/>
    </row>
    <row r="173" spans="4:4" ht="12.75" x14ac:dyDescent="0.2">
      <c r="D173"/>
    </row>
    <row r="174" spans="4:4" ht="12.75" x14ac:dyDescent="0.2">
      <c r="D174"/>
    </row>
    <row r="175" spans="4:4" ht="12.75" x14ac:dyDescent="0.2">
      <c r="D175"/>
    </row>
    <row r="176" spans="4:4" ht="12.75" x14ac:dyDescent="0.2">
      <c r="D176"/>
    </row>
    <row r="177" spans="4:4" ht="12.75" x14ac:dyDescent="0.2">
      <c r="D177"/>
    </row>
    <row r="178" spans="4:4" ht="12.75" x14ac:dyDescent="0.2">
      <c r="D178"/>
    </row>
    <row r="179" spans="4:4" ht="12.75" x14ac:dyDescent="0.2">
      <c r="D179"/>
    </row>
    <row r="180" spans="4:4" ht="12.75" x14ac:dyDescent="0.2">
      <c r="D180"/>
    </row>
    <row r="181" spans="4:4" ht="12.75" x14ac:dyDescent="0.2">
      <c r="D181"/>
    </row>
    <row r="182" spans="4:4" ht="12.75" x14ac:dyDescent="0.2">
      <c r="D182"/>
    </row>
    <row r="183" spans="4:4" ht="12.75" x14ac:dyDescent="0.2">
      <c r="D183"/>
    </row>
    <row r="184" spans="4:4" ht="12.75" x14ac:dyDescent="0.2">
      <c r="D184"/>
    </row>
    <row r="185" spans="4:4" ht="12.75" x14ac:dyDescent="0.2">
      <c r="D185"/>
    </row>
    <row r="186" spans="4:4" ht="12.75" x14ac:dyDescent="0.2">
      <c r="D186"/>
    </row>
    <row r="187" spans="4:4" ht="12.75" x14ac:dyDescent="0.2">
      <c r="D187"/>
    </row>
    <row r="188" spans="4:4" ht="12.75" x14ac:dyDescent="0.2">
      <c r="D188"/>
    </row>
    <row r="189" spans="4:4" ht="12.75" x14ac:dyDescent="0.2">
      <c r="D189"/>
    </row>
    <row r="190" spans="4:4" ht="12.75" x14ac:dyDescent="0.2">
      <c r="D190"/>
    </row>
    <row r="191" spans="4:4" ht="12.75" x14ac:dyDescent="0.2">
      <c r="D191"/>
    </row>
    <row r="192" spans="4:4" ht="12.75" x14ac:dyDescent="0.2">
      <c r="D192"/>
    </row>
    <row r="193" spans="4:4" ht="12.75" x14ac:dyDescent="0.2">
      <c r="D193"/>
    </row>
    <row r="194" spans="4:4" ht="12.75" x14ac:dyDescent="0.2">
      <c r="D194"/>
    </row>
    <row r="195" spans="4:4" ht="12.75" x14ac:dyDescent="0.2">
      <c r="D195"/>
    </row>
    <row r="196" spans="4:4" ht="12.75" x14ac:dyDescent="0.2">
      <c r="D196"/>
    </row>
    <row r="197" spans="4:4" ht="12.75" x14ac:dyDescent="0.2">
      <c r="D197"/>
    </row>
    <row r="198" spans="4:4" ht="12.75" x14ac:dyDescent="0.2">
      <c r="D198"/>
    </row>
    <row r="199" spans="4:4" ht="12.75" x14ac:dyDescent="0.2">
      <c r="D199"/>
    </row>
    <row r="200" spans="4:4" ht="12.75" x14ac:dyDescent="0.2">
      <c r="D200"/>
    </row>
    <row r="201" spans="4:4" ht="12.75" x14ac:dyDescent="0.2">
      <c r="D201"/>
    </row>
    <row r="202" spans="4:4" ht="12.75" x14ac:dyDescent="0.2">
      <c r="D202"/>
    </row>
    <row r="203" spans="4:4" ht="12.75" x14ac:dyDescent="0.2">
      <c r="D203"/>
    </row>
    <row r="204" spans="4:4" ht="12.75" x14ac:dyDescent="0.2">
      <c r="D204"/>
    </row>
    <row r="205" spans="4:4" ht="12.75" x14ac:dyDescent="0.2">
      <c r="D205"/>
    </row>
    <row r="206" spans="4:4" ht="12.75" x14ac:dyDescent="0.2">
      <c r="D206"/>
    </row>
    <row r="207" spans="4:4" ht="12.75" x14ac:dyDescent="0.2">
      <c r="D207"/>
    </row>
    <row r="208" spans="4:4" ht="12.75" x14ac:dyDescent="0.2">
      <c r="D208"/>
    </row>
    <row r="209" spans="4:4" ht="12.75" x14ac:dyDescent="0.2">
      <c r="D209"/>
    </row>
    <row r="210" spans="4:4" ht="12.75" x14ac:dyDescent="0.2">
      <c r="D210"/>
    </row>
    <row r="211" spans="4:4" ht="12.75" x14ac:dyDescent="0.2">
      <c r="D211"/>
    </row>
    <row r="212" spans="4:4" ht="12.75" x14ac:dyDescent="0.2">
      <c r="D212"/>
    </row>
    <row r="213" spans="4:4" ht="12.75" x14ac:dyDescent="0.2">
      <c r="D213"/>
    </row>
    <row r="214" spans="4:4" ht="12.75" x14ac:dyDescent="0.2">
      <c r="D214"/>
    </row>
    <row r="215" spans="4:4" ht="12.75" x14ac:dyDescent="0.2">
      <c r="D215"/>
    </row>
    <row r="216" spans="4:4" ht="12.75" x14ac:dyDescent="0.2">
      <c r="D216"/>
    </row>
    <row r="217" spans="4:4" ht="12.75" x14ac:dyDescent="0.2">
      <c r="D217"/>
    </row>
    <row r="218" spans="4:4" ht="12.75" x14ac:dyDescent="0.2">
      <c r="D218"/>
    </row>
    <row r="219" spans="4:4" ht="12.75" x14ac:dyDescent="0.2">
      <c r="D219"/>
    </row>
    <row r="220" spans="4:4" ht="12.75" x14ac:dyDescent="0.2">
      <c r="D220"/>
    </row>
    <row r="221" spans="4:4" ht="12.75" x14ac:dyDescent="0.2">
      <c r="D221"/>
    </row>
    <row r="222" spans="4:4" ht="12.75" x14ac:dyDescent="0.2">
      <c r="D222"/>
    </row>
    <row r="223" spans="4:4" ht="12.75" x14ac:dyDescent="0.2">
      <c r="D223"/>
    </row>
    <row r="224" spans="4:4" ht="12.75" x14ac:dyDescent="0.2">
      <c r="D224"/>
    </row>
    <row r="225" spans="4:4" ht="12.75" x14ac:dyDescent="0.2">
      <c r="D225"/>
    </row>
    <row r="226" spans="4:4" ht="12.75" x14ac:dyDescent="0.2">
      <c r="D226"/>
    </row>
    <row r="227" spans="4:4" ht="12.75" x14ac:dyDescent="0.2">
      <c r="D227"/>
    </row>
    <row r="228" spans="4:4" ht="12.75" x14ac:dyDescent="0.2">
      <c r="D228"/>
    </row>
    <row r="229" spans="4:4" ht="12.75" x14ac:dyDescent="0.2">
      <c r="D229"/>
    </row>
    <row r="230" spans="4:4" ht="12.75" x14ac:dyDescent="0.2">
      <c r="D230"/>
    </row>
    <row r="231" spans="4:4" ht="12.75" x14ac:dyDescent="0.2">
      <c r="D231"/>
    </row>
    <row r="232" spans="4:4" ht="12.75" x14ac:dyDescent="0.2">
      <c r="D232"/>
    </row>
    <row r="233" spans="4:4" ht="12.75" x14ac:dyDescent="0.2">
      <c r="D233"/>
    </row>
    <row r="234" spans="4:4" ht="12.75" x14ac:dyDescent="0.2">
      <c r="D234"/>
    </row>
    <row r="235" spans="4:4" ht="12.75" x14ac:dyDescent="0.2">
      <c r="D235"/>
    </row>
    <row r="236" spans="4:4" ht="12.75" x14ac:dyDescent="0.2">
      <c r="D236"/>
    </row>
    <row r="237" spans="4:4" ht="12.75" x14ac:dyDescent="0.2">
      <c r="D237"/>
    </row>
    <row r="238" spans="4:4" ht="12.75" x14ac:dyDescent="0.2">
      <c r="D238"/>
    </row>
    <row r="239" spans="4:4" ht="12.75" x14ac:dyDescent="0.2">
      <c r="D239"/>
    </row>
    <row r="240" spans="4:4" ht="12.75" x14ac:dyDescent="0.2">
      <c r="D240"/>
    </row>
    <row r="241" spans="4:4" ht="12.75" x14ac:dyDescent="0.2">
      <c r="D241"/>
    </row>
    <row r="242" spans="4:4" ht="12.75" x14ac:dyDescent="0.2">
      <c r="D242"/>
    </row>
    <row r="243" spans="4:4" ht="12.75" x14ac:dyDescent="0.2">
      <c r="D243"/>
    </row>
    <row r="244" spans="4:4" ht="12.75" x14ac:dyDescent="0.2">
      <c r="D244"/>
    </row>
    <row r="245" spans="4:4" ht="12.75" x14ac:dyDescent="0.2">
      <c r="D245"/>
    </row>
    <row r="246" spans="4:4" ht="12.75" x14ac:dyDescent="0.2">
      <c r="D246"/>
    </row>
    <row r="247" spans="4:4" ht="12.75" x14ac:dyDescent="0.2">
      <c r="D247"/>
    </row>
    <row r="248" spans="4:4" ht="12.75" x14ac:dyDescent="0.2">
      <c r="D248"/>
    </row>
    <row r="249" spans="4:4" ht="12.75" x14ac:dyDescent="0.2">
      <c r="D249"/>
    </row>
    <row r="250" spans="4:4" ht="12.75" x14ac:dyDescent="0.2">
      <c r="D250"/>
    </row>
    <row r="251" spans="4:4" ht="12.75" x14ac:dyDescent="0.2">
      <c r="D251"/>
    </row>
    <row r="252" spans="4:4" ht="12.75" x14ac:dyDescent="0.2">
      <c r="D252"/>
    </row>
    <row r="253" spans="4:4" ht="12.75" x14ac:dyDescent="0.2">
      <c r="D253"/>
    </row>
    <row r="254" spans="4:4" ht="12.75" x14ac:dyDescent="0.2">
      <c r="D254"/>
    </row>
    <row r="255" spans="4:4" ht="12.75" x14ac:dyDescent="0.2">
      <c r="D255"/>
    </row>
    <row r="256" spans="4:4" ht="12.75" x14ac:dyDescent="0.2">
      <c r="D256"/>
    </row>
    <row r="257" spans="4:4" ht="12.75" x14ac:dyDescent="0.2">
      <c r="D257"/>
    </row>
    <row r="258" spans="4:4" ht="12.75" x14ac:dyDescent="0.2">
      <c r="D258"/>
    </row>
    <row r="259" spans="4:4" ht="12.75" x14ac:dyDescent="0.2">
      <c r="D259"/>
    </row>
    <row r="260" spans="4:4" ht="12.75" x14ac:dyDescent="0.2">
      <c r="D260"/>
    </row>
    <row r="261" spans="4:4" ht="12.75" x14ac:dyDescent="0.2">
      <c r="D261"/>
    </row>
    <row r="262" spans="4:4" ht="12.75" x14ac:dyDescent="0.2">
      <c r="D262"/>
    </row>
    <row r="263" spans="4:4" ht="12.75" x14ac:dyDescent="0.2">
      <c r="D263"/>
    </row>
    <row r="264" spans="4:4" ht="12.75" x14ac:dyDescent="0.2">
      <c r="D264"/>
    </row>
    <row r="265" spans="4:4" ht="12.75" x14ac:dyDescent="0.2">
      <c r="D265"/>
    </row>
    <row r="266" spans="4:4" ht="12.75" x14ac:dyDescent="0.2">
      <c r="D266"/>
    </row>
    <row r="267" spans="4:4" ht="12.75" x14ac:dyDescent="0.2">
      <c r="D267"/>
    </row>
    <row r="268" spans="4:4" ht="12.75" x14ac:dyDescent="0.2">
      <c r="D268"/>
    </row>
    <row r="269" spans="4:4" ht="12.75" x14ac:dyDescent="0.2">
      <c r="D269"/>
    </row>
    <row r="270" spans="4:4" ht="12.75" x14ac:dyDescent="0.2">
      <c r="D270"/>
    </row>
    <row r="271" spans="4:4" ht="12.75" x14ac:dyDescent="0.2">
      <c r="D271"/>
    </row>
    <row r="272" spans="4:4" ht="12.75" x14ac:dyDescent="0.2">
      <c r="D272"/>
    </row>
    <row r="273" spans="4:4" ht="12.75" x14ac:dyDescent="0.2">
      <c r="D273"/>
    </row>
    <row r="274" spans="4:4" ht="12.75" x14ac:dyDescent="0.2">
      <c r="D274"/>
    </row>
    <row r="275" spans="4:4" ht="12.75" x14ac:dyDescent="0.2">
      <c r="D275"/>
    </row>
    <row r="276" spans="4:4" ht="12.75" x14ac:dyDescent="0.2">
      <c r="D276"/>
    </row>
    <row r="277" spans="4:4" ht="12.75" x14ac:dyDescent="0.2">
      <c r="D277"/>
    </row>
    <row r="278" spans="4:4" ht="12.75" x14ac:dyDescent="0.2">
      <c r="D278"/>
    </row>
    <row r="279" spans="4:4" ht="12.75" x14ac:dyDescent="0.2">
      <c r="D279"/>
    </row>
    <row r="280" spans="4:4" ht="12.75" x14ac:dyDescent="0.2">
      <c r="D280"/>
    </row>
    <row r="281" spans="4:4" ht="12.75" x14ac:dyDescent="0.2">
      <c r="D281"/>
    </row>
    <row r="282" spans="4:4" ht="12.75" x14ac:dyDescent="0.2">
      <c r="D282"/>
    </row>
    <row r="283" spans="4:4" ht="12.75" x14ac:dyDescent="0.2">
      <c r="D283"/>
    </row>
    <row r="284" spans="4:4" ht="12.75" x14ac:dyDescent="0.2">
      <c r="D284"/>
    </row>
    <row r="285" spans="4:4" ht="12.75" x14ac:dyDescent="0.2">
      <c r="D285"/>
    </row>
    <row r="286" spans="4:4" ht="12.75" x14ac:dyDescent="0.2">
      <c r="D286"/>
    </row>
    <row r="287" spans="4:4" ht="12.75" x14ac:dyDescent="0.2">
      <c r="D287"/>
    </row>
    <row r="288" spans="4:4" ht="12.75" x14ac:dyDescent="0.2">
      <c r="D288"/>
    </row>
    <row r="289" spans="4:4" ht="12.75" x14ac:dyDescent="0.2">
      <c r="D289"/>
    </row>
    <row r="290" spans="4:4" ht="12.75" x14ac:dyDescent="0.2">
      <c r="D290"/>
    </row>
    <row r="291" spans="4:4" ht="12.75" x14ac:dyDescent="0.2">
      <c r="D291"/>
    </row>
    <row r="292" spans="4:4" ht="12.75" x14ac:dyDescent="0.2">
      <c r="D292"/>
    </row>
    <row r="293" spans="4:4" ht="12.75" x14ac:dyDescent="0.2">
      <c r="D293"/>
    </row>
    <row r="294" spans="4:4" ht="12.75" x14ac:dyDescent="0.2">
      <c r="D294"/>
    </row>
    <row r="295" spans="4:4" ht="12.75" x14ac:dyDescent="0.2">
      <c r="D295"/>
    </row>
    <row r="296" spans="4:4" ht="12.75" x14ac:dyDescent="0.2">
      <c r="D296"/>
    </row>
    <row r="297" spans="4:4" ht="12.75" x14ac:dyDescent="0.2">
      <c r="D297"/>
    </row>
    <row r="298" spans="4:4" ht="12.75" x14ac:dyDescent="0.2">
      <c r="D298"/>
    </row>
    <row r="299" spans="4:4" ht="12.75" x14ac:dyDescent="0.2">
      <c r="D299"/>
    </row>
    <row r="300" spans="4:4" ht="12.75" x14ac:dyDescent="0.2">
      <c r="D300"/>
    </row>
    <row r="301" spans="4:4" ht="12.75" x14ac:dyDescent="0.2">
      <c r="D301"/>
    </row>
    <row r="302" spans="4:4" ht="12.75" x14ac:dyDescent="0.2">
      <c r="D302"/>
    </row>
    <row r="303" spans="4:4" ht="12.75" x14ac:dyDescent="0.2">
      <c r="D303"/>
    </row>
    <row r="304" spans="4:4" ht="12.75" x14ac:dyDescent="0.2">
      <c r="D304"/>
    </row>
    <row r="305" spans="4:4" ht="12.75" x14ac:dyDescent="0.2">
      <c r="D305"/>
    </row>
    <row r="306" spans="4:4" ht="12.75" x14ac:dyDescent="0.2">
      <c r="D306"/>
    </row>
    <row r="307" spans="4:4" ht="12.75" x14ac:dyDescent="0.2">
      <c r="D307"/>
    </row>
    <row r="308" spans="4:4" ht="12.75" x14ac:dyDescent="0.2">
      <c r="D308"/>
    </row>
    <row r="309" spans="4:4" ht="12.75" x14ac:dyDescent="0.2">
      <c r="D309"/>
    </row>
    <row r="310" spans="4:4" ht="12.75" x14ac:dyDescent="0.2">
      <c r="D310"/>
    </row>
    <row r="311" spans="4:4" ht="12.75" x14ac:dyDescent="0.2">
      <c r="D311"/>
    </row>
    <row r="312" spans="4:4" ht="12.75" x14ac:dyDescent="0.2">
      <c r="D312"/>
    </row>
    <row r="313" spans="4:4" ht="12.75" x14ac:dyDescent="0.2">
      <c r="D313"/>
    </row>
    <row r="314" spans="4:4" ht="12.75" x14ac:dyDescent="0.2">
      <c r="D314"/>
    </row>
    <row r="315" spans="4:4" ht="12.75" x14ac:dyDescent="0.2">
      <c r="D315"/>
    </row>
    <row r="316" spans="4:4" ht="12.75" x14ac:dyDescent="0.2">
      <c r="D316"/>
    </row>
    <row r="317" spans="4:4" ht="12.75" x14ac:dyDescent="0.2">
      <c r="D317"/>
    </row>
    <row r="318" spans="4:4" ht="12.75" x14ac:dyDescent="0.2">
      <c r="D318"/>
    </row>
    <row r="319" spans="4:4" ht="12.75" x14ac:dyDescent="0.2">
      <c r="D319"/>
    </row>
    <row r="320" spans="4:4" ht="12.75" x14ac:dyDescent="0.2">
      <c r="D320"/>
    </row>
    <row r="321" spans="4:4" ht="12.75" x14ac:dyDescent="0.2">
      <c r="D321"/>
    </row>
    <row r="322" spans="4:4" ht="12.75" x14ac:dyDescent="0.2">
      <c r="D322"/>
    </row>
    <row r="323" spans="4:4" ht="12.75" x14ac:dyDescent="0.2">
      <c r="D323"/>
    </row>
    <row r="324" spans="4:4" ht="12.75" x14ac:dyDescent="0.2">
      <c r="D324"/>
    </row>
    <row r="325" spans="4:4" ht="12.75" x14ac:dyDescent="0.2">
      <c r="D325"/>
    </row>
    <row r="326" spans="4:4" ht="12.75" x14ac:dyDescent="0.2">
      <c r="D326"/>
    </row>
    <row r="327" spans="4:4" ht="12.75" x14ac:dyDescent="0.2">
      <c r="D327"/>
    </row>
    <row r="328" spans="4:4" ht="12.75" x14ac:dyDescent="0.2">
      <c r="D328"/>
    </row>
    <row r="329" spans="4:4" ht="12.75" x14ac:dyDescent="0.2">
      <c r="D329"/>
    </row>
    <row r="330" spans="4:4" ht="12.75" x14ac:dyDescent="0.2">
      <c r="D330"/>
    </row>
    <row r="331" spans="4:4" ht="12.75" x14ac:dyDescent="0.2">
      <c r="D331"/>
    </row>
    <row r="332" spans="4:4" ht="12.75" x14ac:dyDescent="0.2">
      <c r="D332"/>
    </row>
    <row r="333" spans="4:4" ht="12.75" x14ac:dyDescent="0.2">
      <c r="D333"/>
    </row>
    <row r="334" spans="4:4" ht="12.75" x14ac:dyDescent="0.2">
      <c r="D334"/>
    </row>
    <row r="335" spans="4:4" ht="12.75" x14ac:dyDescent="0.2">
      <c r="D335"/>
    </row>
    <row r="336" spans="4:4" ht="12.75" x14ac:dyDescent="0.2">
      <c r="D336"/>
    </row>
    <row r="337" spans="4:4" ht="12.75" x14ac:dyDescent="0.2">
      <c r="D337"/>
    </row>
    <row r="338" spans="4:4" ht="12.75" x14ac:dyDescent="0.2">
      <c r="D338"/>
    </row>
    <row r="339" spans="4:4" ht="12.75" x14ac:dyDescent="0.2">
      <c r="D339"/>
    </row>
    <row r="340" spans="4:4" ht="12.75" x14ac:dyDescent="0.2">
      <c r="D340"/>
    </row>
    <row r="341" spans="4:4" ht="12.75" x14ac:dyDescent="0.2">
      <c r="D341"/>
    </row>
    <row r="342" spans="4:4" ht="12.75" x14ac:dyDescent="0.2">
      <c r="D342"/>
    </row>
    <row r="343" spans="4:4" ht="12.75" x14ac:dyDescent="0.2">
      <c r="D343"/>
    </row>
    <row r="344" spans="4:4" ht="12.75" x14ac:dyDescent="0.2">
      <c r="D344"/>
    </row>
    <row r="345" spans="4:4" ht="12.75" x14ac:dyDescent="0.2">
      <c r="D345"/>
    </row>
    <row r="346" spans="4:4" ht="12.75" x14ac:dyDescent="0.2">
      <c r="D346"/>
    </row>
    <row r="347" spans="4:4" ht="12.75" x14ac:dyDescent="0.2">
      <c r="D347"/>
    </row>
    <row r="348" spans="4:4" ht="12.75" x14ac:dyDescent="0.2">
      <c r="D348"/>
    </row>
    <row r="349" spans="4:4" ht="12.75" x14ac:dyDescent="0.2">
      <c r="D349"/>
    </row>
    <row r="350" spans="4:4" ht="12.75" x14ac:dyDescent="0.2">
      <c r="D350"/>
    </row>
    <row r="351" spans="4:4" ht="12.75" x14ac:dyDescent="0.2">
      <c r="D351"/>
    </row>
    <row r="352" spans="4:4" ht="12.75" x14ac:dyDescent="0.2">
      <c r="D352"/>
    </row>
    <row r="353" spans="4:4" ht="12.75" x14ac:dyDescent="0.2">
      <c r="D353"/>
    </row>
    <row r="354" spans="4:4" ht="12.75" x14ac:dyDescent="0.2">
      <c r="D354"/>
    </row>
    <row r="355" spans="4:4" ht="12.75" x14ac:dyDescent="0.2">
      <c r="D355"/>
    </row>
    <row r="356" spans="4:4" ht="12.75" x14ac:dyDescent="0.2">
      <c r="D356"/>
    </row>
    <row r="357" spans="4:4" ht="12.75" x14ac:dyDescent="0.2">
      <c r="D357"/>
    </row>
    <row r="358" spans="4:4" ht="12.75" x14ac:dyDescent="0.2">
      <c r="D358"/>
    </row>
    <row r="359" spans="4:4" ht="12.75" x14ac:dyDescent="0.2">
      <c r="D359"/>
    </row>
    <row r="360" spans="4:4" ht="12.75" x14ac:dyDescent="0.2">
      <c r="D360"/>
    </row>
    <row r="361" spans="4:4" ht="12.75" x14ac:dyDescent="0.2">
      <c r="D361"/>
    </row>
    <row r="362" spans="4:4" ht="12.75" x14ac:dyDescent="0.2">
      <c r="D362"/>
    </row>
    <row r="363" spans="4:4" ht="12.75" x14ac:dyDescent="0.2">
      <c r="D363"/>
    </row>
    <row r="364" spans="4:4" ht="12.75" x14ac:dyDescent="0.2">
      <c r="D364"/>
    </row>
    <row r="365" spans="4:4" ht="12.75" x14ac:dyDescent="0.2">
      <c r="D365"/>
    </row>
    <row r="366" spans="4:4" ht="12.75" x14ac:dyDescent="0.2">
      <c r="D366"/>
    </row>
    <row r="367" spans="4:4" ht="12.75" x14ac:dyDescent="0.2">
      <c r="D367"/>
    </row>
    <row r="368" spans="4:4" ht="12.75" x14ac:dyDescent="0.2">
      <c r="D368"/>
    </row>
    <row r="369" spans="4:4" ht="12.75" x14ac:dyDescent="0.2">
      <c r="D369"/>
    </row>
    <row r="370" spans="4:4" ht="12.75" x14ac:dyDescent="0.2">
      <c r="D370"/>
    </row>
    <row r="371" spans="4:4" ht="12.75" x14ac:dyDescent="0.2">
      <c r="D371"/>
    </row>
    <row r="372" spans="4:4" ht="12.75" x14ac:dyDescent="0.2">
      <c r="D372"/>
    </row>
    <row r="373" spans="4:4" ht="12.75" x14ac:dyDescent="0.2">
      <c r="D373"/>
    </row>
    <row r="374" spans="4:4" ht="12.75" x14ac:dyDescent="0.2">
      <c r="D374"/>
    </row>
    <row r="375" spans="4:4" ht="12.75" x14ac:dyDescent="0.2">
      <c r="D375"/>
    </row>
    <row r="376" spans="4:4" ht="12.75" x14ac:dyDescent="0.2">
      <c r="D376"/>
    </row>
    <row r="377" spans="4:4" ht="12.75" x14ac:dyDescent="0.2">
      <c r="D377"/>
    </row>
    <row r="378" spans="4:4" ht="12.75" x14ac:dyDescent="0.2">
      <c r="D378"/>
    </row>
    <row r="379" spans="4:4" ht="12.75" x14ac:dyDescent="0.2">
      <c r="D379"/>
    </row>
    <row r="380" spans="4:4" ht="12.75" x14ac:dyDescent="0.2">
      <c r="D380"/>
    </row>
    <row r="381" spans="4:4" ht="12.75" x14ac:dyDescent="0.2">
      <c r="D381"/>
    </row>
    <row r="382" spans="4:4" ht="12.75" x14ac:dyDescent="0.2">
      <c r="D382"/>
    </row>
    <row r="383" spans="4:4" ht="12.75" x14ac:dyDescent="0.2">
      <c r="D383"/>
    </row>
    <row r="384" spans="4:4" ht="12.75" x14ac:dyDescent="0.2">
      <c r="D384"/>
    </row>
    <row r="385" spans="4:4" ht="12.75" x14ac:dyDescent="0.2">
      <c r="D385"/>
    </row>
    <row r="386" spans="4:4" ht="12.75" x14ac:dyDescent="0.2">
      <c r="D386"/>
    </row>
    <row r="387" spans="4:4" ht="12.75" x14ac:dyDescent="0.2">
      <c r="D387"/>
    </row>
    <row r="388" spans="4:4" ht="12.75" x14ac:dyDescent="0.2">
      <c r="D388"/>
    </row>
    <row r="389" spans="4:4" ht="12.75" x14ac:dyDescent="0.2">
      <c r="D389"/>
    </row>
    <row r="390" spans="4:4" ht="12.75" x14ac:dyDescent="0.2">
      <c r="D390"/>
    </row>
    <row r="391" spans="4:4" ht="12.75" x14ac:dyDescent="0.2">
      <c r="D391"/>
    </row>
    <row r="392" spans="4:4" ht="12.75" x14ac:dyDescent="0.2">
      <c r="D392"/>
    </row>
    <row r="393" spans="4:4" ht="12.75" x14ac:dyDescent="0.2">
      <c r="D393"/>
    </row>
    <row r="394" spans="4:4" ht="12.75" x14ac:dyDescent="0.2">
      <c r="D394"/>
    </row>
    <row r="395" spans="4:4" ht="12.75" x14ac:dyDescent="0.2">
      <c r="D395"/>
    </row>
    <row r="396" spans="4:4" ht="12.75" x14ac:dyDescent="0.2">
      <c r="D396"/>
    </row>
    <row r="397" spans="4:4" ht="12.75" x14ac:dyDescent="0.2">
      <c r="D397"/>
    </row>
    <row r="398" spans="4:4" ht="12.75" x14ac:dyDescent="0.2">
      <c r="D398"/>
    </row>
    <row r="399" spans="4:4" ht="12.75" x14ac:dyDescent="0.2">
      <c r="D399"/>
    </row>
    <row r="400" spans="4:4" ht="12.75" x14ac:dyDescent="0.2">
      <c r="D400"/>
    </row>
    <row r="401" spans="4:4" ht="12.75" x14ac:dyDescent="0.2">
      <c r="D401"/>
    </row>
    <row r="402" spans="4:4" ht="12.75" x14ac:dyDescent="0.2">
      <c r="D402"/>
    </row>
    <row r="403" spans="4:4" ht="12.75" x14ac:dyDescent="0.2">
      <c r="D403"/>
    </row>
    <row r="404" spans="4:4" ht="12.75" x14ac:dyDescent="0.2">
      <c r="D404"/>
    </row>
    <row r="405" spans="4:4" ht="12.75" x14ac:dyDescent="0.2">
      <c r="D405"/>
    </row>
    <row r="406" spans="4:4" ht="12.75" x14ac:dyDescent="0.2">
      <c r="D406"/>
    </row>
    <row r="407" spans="4:4" ht="12.75" x14ac:dyDescent="0.2">
      <c r="D407"/>
    </row>
    <row r="408" spans="4:4" ht="12.75" x14ac:dyDescent="0.2">
      <c r="D408"/>
    </row>
    <row r="409" spans="4:4" ht="12.75" x14ac:dyDescent="0.2">
      <c r="D409"/>
    </row>
    <row r="410" spans="4:4" ht="12.75" x14ac:dyDescent="0.2">
      <c r="D410"/>
    </row>
    <row r="411" spans="4:4" ht="12.75" x14ac:dyDescent="0.2">
      <c r="D411"/>
    </row>
    <row r="412" spans="4:4" ht="12.75" x14ac:dyDescent="0.2">
      <c r="D412"/>
    </row>
    <row r="413" spans="4:4" ht="12.75" x14ac:dyDescent="0.2">
      <c r="D413"/>
    </row>
    <row r="414" spans="4:4" ht="12.75" x14ac:dyDescent="0.2">
      <c r="D414"/>
    </row>
    <row r="415" spans="4:4" ht="12.75" x14ac:dyDescent="0.2">
      <c r="D415"/>
    </row>
    <row r="416" spans="4:4" ht="12.75" x14ac:dyDescent="0.2">
      <c r="D416"/>
    </row>
    <row r="417" spans="4:4" ht="12.75" x14ac:dyDescent="0.2">
      <c r="D417"/>
    </row>
    <row r="418" spans="4:4" ht="12.75" x14ac:dyDescent="0.2">
      <c r="D418"/>
    </row>
    <row r="419" spans="4:4" ht="12.75" x14ac:dyDescent="0.2">
      <c r="D419"/>
    </row>
    <row r="420" spans="4:4" ht="12.75" x14ac:dyDescent="0.2">
      <c r="D420"/>
    </row>
    <row r="421" spans="4:4" ht="12.75" x14ac:dyDescent="0.2">
      <c r="D421"/>
    </row>
    <row r="422" spans="4:4" ht="12.75" x14ac:dyDescent="0.2">
      <c r="D422"/>
    </row>
    <row r="423" spans="4:4" ht="12.75" x14ac:dyDescent="0.2">
      <c r="D423"/>
    </row>
    <row r="424" spans="4:4" ht="12.75" x14ac:dyDescent="0.2">
      <c r="D424"/>
    </row>
    <row r="425" spans="4:4" ht="12.75" x14ac:dyDescent="0.2">
      <c r="D425"/>
    </row>
    <row r="426" spans="4:4" ht="12.75" x14ac:dyDescent="0.2">
      <c r="D426"/>
    </row>
    <row r="427" spans="4:4" ht="12.75" x14ac:dyDescent="0.2">
      <c r="D427"/>
    </row>
    <row r="428" spans="4:4" ht="12.75" x14ac:dyDescent="0.2">
      <c r="D428"/>
    </row>
    <row r="429" spans="4:4" ht="12.75" x14ac:dyDescent="0.2">
      <c r="D429"/>
    </row>
    <row r="430" spans="4:4" ht="12.75" x14ac:dyDescent="0.2">
      <c r="D430"/>
    </row>
    <row r="431" spans="4:4" ht="12.75" x14ac:dyDescent="0.2">
      <c r="D431"/>
    </row>
    <row r="432" spans="4:4" ht="12.75" x14ac:dyDescent="0.2">
      <c r="D432"/>
    </row>
    <row r="433" spans="4:4" ht="12.75" x14ac:dyDescent="0.2">
      <c r="D433"/>
    </row>
    <row r="434" spans="4:4" ht="12.75" x14ac:dyDescent="0.2">
      <c r="D434"/>
    </row>
    <row r="435" spans="4:4" ht="12.75" x14ac:dyDescent="0.2">
      <c r="D435"/>
    </row>
    <row r="436" spans="4:4" ht="12.75" x14ac:dyDescent="0.2">
      <c r="D436"/>
    </row>
    <row r="437" spans="4:4" ht="12.75" x14ac:dyDescent="0.2">
      <c r="D437"/>
    </row>
    <row r="438" spans="4:4" ht="12.75" x14ac:dyDescent="0.2">
      <c r="D438"/>
    </row>
    <row r="439" spans="4:4" ht="12.75" x14ac:dyDescent="0.2">
      <c r="D439"/>
    </row>
    <row r="440" spans="4:4" ht="12.75" x14ac:dyDescent="0.2">
      <c r="D440"/>
    </row>
    <row r="441" spans="4:4" ht="12.75" x14ac:dyDescent="0.2">
      <c r="D441"/>
    </row>
    <row r="442" spans="4:4" ht="12.75" x14ac:dyDescent="0.2">
      <c r="D442"/>
    </row>
    <row r="443" spans="4:4" ht="12.75" x14ac:dyDescent="0.2">
      <c r="D443"/>
    </row>
    <row r="444" spans="4:4" ht="12.75" x14ac:dyDescent="0.2">
      <c r="D444"/>
    </row>
    <row r="445" spans="4:4" ht="12.75" x14ac:dyDescent="0.2">
      <c r="D445"/>
    </row>
    <row r="446" spans="4:4" ht="12.75" x14ac:dyDescent="0.2">
      <c r="D446"/>
    </row>
    <row r="447" spans="4:4" ht="12.75" x14ac:dyDescent="0.2">
      <c r="D447"/>
    </row>
    <row r="448" spans="4:4" ht="12.75" x14ac:dyDescent="0.2">
      <c r="D448"/>
    </row>
    <row r="449" spans="4:4" ht="12.75" x14ac:dyDescent="0.2">
      <c r="D449"/>
    </row>
    <row r="450" spans="4:4" ht="12.75" x14ac:dyDescent="0.2">
      <c r="D450"/>
    </row>
    <row r="451" spans="4:4" ht="12.75" x14ac:dyDescent="0.2">
      <c r="D451"/>
    </row>
    <row r="452" spans="4:4" ht="12.75" x14ac:dyDescent="0.2">
      <c r="D452"/>
    </row>
    <row r="453" spans="4:4" ht="12.75" x14ac:dyDescent="0.2">
      <c r="D453"/>
    </row>
    <row r="454" spans="4:4" ht="12.75" x14ac:dyDescent="0.2">
      <c r="D454"/>
    </row>
    <row r="455" spans="4:4" ht="12.75" x14ac:dyDescent="0.2">
      <c r="D455"/>
    </row>
    <row r="456" spans="4:4" ht="12.75" x14ac:dyDescent="0.2">
      <c r="D456"/>
    </row>
    <row r="457" spans="4:4" ht="12.75" x14ac:dyDescent="0.2">
      <c r="D457"/>
    </row>
    <row r="458" spans="4:4" ht="12.75" x14ac:dyDescent="0.2">
      <c r="D458"/>
    </row>
    <row r="459" spans="4:4" ht="12.75" x14ac:dyDescent="0.2">
      <c r="D459"/>
    </row>
    <row r="460" spans="4:4" ht="12.75" x14ac:dyDescent="0.2">
      <c r="D460"/>
    </row>
    <row r="461" spans="4:4" ht="12.75" x14ac:dyDescent="0.2">
      <c r="D461"/>
    </row>
    <row r="462" spans="4:4" ht="12.75" x14ac:dyDescent="0.2">
      <c r="D462"/>
    </row>
    <row r="463" spans="4:4" ht="12.75" x14ac:dyDescent="0.2">
      <c r="D463"/>
    </row>
    <row r="464" spans="4:4" ht="12.75" x14ac:dyDescent="0.2">
      <c r="D464"/>
    </row>
    <row r="465" spans="4:4" ht="12.75" x14ac:dyDescent="0.2">
      <c r="D465"/>
    </row>
    <row r="466" spans="4:4" ht="12.75" x14ac:dyDescent="0.2">
      <c r="D466"/>
    </row>
    <row r="467" spans="4:4" ht="12.75" x14ac:dyDescent="0.2">
      <c r="D467"/>
    </row>
    <row r="468" spans="4:4" ht="12.75" x14ac:dyDescent="0.2">
      <c r="D468"/>
    </row>
    <row r="469" spans="4:4" ht="12.75" x14ac:dyDescent="0.2">
      <c r="D469"/>
    </row>
    <row r="470" spans="4:4" ht="12.75" x14ac:dyDescent="0.2">
      <c r="D470"/>
    </row>
    <row r="471" spans="4:4" ht="12.75" x14ac:dyDescent="0.2">
      <c r="D471"/>
    </row>
    <row r="472" spans="4:4" ht="12.75" x14ac:dyDescent="0.2">
      <c r="D472"/>
    </row>
    <row r="473" spans="4:4" ht="12.75" x14ac:dyDescent="0.2">
      <c r="D473"/>
    </row>
    <row r="474" spans="4:4" ht="12.75" x14ac:dyDescent="0.2">
      <c r="D474"/>
    </row>
    <row r="475" spans="4:4" ht="12.75" x14ac:dyDescent="0.2">
      <c r="D475"/>
    </row>
    <row r="476" spans="4:4" ht="12.75" x14ac:dyDescent="0.2">
      <c r="D476"/>
    </row>
    <row r="477" spans="4:4" ht="12.75" x14ac:dyDescent="0.2">
      <c r="D477"/>
    </row>
    <row r="478" spans="4:4" ht="12.75" x14ac:dyDescent="0.2">
      <c r="D478"/>
    </row>
    <row r="479" spans="4:4" ht="12.75" x14ac:dyDescent="0.2">
      <c r="D479"/>
    </row>
    <row r="480" spans="4:4" ht="12.75" x14ac:dyDescent="0.2">
      <c r="D480"/>
    </row>
    <row r="481" spans="4:4" ht="12.75" x14ac:dyDescent="0.2">
      <c r="D481"/>
    </row>
    <row r="482" spans="4:4" ht="12.75" x14ac:dyDescent="0.2">
      <c r="D482"/>
    </row>
    <row r="483" spans="4:4" ht="12.75" x14ac:dyDescent="0.2">
      <c r="D483"/>
    </row>
    <row r="484" spans="4:4" ht="12.75" x14ac:dyDescent="0.2">
      <c r="D484"/>
    </row>
    <row r="485" spans="4:4" ht="12.75" x14ac:dyDescent="0.2">
      <c r="D485"/>
    </row>
    <row r="486" spans="4:4" ht="12.75" x14ac:dyDescent="0.2">
      <c r="D486"/>
    </row>
    <row r="487" spans="4:4" ht="12.75" x14ac:dyDescent="0.2">
      <c r="D487"/>
    </row>
    <row r="488" spans="4:4" ht="12.75" x14ac:dyDescent="0.2">
      <c r="D488"/>
    </row>
    <row r="489" spans="4:4" ht="12.75" x14ac:dyDescent="0.2">
      <c r="D489"/>
    </row>
    <row r="490" spans="4:4" ht="12.75" x14ac:dyDescent="0.2">
      <c r="D490"/>
    </row>
    <row r="491" spans="4:4" ht="12.75" x14ac:dyDescent="0.2">
      <c r="D491"/>
    </row>
    <row r="492" spans="4:4" ht="12.75" x14ac:dyDescent="0.2">
      <c r="D492"/>
    </row>
    <row r="493" spans="4:4" ht="12.75" x14ac:dyDescent="0.2">
      <c r="D493"/>
    </row>
    <row r="494" spans="4:4" ht="12.75" x14ac:dyDescent="0.2">
      <c r="D494"/>
    </row>
    <row r="495" spans="4:4" ht="12.75" x14ac:dyDescent="0.2">
      <c r="D495"/>
    </row>
    <row r="496" spans="4:4" ht="12.75" x14ac:dyDescent="0.2">
      <c r="D496"/>
    </row>
    <row r="497" spans="4:4" ht="12.75" x14ac:dyDescent="0.2">
      <c r="D497"/>
    </row>
    <row r="498" spans="4:4" ht="12.75" x14ac:dyDescent="0.2">
      <c r="D498"/>
    </row>
    <row r="499" spans="4:4" ht="12.75" x14ac:dyDescent="0.2">
      <c r="D499"/>
    </row>
    <row r="500" spans="4:4" ht="12.75" x14ac:dyDescent="0.2">
      <c r="D500"/>
    </row>
    <row r="501" spans="4:4" ht="12.75" x14ac:dyDescent="0.2">
      <c r="D501"/>
    </row>
    <row r="502" spans="4:4" ht="12.75" x14ac:dyDescent="0.2">
      <c r="D502"/>
    </row>
    <row r="503" spans="4:4" ht="12.75" x14ac:dyDescent="0.2">
      <c r="D503"/>
    </row>
    <row r="504" spans="4:4" ht="12.75" x14ac:dyDescent="0.2">
      <c r="D504"/>
    </row>
    <row r="505" spans="4:4" ht="12.75" x14ac:dyDescent="0.2">
      <c r="D505"/>
    </row>
    <row r="506" spans="4:4" ht="12.75" x14ac:dyDescent="0.2">
      <c r="D506"/>
    </row>
    <row r="507" spans="4:4" ht="12.75" x14ac:dyDescent="0.2">
      <c r="D507"/>
    </row>
    <row r="508" spans="4:4" ht="12.75" x14ac:dyDescent="0.2">
      <c r="D508"/>
    </row>
    <row r="509" spans="4:4" ht="12.75" x14ac:dyDescent="0.2">
      <c r="D509"/>
    </row>
    <row r="510" spans="4:4" ht="12.75" x14ac:dyDescent="0.2">
      <c r="D510"/>
    </row>
    <row r="511" spans="4:4" ht="12.75" x14ac:dyDescent="0.2">
      <c r="D511"/>
    </row>
    <row r="512" spans="4:4" ht="12.75" x14ac:dyDescent="0.2">
      <c r="D512"/>
    </row>
    <row r="513" spans="4:4" ht="12.75" x14ac:dyDescent="0.2">
      <c r="D513"/>
    </row>
    <row r="514" spans="4:4" ht="12.75" x14ac:dyDescent="0.2">
      <c r="D514"/>
    </row>
    <row r="515" spans="4:4" ht="12.75" x14ac:dyDescent="0.2">
      <c r="D515"/>
    </row>
    <row r="516" spans="4:4" ht="12.75" x14ac:dyDescent="0.2">
      <c r="D516"/>
    </row>
    <row r="517" spans="4:4" ht="12.75" x14ac:dyDescent="0.2">
      <c r="D517"/>
    </row>
    <row r="518" spans="4:4" ht="12.75" x14ac:dyDescent="0.2">
      <c r="D518"/>
    </row>
    <row r="519" spans="4:4" ht="12.75" x14ac:dyDescent="0.2">
      <c r="D519"/>
    </row>
    <row r="520" spans="4:4" ht="12.75" x14ac:dyDescent="0.2">
      <c r="D520"/>
    </row>
    <row r="521" spans="4:4" ht="12.75" x14ac:dyDescent="0.2">
      <c r="D521"/>
    </row>
    <row r="522" spans="4:4" ht="12.75" x14ac:dyDescent="0.2">
      <c r="D522"/>
    </row>
    <row r="523" spans="4:4" ht="12.75" x14ac:dyDescent="0.2">
      <c r="D523"/>
    </row>
    <row r="524" spans="4:4" ht="12.75" x14ac:dyDescent="0.2">
      <c r="D524"/>
    </row>
    <row r="525" spans="4:4" ht="12.75" x14ac:dyDescent="0.2">
      <c r="D525"/>
    </row>
    <row r="526" spans="4:4" ht="12.75" x14ac:dyDescent="0.2">
      <c r="D526"/>
    </row>
    <row r="527" spans="4:4" ht="12.75" x14ac:dyDescent="0.2">
      <c r="D527"/>
    </row>
    <row r="528" spans="4:4" ht="12.75" x14ac:dyDescent="0.2">
      <c r="D528"/>
    </row>
    <row r="529" spans="4:4" ht="12.75" x14ac:dyDescent="0.2">
      <c r="D529"/>
    </row>
    <row r="530" spans="4:4" ht="12.75" x14ac:dyDescent="0.2">
      <c r="D530"/>
    </row>
    <row r="531" spans="4:4" ht="12.75" x14ac:dyDescent="0.2">
      <c r="D531"/>
    </row>
    <row r="532" spans="4:4" ht="12.75" x14ac:dyDescent="0.2">
      <c r="D532"/>
    </row>
    <row r="533" spans="4:4" ht="12.75" x14ac:dyDescent="0.2">
      <c r="D533"/>
    </row>
    <row r="534" spans="4:4" ht="12.75" x14ac:dyDescent="0.2">
      <c r="D534"/>
    </row>
    <row r="535" spans="4:4" ht="12.75" x14ac:dyDescent="0.2">
      <c r="D535"/>
    </row>
    <row r="536" spans="4:4" ht="12.75" x14ac:dyDescent="0.2">
      <c r="D536"/>
    </row>
    <row r="537" spans="4:4" ht="12.75" x14ac:dyDescent="0.2">
      <c r="D537"/>
    </row>
    <row r="538" spans="4:4" ht="12.75" x14ac:dyDescent="0.2">
      <c r="D538"/>
    </row>
    <row r="539" spans="4:4" ht="12.75" x14ac:dyDescent="0.2">
      <c r="D539"/>
    </row>
    <row r="540" spans="4:4" ht="12.75" x14ac:dyDescent="0.2">
      <c r="D540"/>
    </row>
    <row r="541" spans="4:4" ht="12.75" x14ac:dyDescent="0.2">
      <c r="D541"/>
    </row>
    <row r="542" spans="4:4" ht="12.75" x14ac:dyDescent="0.2">
      <c r="D542"/>
    </row>
    <row r="543" spans="4:4" ht="12.75" x14ac:dyDescent="0.2">
      <c r="D543"/>
    </row>
    <row r="544" spans="4:4" ht="12.75" x14ac:dyDescent="0.2">
      <c r="D544"/>
    </row>
    <row r="545" spans="4:4" ht="12.75" x14ac:dyDescent="0.2">
      <c r="D545"/>
    </row>
    <row r="546" spans="4:4" ht="12.75" x14ac:dyDescent="0.2">
      <c r="D546"/>
    </row>
    <row r="547" spans="4:4" ht="12.75" x14ac:dyDescent="0.2">
      <c r="D547"/>
    </row>
    <row r="548" spans="4:4" ht="12.75" x14ac:dyDescent="0.2">
      <c r="D548"/>
    </row>
    <row r="549" spans="4:4" ht="12.75" x14ac:dyDescent="0.2">
      <c r="D549"/>
    </row>
    <row r="550" spans="4:4" ht="12.75" x14ac:dyDescent="0.2">
      <c r="D550"/>
    </row>
    <row r="551" spans="4:4" ht="12.75" x14ac:dyDescent="0.2">
      <c r="D551"/>
    </row>
    <row r="552" spans="4:4" ht="12.75" x14ac:dyDescent="0.2">
      <c r="D552"/>
    </row>
    <row r="553" spans="4:4" ht="12.75" x14ac:dyDescent="0.2">
      <c r="D553"/>
    </row>
    <row r="554" spans="4:4" ht="12.75" x14ac:dyDescent="0.2">
      <c r="D554"/>
    </row>
    <row r="555" spans="4:4" ht="12.75" x14ac:dyDescent="0.2">
      <c r="D555"/>
    </row>
    <row r="556" spans="4:4" ht="12.75" x14ac:dyDescent="0.2">
      <c r="D556"/>
    </row>
    <row r="557" spans="4:4" ht="12.75" x14ac:dyDescent="0.2">
      <c r="D557"/>
    </row>
    <row r="558" spans="4:4" ht="12.75" x14ac:dyDescent="0.2">
      <c r="D558"/>
    </row>
    <row r="559" spans="4:4" ht="12.75" x14ac:dyDescent="0.2">
      <c r="D559"/>
    </row>
    <row r="560" spans="4:4" ht="12.75" x14ac:dyDescent="0.2">
      <c r="D560"/>
    </row>
    <row r="561" spans="4:4" ht="12.75" x14ac:dyDescent="0.2">
      <c r="D561"/>
    </row>
    <row r="562" spans="4:4" ht="12.75" x14ac:dyDescent="0.2">
      <c r="D562"/>
    </row>
    <row r="563" spans="4:4" ht="12.75" x14ac:dyDescent="0.2">
      <c r="D563"/>
    </row>
    <row r="564" spans="4:4" ht="12.75" x14ac:dyDescent="0.2">
      <c r="D564"/>
    </row>
    <row r="565" spans="4:4" ht="12.75" x14ac:dyDescent="0.2">
      <c r="D565"/>
    </row>
    <row r="566" spans="4:4" ht="12.75" x14ac:dyDescent="0.2">
      <c r="D566"/>
    </row>
    <row r="567" spans="4:4" ht="12.75" x14ac:dyDescent="0.2">
      <c r="D567"/>
    </row>
    <row r="568" spans="4:4" ht="12.75" x14ac:dyDescent="0.2">
      <c r="D568"/>
    </row>
    <row r="569" spans="4:4" ht="12.75" x14ac:dyDescent="0.2">
      <c r="D569"/>
    </row>
    <row r="570" spans="4:4" ht="12.75" x14ac:dyDescent="0.2">
      <c r="D570"/>
    </row>
    <row r="571" spans="4:4" ht="12.75" x14ac:dyDescent="0.2">
      <c r="D571"/>
    </row>
    <row r="572" spans="4:4" ht="12.75" x14ac:dyDescent="0.2">
      <c r="D572"/>
    </row>
    <row r="573" spans="4:4" ht="12.75" x14ac:dyDescent="0.2">
      <c r="D573"/>
    </row>
    <row r="574" spans="4:4" ht="12.75" x14ac:dyDescent="0.2">
      <c r="D574"/>
    </row>
    <row r="575" spans="4:4" ht="12.75" x14ac:dyDescent="0.2">
      <c r="D575"/>
    </row>
    <row r="576" spans="4:4" ht="12.75" x14ac:dyDescent="0.2">
      <c r="D576"/>
    </row>
    <row r="577" spans="4:4" ht="12.75" x14ac:dyDescent="0.2">
      <c r="D577"/>
    </row>
    <row r="578" spans="4:4" ht="12.75" x14ac:dyDescent="0.2">
      <c r="D578"/>
    </row>
    <row r="579" spans="4:4" ht="12.75" x14ac:dyDescent="0.2">
      <c r="D579"/>
    </row>
    <row r="580" spans="4:4" ht="12.75" x14ac:dyDescent="0.2">
      <c r="D580"/>
    </row>
    <row r="581" spans="4:4" ht="12.75" x14ac:dyDescent="0.2">
      <c r="D581"/>
    </row>
    <row r="582" spans="4:4" ht="12.75" x14ac:dyDescent="0.2">
      <c r="D582"/>
    </row>
    <row r="583" spans="4:4" ht="12.75" x14ac:dyDescent="0.2">
      <c r="D583"/>
    </row>
    <row r="584" spans="4:4" ht="12.75" x14ac:dyDescent="0.2">
      <c r="D584"/>
    </row>
    <row r="585" spans="4:4" ht="12.75" x14ac:dyDescent="0.2">
      <c r="D585"/>
    </row>
    <row r="586" spans="4:4" ht="12.75" x14ac:dyDescent="0.2">
      <c r="D586"/>
    </row>
    <row r="587" spans="4:4" ht="12.75" x14ac:dyDescent="0.2">
      <c r="D587"/>
    </row>
    <row r="588" spans="4:4" ht="12.75" x14ac:dyDescent="0.2">
      <c r="D588"/>
    </row>
    <row r="589" spans="4:4" ht="12.75" x14ac:dyDescent="0.2">
      <c r="D589"/>
    </row>
    <row r="590" spans="4:4" ht="12.75" x14ac:dyDescent="0.2">
      <c r="D590"/>
    </row>
    <row r="591" spans="4:4" ht="12.75" x14ac:dyDescent="0.2">
      <c r="D591"/>
    </row>
    <row r="592" spans="4:4" ht="12.75" x14ac:dyDescent="0.2">
      <c r="D592"/>
    </row>
    <row r="593" spans="4:4" ht="12.75" x14ac:dyDescent="0.2">
      <c r="D593"/>
    </row>
    <row r="594" spans="4:4" ht="12.75" x14ac:dyDescent="0.2">
      <c r="D594"/>
    </row>
    <row r="595" spans="4:4" ht="12.75" x14ac:dyDescent="0.2">
      <c r="D595"/>
    </row>
    <row r="596" spans="4:4" ht="12.75" x14ac:dyDescent="0.2">
      <c r="D596"/>
    </row>
    <row r="597" spans="4:4" ht="12.75" x14ac:dyDescent="0.2">
      <c r="D597"/>
    </row>
    <row r="598" spans="4:4" ht="12.75" x14ac:dyDescent="0.2">
      <c r="D598"/>
    </row>
    <row r="599" spans="4:4" ht="12.75" x14ac:dyDescent="0.2">
      <c r="D599"/>
    </row>
    <row r="600" spans="4:4" ht="12.75" x14ac:dyDescent="0.2">
      <c r="D600"/>
    </row>
    <row r="601" spans="4:4" ht="12.75" x14ac:dyDescent="0.2">
      <c r="D601"/>
    </row>
    <row r="602" spans="4:4" ht="12.75" x14ac:dyDescent="0.2">
      <c r="D602"/>
    </row>
    <row r="603" spans="4:4" ht="12.75" x14ac:dyDescent="0.2">
      <c r="D603"/>
    </row>
    <row r="604" spans="4:4" ht="12.75" x14ac:dyDescent="0.2">
      <c r="D604"/>
    </row>
    <row r="605" spans="4:4" ht="12.75" x14ac:dyDescent="0.2">
      <c r="D605"/>
    </row>
    <row r="606" spans="4:4" ht="12.75" x14ac:dyDescent="0.2">
      <c r="D606"/>
    </row>
    <row r="607" spans="4:4" ht="12.75" x14ac:dyDescent="0.2">
      <c r="D607"/>
    </row>
    <row r="608" spans="4:4" ht="12.75" x14ac:dyDescent="0.2">
      <c r="D608"/>
    </row>
    <row r="609" spans="4:4" ht="12.75" x14ac:dyDescent="0.2">
      <c r="D609"/>
    </row>
    <row r="610" spans="4:4" ht="12.75" x14ac:dyDescent="0.2">
      <c r="D610"/>
    </row>
    <row r="611" spans="4:4" ht="12.75" x14ac:dyDescent="0.2">
      <c r="D611"/>
    </row>
    <row r="612" spans="4:4" ht="12.75" x14ac:dyDescent="0.2">
      <c r="D612"/>
    </row>
    <row r="613" spans="4:4" ht="12.75" x14ac:dyDescent="0.2">
      <c r="D613"/>
    </row>
    <row r="614" spans="4:4" ht="12.75" x14ac:dyDescent="0.2">
      <c r="D614"/>
    </row>
    <row r="615" spans="4:4" ht="12.75" x14ac:dyDescent="0.2">
      <c r="D615"/>
    </row>
    <row r="616" spans="4:4" ht="12.75" x14ac:dyDescent="0.2">
      <c r="D616"/>
    </row>
    <row r="617" spans="4:4" ht="12.75" x14ac:dyDescent="0.2">
      <c r="D617"/>
    </row>
    <row r="618" spans="4:4" ht="12.75" x14ac:dyDescent="0.2">
      <c r="D618"/>
    </row>
    <row r="619" spans="4:4" ht="12.75" x14ac:dyDescent="0.2">
      <c r="D619"/>
    </row>
    <row r="620" spans="4:4" ht="12.75" x14ac:dyDescent="0.2">
      <c r="D620"/>
    </row>
    <row r="621" spans="4:4" ht="12.75" x14ac:dyDescent="0.2">
      <c r="D621"/>
    </row>
    <row r="622" spans="4:4" ht="12.75" x14ac:dyDescent="0.2">
      <c r="D622"/>
    </row>
    <row r="623" spans="4:4" ht="12.75" x14ac:dyDescent="0.2">
      <c r="D623"/>
    </row>
    <row r="624" spans="4:4" ht="12.75" x14ac:dyDescent="0.2">
      <c r="D624"/>
    </row>
    <row r="625" spans="4:4" ht="12.75" x14ac:dyDescent="0.2">
      <c r="D625"/>
    </row>
    <row r="626" spans="4:4" ht="12.75" x14ac:dyDescent="0.2">
      <c r="D626"/>
    </row>
    <row r="627" spans="4:4" ht="12.75" x14ac:dyDescent="0.2">
      <c r="D627"/>
    </row>
    <row r="628" spans="4:4" ht="12.75" x14ac:dyDescent="0.2">
      <c r="D628"/>
    </row>
    <row r="629" spans="4:4" ht="12.75" x14ac:dyDescent="0.2">
      <c r="D629"/>
    </row>
    <row r="630" spans="4:4" ht="12.75" x14ac:dyDescent="0.2">
      <c r="D630"/>
    </row>
    <row r="631" spans="4:4" ht="12.75" x14ac:dyDescent="0.2">
      <c r="D631"/>
    </row>
    <row r="632" spans="4:4" ht="12.75" x14ac:dyDescent="0.2">
      <c r="D632"/>
    </row>
    <row r="633" spans="4:4" ht="12.75" x14ac:dyDescent="0.2">
      <c r="D633"/>
    </row>
    <row r="634" spans="4:4" ht="12.75" x14ac:dyDescent="0.2">
      <c r="D634"/>
    </row>
    <row r="635" spans="4:4" ht="12.75" x14ac:dyDescent="0.2">
      <c r="D635"/>
    </row>
    <row r="636" spans="4:4" ht="12.75" x14ac:dyDescent="0.2">
      <c r="D636"/>
    </row>
    <row r="637" spans="4:4" ht="12.75" x14ac:dyDescent="0.2">
      <c r="D637"/>
    </row>
    <row r="638" spans="4:4" ht="12.75" x14ac:dyDescent="0.2">
      <c r="D638"/>
    </row>
    <row r="639" spans="4:4" ht="12.75" x14ac:dyDescent="0.2">
      <c r="D639"/>
    </row>
    <row r="640" spans="4:4" ht="12.75" x14ac:dyDescent="0.2">
      <c r="D640"/>
    </row>
    <row r="641" spans="4:4" ht="12.75" x14ac:dyDescent="0.2">
      <c r="D641"/>
    </row>
    <row r="642" spans="4:4" ht="12.75" x14ac:dyDescent="0.2">
      <c r="D642"/>
    </row>
    <row r="643" spans="4:4" ht="12.75" x14ac:dyDescent="0.2">
      <c r="D643"/>
    </row>
    <row r="644" spans="4:4" ht="12.75" x14ac:dyDescent="0.2">
      <c r="D644"/>
    </row>
    <row r="645" spans="4:4" ht="12.75" x14ac:dyDescent="0.2">
      <c r="D645"/>
    </row>
    <row r="646" spans="4:4" ht="12.75" x14ac:dyDescent="0.2">
      <c r="D646"/>
    </row>
    <row r="647" spans="4:4" ht="12.75" x14ac:dyDescent="0.2">
      <c r="D647"/>
    </row>
    <row r="648" spans="4:4" ht="12.75" x14ac:dyDescent="0.2">
      <c r="D648"/>
    </row>
    <row r="649" spans="4:4" ht="12.75" x14ac:dyDescent="0.2">
      <c r="D649"/>
    </row>
    <row r="650" spans="4:4" ht="12.75" x14ac:dyDescent="0.2">
      <c r="D650"/>
    </row>
    <row r="651" spans="4:4" ht="12.75" x14ac:dyDescent="0.2">
      <c r="D651"/>
    </row>
    <row r="652" spans="4:4" ht="12.75" x14ac:dyDescent="0.2">
      <c r="D652"/>
    </row>
    <row r="653" spans="4:4" ht="12.75" x14ac:dyDescent="0.2">
      <c r="D653"/>
    </row>
    <row r="654" spans="4:4" ht="12.75" x14ac:dyDescent="0.2">
      <c r="D654"/>
    </row>
    <row r="655" spans="4:4" ht="12.75" x14ac:dyDescent="0.2">
      <c r="D655"/>
    </row>
    <row r="656" spans="4:4" ht="12.75" x14ac:dyDescent="0.2">
      <c r="D656"/>
    </row>
    <row r="657" spans="4:4" ht="12.75" x14ac:dyDescent="0.2">
      <c r="D657"/>
    </row>
    <row r="658" spans="4:4" ht="12.75" x14ac:dyDescent="0.2">
      <c r="D658"/>
    </row>
    <row r="659" spans="4:4" ht="12.75" x14ac:dyDescent="0.2">
      <c r="D659"/>
    </row>
    <row r="660" spans="4:4" ht="12.75" x14ac:dyDescent="0.2">
      <c r="D660"/>
    </row>
    <row r="661" spans="4:4" ht="12.75" x14ac:dyDescent="0.2">
      <c r="D661"/>
    </row>
    <row r="662" spans="4:4" ht="12.75" x14ac:dyDescent="0.2">
      <c r="D662"/>
    </row>
    <row r="663" spans="4:4" ht="12.75" x14ac:dyDescent="0.2">
      <c r="D663"/>
    </row>
    <row r="664" spans="4:4" ht="12.75" x14ac:dyDescent="0.2">
      <c r="D664"/>
    </row>
    <row r="665" spans="4:4" ht="12.75" x14ac:dyDescent="0.2">
      <c r="D665"/>
    </row>
    <row r="666" spans="4:4" ht="12.75" x14ac:dyDescent="0.2">
      <c r="D666"/>
    </row>
    <row r="667" spans="4:4" ht="12.75" x14ac:dyDescent="0.2">
      <c r="D667"/>
    </row>
    <row r="668" spans="4:4" ht="12.75" x14ac:dyDescent="0.2">
      <c r="D668"/>
    </row>
    <row r="669" spans="4:4" ht="12.75" x14ac:dyDescent="0.2">
      <c r="D669"/>
    </row>
    <row r="670" spans="4:4" ht="12.75" x14ac:dyDescent="0.2">
      <c r="D670"/>
    </row>
    <row r="671" spans="4:4" ht="12.75" x14ac:dyDescent="0.2">
      <c r="D671"/>
    </row>
    <row r="672" spans="4:4" ht="12.75" x14ac:dyDescent="0.2">
      <c r="D672"/>
    </row>
    <row r="673" spans="4:4" ht="12.75" x14ac:dyDescent="0.2">
      <c r="D673"/>
    </row>
    <row r="674" spans="4:4" ht="12.75" x14ac:dyDescent="0.2">
      <c r="D674"/>
    </row>
    <row r="675" spans="4:4" ht="12.75" x14ac:dyDescent="0.2">
      <c r="D675"/>
    </row>
    <row r="676" spans="4:4" ht="12.75" x14ac:dyDescent="0.2">
      <c r="D676"/>
    </row>
    <row r="677" spans="4:4" ht="12.75" x14ac:dyDescent="0.2">
      <c r="D677"/>
    </row>
    <row r="678" spans="4:4" ht="12.75" x14ac:dyDescent="0.2">
      <c r="D678"/>
    </row>
    <row r="679" spans="4:4" ht="12.75" x14ac:dyDescent="0.2">
      <c r="D679"/>
    </row>
    <row r="680" spans="4:4" ht="12.75" x14ac:dyDescent="0.2">
      <c r="D680"/>
    </row>
    <row r="681" spans="4:4" ht="12.75" x14ac:dyDescent="0.2">
      <c r="D681"/>
    </row>
    <row r="682" spans="4:4" ht="12.75" x14ac:dyDescent="0.2">
      <c r="D682"/>
    </row>
    <row r="683" spans="4:4" ht="12.75" x14ac:dyDescent="0.2">
      <c r="D683"/>
    </row>
    <row r="684" spans="4:4" ht="12.75" x14ac:dyDescent="0.2">
      <c r="D684"/>
    </row>
    <row r="685" spans="4:4" ht="12.75" x14ac:dyDescent="0.2">
      <c r="D685"/>
    </row>
    <row r="686" spans="4:4" ht="12.75" x14ac:dyDescent="0.2">
      <c r="D686"/>
    </row>
    <row r="687" spans="4:4" ht="12.75" x14ac:dyDescent="0.2">
      <c r="D687"/>
    </row>
    <row r="688" spans="4:4" ht="12.75" x14ac:dyDescent="0.2">
      <c r="D688"/>
    </row>
    <row r="689" spans="4:4" ht="12.75" x14ac:dyDescent="0.2">
      <c r="D689"/>
    </row>
    <row r="690" spans="4:4" ht="12.75" x14ac:dyDescent="0.2">
      <c r="D690"/>
    </row>
    <row r="691" spans="4:4" ht="12.75" x14ac:dyDescent="0.2">
      <c r="D691"/>
    </row>
    <row r="692" spans="4:4" ht="12.75" x14ac:dyDescent="0.2">
      <c r="D692"/>
    </row>
    <row r="693" spans="4:4" ht="12.75" x14ac:dyDescent="0.2">
      <c r="D693"/>
    </row>
    <row r="694" spans="4:4" ht="12.75" x14ac:dyDescent="0.2">
      <c r="D694"/>
    </row>
    <row r="695" spans="4:4" ht="12.75" x14ac:dyDescent="0.2">
      <c r="D695"/>
    </row>
    <row r="696" spans="4:4" ht="12.75" x14ac:dyDescent="0.2">
      <c r="D696"/>
    </row>
    <row r="697" spans="4:4" ht="12.75" x14ac:dyDescent="0.2">
      <c r="D697"/>
    </row>
    <row r="698" spans="4:4" ht="12.75" x14ac:dyDescent="0.2">
      <c r="D698"/>
    </row>
    <row r="699" spans="4:4" ht="12.75" x14ac:dyDescent="0.2">
      <c r="D699"/>
    </row>
    <row r="700" spans="4:4" ht="12.75" x14ac:dyDescent="0.2">
      <c r="D700"/>
    </row>
    <row r="701" spans="4:4" ht="12.75" x14ac:dyDescent="0.2">
      <c r="D701"/>
    </row>
    <row r="702" spans="4:4" ht="12.75" x14ac:dyDescent="0.2">
      <c r="D702"/>
    </row>
    <row r="703" spans="4:4" ht="12.75" x14ac:dyDescent="0.2">
      <c r="D703"/>
    </row>
    <row r="704" spans="4:4" ht="12.75" x14ac:dyDescent="0.2">
      <c r="D704"/>
    </row>
    <row r="705" spans="4:4" ht="12.75" x14ac:dyDescent="0.2">
      <c r="D705"/>
    </row>
    <row r="706" spans="4:4" ht="12.75" x14ac:dyDescent="0.2">
      <c r="D706"/>
    </row>
    <row r="707" spans="4:4" ht="12.75" x14ac:dyDescent="0.2">
      <c r="D707"/>
    </row>
    <row r="708" spans="4:4" ht="12.75" x14ac:dyDescent="0.2">
      <c r="D708"/>
    </row>
    <row r="709" spans="4:4" ht="12.75" x14ac:dyDescent="0.2">
      <c r="D709"/>
    </row>
    <row r="710" spans="4:4" ht="12.75" x14ac:dyDescent="0.2">
      <c r="D710"/>
    </row>
    <row r="711" spans="4:4" ht="12.75" x14ac:dyDescent="0.2">
      <c r="D711"/>
    </row>
    <row r="712" spans="4:4" ht="12.75" x14ac:dyDescent="0.2">
      <c r="D712"/>
    </row>
    <row r="713" spans="4:4" ht="12.75" x14ac:dyDescent="0.2">
      <c r="D713"/>
    </row>
    <row r="714" spans="4:4" ht="12.75" x14ac:dyDescent="0.2">
      <c r="D714"/>
    </row>
    <row r="715" spans="4:4" ht="12.75" x14ac:dyDescent="0.2">
      <c r="D715"/>
    </row>
    <row r="716" spans="4:4" ht="12.75" x14ac:dyDescent="0.2">
      <c r="D716"/>
    </row>
    <row r="717" spans="4:4" ht="12.75" x14ac:dyDescent="0.2">
      <c r="D717"/>
    </row>
    <row r="718" spans="4:4" ht="12.75" x14ac:dyDescent="0.2">
      <c r="D718"/>
    </row>
    <row r="719" spans="4:4" ht="12.75" x14ac:dyDescent="0.2">
      <c r="D719"/>
    </row>
    <row r="720" spans="4:4" ht="12.75" x14ac:dyDescent="0.2">
      <c r="D720"/>
    </row>
    <row r="721" spans="4:4" ht="12.75" x14ac:dyDescent="0.2">
      <c r="D721"/>
    </row>
    <row r="722" spans="4:4" ht="12.75" x14ac:dyDescent="0.2">
      <c r="D722"/>
    </row>
    <row r="723" spans="4:4" ht="12.75" x14ac:dyDescent="0.2">
      <c r="D723"/>
    </row>
    <row r="724" spans="4:4" ht="12.75" x14ac:dyDescent="0.2">
      <c r="D724"/>
    </row>
    <row r="725" spans="4:4" ht="12.75" x14ac:dyDescent="0.2">
      <c r="D725"/>
    </row>
    <row r="726" spans="4:4" ht="12.75" x14ac:dyDescent="0.2">
      <c r="D726"/>
    </row>
    <row r="727" spans="4:4" ht="12.75" x14ac:dyDescent="0.2">
      <c r="D727"/>
    </row>
    <row r="728" spans="4:4" ht="12.75" x14ac:dyDescent="0.2">
      <c r="D728"/>
    </row>
    <row r="729" spans="4:4" ht="12.75" x14ac:dyDescent="0.2">
      <c r="D729"/>
    </row>
    <row r="730" spans="4:4" ht="12.75" x14ac:dyDescent="0.2">
      <c r="D730"/>
    </row>
    <row r="731" spans="4:4" ht="12.75" x14ac:dyDescent="0.2">
      <c r="D731"/>
    </row>
    <row r="732" spans="4:4" ht="12.75" x14ac:dyDescent="0.2">
      <c r="D732"/>
    </row>
    <row r="733" spans="4:4" ht="12.75" x14ac:dyDescent="0.2">
      <c r="D733"/>
    </row>
    <row r="734" spans="4:4" ht="12.75" x14ac:dyDescent="0.2">
      <c r="D734"/>
    </row>
    <row r="735" spans="4:4" ht="12.75" x14ac:dyDescent="0.2">
      <c r="D735"/>
    </row>
    <row r="736" spans="4:4" ht="12.75" x14ac:dyDescent="0.2">
      <c r="D736"/>
    </row>
    <row r="737" spans="4:4" ht="12.75" x14ac:dyDescent="0.2">
      <c r="D737"/>
    </row>
    <row r="738" spans="4:4" ht="12.75" x14ac:dyDescent="0.2">
      <c r="D738"/>
    </row>
    <row r="739" spans="4:4" ht="12.75" x14ac:dyDescent="0.2">
      <c r="D739"/>
    </row>
    <row r="740" spans="4:4" ht="12.75" x14ac:dyDescent="0.2">
      <c r="D740"/>
    </row>
    <row r="741" spans="4:4" ht="12.75" x14ac:dyDescent="0.2">
      <c r="D741"/>
    </row>
    <row r="742" spans="4:4" ht="12.75" x14ac:dyDescent="0.2">
      <c r="D742"/>
    </row>
    <row r="743" spans="4:4" ht="12.75" x14ac:dyDescent="0.2">
      <c r="D743"/>
    </row>
    <row r="744" spans="4:4" ht="12.75" x14ac:dyDescent="0.2">
      <c r="D744"/>
    </row>
    <row r="745" spans="4:4" ht="12.75" x14ac:dyDescent="0.2">
      <c r="D745"/>
    </row>
    <row r="746" spans="4:4" ht="12.75" x14ac:dyDescent="0.2">
      <c r="D746"/>
    </row>
    <row r="747" spans="4:4" ht="12.75" x14ac:dyDescent="0.2">
      <c r="D747"/>
    </row>
    <row r="748" spans="4:4" ht="12.75" x14ac:dyDescent="0.2">
      <c r="D748"/>
    </row>
    <row r="749" spans="4:4" ht="12.75" x14ac:dyDescent="0.2">
      <c r="D749"/>
    </row>
    <row r="750" spans="4:4" ht="12.75" x14ac:dyDescent="0.2">
      <c r="D750"/>
    </row>
    <row r="751" spans="4:4" ht="12.75" x14ac:dyDescent="0.2">
      <c r="D751"/>
    </row>
    <row r="752" spans="4:4" ht="12.75" x14ac:dyDescent="0.2">
      <c r="D752"/>
    </row>
    <row r="753" spans="4:4" ht="12.75" x14ac:dyDescent="0.2">
      <c r="D753"/>
    </row>
    <row r="754" spans="4:4" ht="12.75" x14ac:dyDescent="0.2">
      <c r="D754"/>
    </row>
    <row r="755" spans="4:4" ht="12.75" x14ac:dyDescent="0.2">
      <c r="D755"/>
    </row>
    <row r="756" spans="4:4" ht="12.75" x14ac:dyDescent="0.2">
      <c r="D756"/>
    </row>
    <row r="757" spans="4:4" ht="12.75" x14ac:dyDescent="0.2">
      <c r="D757"/>
    </row>
    <row r="758" spans="4:4" ht="12.75" x14ac:dyDescent="0.2">
      <c r="D758"/>
    </row>
    <row r="759" spans="4:4" ht="12.75" x14ac:dyDescent="0.2">
      <c r="D759"/>
    </row>
    <row r="760" spans="4:4" ht="12.75" x14ac:dyDescent="0.2">
      <c r="D760"/>
    </row>
    <row r="761" spans="4:4" ht="12.75" x14ac:dyDescent="0.2">
      <c r="D761"/>
    </row>
    <row r="762" spans="4:4" ht="12.75" x14ac:dyDescent="0.2">
      <c r="D762"/>
    </row>
    <row r="763" spans="4:4" ht="12.75" x14ac:dyDescent="0.2">
      <c r="D763"/>
    </row>
    <row r="764" spans="4:4" ht="12.75" x14ac:dyDescent="0.2">
      <c r="D764"/>
    </row>
    <row r="765" spans="4:4" ht="12.75" x14ac:dyDescent="0.2">
      <c r="D765"/>
    </row>
    <row r="766" spans="4:4" ht="12.75" x14ac:dyDescent="0.2">
      <c r="D766"/>
    </row>
    <row r="767" spans="4:4" ht="12.75" x14ac:dyDescent="0.2">
      <c r="D767"/>
    </row>
    <row r="768" spans="4:4" ht="12.75" x14ac:dyDescent="0.2">
      <c r="D768"/>
    </row>
    <row r="769" spans="4:4" ht="12.75" x14ac:dyDescent="0.2">
      <c r="D769"/>
    </row>
    <row r="770" spans="4:4" ht="12.75" x14ac:dyDescent="0.2">
      <c r="D770"/>
    </row>
    <row r="771" spans="4:4" ht="12.75" x14ac:dyDescent="0.2">
      <c r="D771"/>
    </row>
    <row r="772" spans="4:4" ht="12.75" x14ac:dyDescent="0.2">
      <c r="D772"/>
    </row>
    <row r="773" spans="4:4" ht="12.75" x14ac:dyDescent="0.2">
      <c r="D773"/>
    </row>
    <row r="774" spans="4:4" ht="12.75" x14ac:dyDescent="0.2">
      <c r="D774"/>
    </row>
  </sheetData>
  <autoFilter ref="A1:B39" xr:uid="{0578F106-5387-492A-8D3F-2BF56DED1AE1}"/>
  <sortState xmlns:xlrd2="http://schemas.microsoft.com/office/spreadsheetml/2017/richdata2" ref="D2:D774">
    <sortCondition ref="D2:D7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Informe BBVA</vt:lpstr>
      <vt:lpstr>TD</vt:lpstr>
      <vt:lpstr>COD.</vt:lpstr>
    </vt:vector>
  </TitlesOfParts>
  <Manager/>
  <Company>BBVA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BBVA</dc:creator>
  <cp:keywords/>
  <dc:description/>
  <cp:lastModifiedBy>Patricia Triano Redón</cp:lastModifiedBy>
  <cp:revision/>
  <dcterms:created xsi:type="dcterms:W3CDTF">2019-01-24T13:56:44Z</dcterms:created>
  <dcterms:modified xsi:type="dcterms:W3CDTF">2025-11-10T14:33:03Z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31d1fcd-b65f-4a2a-ac00-3ee38af0da43_Enabled">
    <vt:lpwstr>true</vt:lpwstr>
  </property>
  <property fmtid="{D5CDD505-2E9C-101B-9397-08002B2CF9AE}" pid="3" name="MSIP_Label_531d1fcd-b65f-4a2a-ac00-3ee38af0da43_SetDate">
    <vt:lpwstr>2025-11-09T19:15:50Z</vt:lpwstr>
  </property>
  <property fmtid="{D5CDD505-2E9C-101B-9397-08002B2CF9AE}" pid="4" name="MSIP_Label_531d1fcd-b65f-4a2a-ac00-3ee38af0da43_Method">
    <vt:lpwstr>Standard</vt:lpwstr>
  </property>
  <property fmtid="{D5CDD505-2E9C-101B-9397-08002B2CF9AE}" pid="5" name="MSIP_Label_531d1fcd-b65f-4a2a-ac00-3ee38af0da43_Name">
    <vt:lpwstr>Interna</vt:lpwstr>
  </property>
  <property fmtid="{D5CDD505-2E9C-101B-9397-08002B2CF9AE}" pid="6" name="MSIP_Label_531d1fcd-b65f-4a2a-ac00-3ee38af0da43_SiteId">
    <vt:lpwstr>a361e3c8-ac54-41b2-9043-d8743a575398</vt:lpwstr>
  </property>
  <property fmtid="{D5CDD505-2E9C-101B-9397-08002B2CF9AE}" pid="7" name="MSIP_Label_531d1fcd-b65f-4a2a-ac00-3ee38af0da43_ActionId">
    <vt:lpwstr>9009b5f5-c7d2-41cc-826f-22d5d81c8402</vt:lpwstr>
  </property>
  <property fmtid="{D5CDD505-2E9C-101B-9397-08002B2CF9AE}" pid="8" name="MSIP_Label_531d1fcd-b65f-4a2a-ac00-3ee38af0da43_ContentBits">
    <vt:lpwstr>0</vt:lpwstr>
  </property>
  <property fmtid="{D5CDD505-2E9C-101B-9397-08002B2CF9AE}" pid="9" name="MSIP_Label_531d1fcd-b65f-4a2a-ac00-3ee38af0da43_Tag">
    <vt:lpwstr>10, 3, 0, 1</vt:lpwstr>
  </property>
</Properties>
</file>